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C3B70B2A-F31F-4514-B782-646C54392A66}" xr6:coauthVersionLast="47" xr6:coauthVersionMax="47" xr10:uidLastSave="{00000000-0000-0000-0000-000000000000}"/>
  <bookViews>
    <workbookView xWindow="-120" yWindow="-120" windowWidth="29040" windowHeight="1572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" l="1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8" i="1" s="1"/>
  <c r="D47" i="1"/>
  <c r="D48" i="1"/>
  <c r="D49" i="1"/>
  <c r="D59" i="1"/>
  <c r="D61" i="1" s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D52" i="1" l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F1" i="4"/>
  <c r="E2" i="4"/>
  <c r="D3" i="4"/>
  <c r="C4" i="4"/>
  <c r="B5" i="4"/>
  <c r="A6" i="4"/>
  <c r="AG6" i="4"/>
  <c r="AF7" i="4"/>
  <c r="AE8" i="4"/>
  <c r="AD9" i="4"/>
  <c r="V10" i="4"/>
  <c r="L11" i="4"/>
  <c r="AD11" i="4"/>
  <c r="T12" i="4"/>
  <c r="J13" i="4"/>
  <c r="AB13" i="4"/>
  <c r="R14" i="4"/>
  <c r="H15" i="4"/>
  <c r="Z15" i="4"/>
  <c r="P16" i="4"/>
  <c r="F17" i="4"/>
  <c r="X17" i="4"/>
  <c r="N18" i="4"/>
  <c r="D19" i="4"/>
  <c r="V19" i="4"/>
  <c r="L20" i="4"/>
  <c r="AB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K32" i="4"/>
  <c r="S32" i="4"/>
  <c r="AA32" i="4"/>
  <c r="B33" i="4"/>
  <c r="J33" i="4"/>
  <c r="R33" i="4"/>
  <c r="Z33" i="4"/>
  <c r="A34" i="4"/>
  <c r="I34" i="4"/>
  <c r="Q34" i="4"/>
  <c r="Y34" i="4"/>
  <c r="AG34" i="4"/>
  <c r="H35" i="4"/>
  <c r="G1" i="4"/>
  <c r="F2" i="4"/>
  <c r="E3" i="4"/>
  <c r="D4" i="4"/>
  <c r="C5" i="4"/>
  <c r="B6" i="4"/>
  <c r="A7" i="4"/>
  <c r="AG7" i="4"/>
  <c r="AF8" i="4"/>
  <c r="AE9" i="4"/>
  <c r="W10" i="4"/>
  <c r="M11" i="4"/>
  <c r="C12" i="4"/>
  <c r="U12" i="4"/>
  <c r="K13" i="4"/>
  <c r="A14" i="4"/>
  <c r="S14" i="4"/>
  <c r="I15" i="4"/>
  <c r="AF15" i="4"/>
  <c r="Q16" i="4"/>
  <c r="G17" i="4"/>
  <c r="AD17" i="4"/>
  <c r="O18" i="4"/>
  <c r="E19" i="4"/>
  <c r="AB19" i="4"/>
  <c r="M20" i="4"/>
  <c r="AC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N1" i="4"/>
  <c r="M2" i="4"/>
  <c r="L3" i="4"/>
  <c r="K4" i="4"/>
  <c r="J5" i="4"/>
  <c r="I6" i="4"/>
  <c r="H7" i="4"/>
  <c r="G8" i="4"/>
  <c r="F9" i="4"/>
  <c r="E10" i="4"/>
  <c r="AC10" i="4"/>
  <c r="N11" i="4"/>
  <c r="D12" i="4"/>
  <c r="AA12" i="4"/>
  <c r="L13" i="4"/>
  <c r="B14" i="4"/>
  <c r="Y14" i="4"/>
  <c r="J15" i="4"/>
  <c r="AG15" i="4"/>
  <c r="W16" i="4"/>
  <c r="H17" i="4"/>
  <c r="AE17" i="4"/>
  <c r="U18" i="4"/>
  <c r="F19" i="4"/>
  <c r="AC19" i="4"/>
  <c r="P20" i="4"/>
  <c r="AF20" i="4"/>
  <c r="O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O1" i="4"/>
  <c r="N2" i="4"/>
  <c r="M3" i="4"/>
  <c r="L4" i="4"/>
  <c r="K5" i="4"/>
  <c r="J6" i="4"/>
  <c r="I7" i="4"/>
  <c r="H8" i="4"/>
  <c r="G9" i="4"/>
  <c r="F10" i="4"/>
  <c r="AD10" i="4"/>
  <c r="T11" i="4"/>
  <c r="E12" i="4"/>
  <c r="AB12" i="4"/>
  <c r="R13" i="4"/>
  <c r="C14" i="4"/>
  <c r="Z14" i="4"/>
  <c r="P15" i="4"/>
  <c r="A16" i="4"/>
  <c r="X16" i="4"/>
  <c r="N17" i="4"/>
  <c r="AF17" i="4"/>
  <c r="V18" i="4"/>
  <c r="L19" i="4"/>
  <c r="AD19" i="4"/>
  <c r="S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V1" i="4"/>
  <c r="U2" i="4"/>
  <c r="T3" i="4"/>
  <c r="S4" i="4"/>
  <c r="R5" i="4"/>
  <c r="Q6" i="4"/>
  <c r="P7" i="4"/>
  <c r="O8" i="4"/>
  <c r="N9" i="4"/>
  <c r="M10" i="4"/>
  <c r="AE10" i="4"/>
  <c r="U11" i="4"/>
  <c r="K12" i="4"/>
  <c r="AC12" i="4"/>
  <c r="S13" i="4"/>
  <c r="I14" i="4"/>
  <c r="AA14" i="4"/>
  <c r="Q15" i="4"/>
  <c r="G16" i="4"/>
  <c r="Y16" i="4"/>
  <c r="O17" i="4"/>
  <c r="E18" i="4"/>
  <c r="W18" i="4"/>
  <c r="M19" i="4"/>
  <c r="C20" i="4"/>
  <c r="T20" i="4"/>
  <c r="W1" i="4"/>
  <c r="V2" i="4"/>
  <c r="U3" i="4"/>
  <c r="T4" i="4"/>
  <c r="S5" i="4"/>
  <c r="R6" i="4"/>
  <c r="Q7" i="4"/>
  <c r="P8" i="4"/>
  <c r="O9" i="4"/>
  <c r="N10" i="4"/>
  <c r="D11" i="4"/>
  <c r="V11" i="4"/>
  <c r="L12" i="4"/>
  <c r="B13" i="4"/>
  <c r="T13" i="4"/>
  <c r="J14" i="4"/>
  <c r="AG14" i="4"/>
  <c r="R15" i="4"/>
  <c r="H16" i="4"/>
  <c r="AE16" i="4"/>
  <c r="P17" i="4"/>
  <c r="F18" i="4"/>
  <c r="AC18" i="4"/>
  <c r="N19" i="4"/>
  <c r="D20" i="4"/>
  <c r="U20" i="4"/>
  <c r="D21" i="4"/>
  <c r="S21" i="4"/>
  <c r="AA21" i="4"/>
  <c r="B22" i="4"/>
  <c r="J22" i="4"/>
  <c r="AD1" i="4"/>
  <c r="Z5" i="4"/>
  <c r="V9" i="4"/>
  <c r="M12" i="4"/>
  <c r="A15" i="4"/>
  <c r="V17" i="4"/>
  <c r="E20" i="4"/>
  <c r="T21" i="4"/>
  <c r="I22" i="4"/>
  <c r="Z22" i="4"/>
  <c r="I23" i="4"/>
  <c r="Y23" i="4"/>
  <c r="H24" i="4"/>
  <c r="X24" i="4"/>
  <c r="F25" i="4"/>
  <c r="Q25" i="4"/>
  <c r="AE25" i="4"/>
  <c r="L26" i="4"/>
  <c r="W26" i="4"/>
  <c r="D27" i="4"/>
  <c r="O27" i="4"/>
  <c r="AC27" i="4"/>
  <c r="J28" i="4"/>
  <c r="U28" i="4"/>
  <c r="B29" i="4"/>
  <c r="M29" i="4"/>
  <c r="AA29" i="4"/>
  <c r="H30" i="4"/>
  <c r="S30" i="4"/>
  <c r="AG30" i="4"/>
  <c r="K31" i="4"/>
  <c r="Y31" i="4"/>
  <c r="F32" i="4"/>
  <c r="Q32" i="4"/>
  <c r="AE32" i="4"/>
  <c r="I33" i="4"/>
  <c r="V33" i="4"/>
  <c r="AF33" i="4"/>
  <c r="H34" i="4"/>
  <c r="R34" i="4"/>
  <c r="AA34" i="4"/>
  <c r="C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AE1" i="4"/>
  <c r="AA5" i="4"/>
  <c r="W9" i="4"/>
  <c r="S12" i="4"/>
  <c r="B15" i="4"/>
  <c r="W17" i="4"/>
  <c r="K20" i="4"/>
  <c r="U21" i="4"/>
  <c r="K22" i="4"/>
  <c r="AA22" i="4"/>
  <c r="J23" i="4"/>
  <c r="Z23" i="4"/>
  <c r="I24" i="4"/>
  <c r="Y24" i="4"/>
  <c r="G25" i="4"/>
  <c r="U25" i="4"/>
  <c r="AF25" i="4"/>
  <c r="M26" i="4"/>
  <c r="X26" i="4"/>
  <c r="E27" i="4"/>
  <c r="S27" i="4"/>
  <c r="AD27" i="4"/>
  <c r="K28" i="4"/>
  <c r="V28" i="4"/>
  <c r="C29" i="4"/>
  <c r="Q29" i="4"/>
  <c r="AB29" i="4"/>
  <c r="I30" i="4"/>
  <c r="T30" i="4"/>
  <c r="A31" i="4"/>
  <c r="O31" i="4"/>
  <c r="Z31" i="4"/>
  <c r="G32" i="4"/>
  <c r="R32" i="4"/>
  <c r="AF32" i="4"/>
  <c r="M33" i="4"/>
  <c r="W33" i="4"/>
  <c r="AG33" i="4"/>
  <c r="J34" i="4"/>
  <c r="S34" i="4"/>
  <c r="AB34" i="4"/>
  <c r="D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2" i="4"/>
  <c r="Y6" i="4"/>
  <c r="O10" i="4"/>
  <c r="C13" i="4"/>
  <c r="X15" i="4"/>
  <c r="G18" i="4"/>
  <c r="X20" i="4"/>
  <c r="Z21" i="4"/>
  <c r="L22" i="4"/>
  <c r="AB22" i="4"/>
  <c r="K23" i="4"/>
  <c r="AA23" i="4"/>
  <c r="J24" i="4"/>
  <c r="Z24" i="4"/>
  <c r="H25" i="4"/>
  <c r="V25" i="4"/>
  <c r="AG25" i="4"/>
  <c r="N26" i="4"/>
  <c r="AB26" i="4"/>
  <c r="F27" i="4"/>
  <c r="T27" i="4"/>
  <c r="AE27" i="4"/>
  <c r="L28" i="4"/>
  <c r="Z28" i="4"/>
  <c r="D29" i="4"/>
  <c r="R29" i="4"/>
  <c r="AC29" i="4"/>
  <c r="J30" i="4"/>
  <c r="X30" i="4"/>
  <c r="B31" i="4"/>
  <c r="P31" i="4"/>
  <c r="AA31" i="4"/>
  <c r="H32" i="4"/>
  <c r="V32" i="4"/>
  <c r="AG32" i="4"/>
  <c r="N33" i="4"/>
  <c r="X33" i="4"/>
  <c r="B34" i="4"/>
  <c r="K34" i="4"/>
  <c r="T34" i="4"/>
  <c r="AC34" i="4"/>
  <c r="E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D2" i="4"/>
  <c r="Z6" i="4"/>
  <c r="U10" i="4"/>
  <c r="D13" i="4"/>
  <c r="Y15" i="4"/>
  <c r="M18" i="4"/>
  <c r="AA20" i="4"/>
  <c r="AB21" i="4"/>
  <c r="Q22" i="4"/>
  <c r="AG22" i="4"/>
  <c r="P23" i="4"/>
  <c r="AF23" i="4"/>
  <c r="O24" i="4"/>
  <c r="AE24" i="4"/>
  <c r="I25" i="4"/>
  <c r="W25" i="4"/>
  <c r="D26" i="4"/>
  <c r="O26" i="4"/>
  <c r="AC26" i="4"/>
  <c r="G27" i="4"/>
  <c r="U27" i="4"/>
  <c r="B28" i="4"/>
  <c r="M28" i="4"/>
  <c r="AA28" i="4"/>
  <c r="E29" i="4"/>
  <c r="S29" i="4"/>
  <c r="AG29" i="4"/>
  <c r="K30" i="4"/>
  <c r="Y30" i="4"/>
  <c r="C31" i="4"/>
  <c r="Q31" i="4"/>
  <c r="AE31" i="4"/>
  <c r="I32" i="4"/>
  <c r="W32" i="4"/>
  <c r="A33" i="4"/>
  <c r="O33" i="4"/>
  <c r="Y33" i="4"/>
  <c r="C34" i="4"/>
  <c r="L34" i="4"/>
  <c r="U34" i="4"/>
  <c r="AD34" i="4"/>
  <c r="F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B3" i="4"/>
  <c r="X7" i="4"/>
  <c r="E11" i="4"/>
  <c r="Z13" i="4"/>
  <c r="I16" i="4"/>
  <c r="AD18" i="4"/>
  <c r="C21" i="4"/>
  <c r="AC21" i="4"/>
  <c r="R22" i="4"/>
  <c r="A23" i="4"/>
  <c r="Q23" i="4"/>
  <c r="AG23" i="4"/>
  <c r="P24" i="4"/>
  <c r="AF24" i="4"/>
  <c r="M25" i="4"/>
  <c r="X25" i="4"/>
  <c r="E26" i="4"/>
  <c r="P26" i="4"/>
  <c r="AD26" i="4"/>
  <c r="K27" i="4"/>
  <c r="V27" i="4"/>
  <c r="C28" i="4"/>
  <c r="N28" i="4"/>
  <c r="AB28" i="4"/>
  <c r="I29" i="4"/>
  <c r="T29" i="4"/>
  <c r="A30" i="4"/>
  <c r="L30" i="4"/>
  <c r="Z30" i="4"/>
  <c r="G31" i="4"/>
  <c r="R31" i="4"/>
  <c r="AF31" i="4"/>
  <c r="J32" i="4"/>
  <c r="X32" i="4"/>
  <c r="E33" i="4"/>
  <c r="P33" i="4"/>
  <c r="AB33" i="4"/>
  <c r="D34" i="4"/>
  <c r="M34" i="4"/>
  <c r="V34" i="4"/>
  <c r="AE34" i="4"/>
  <c r="G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AC3" i="4"/>
  <c r="Y7" i="4"/>
  <c r="F11" i="4"/>
  <c r="AA13" i="4"/>
  <c r="O16" i="4"/>
  <c r="AE18" i="4"/>
  <c r="G21" i="4"/>
  <c r="A22" i="4"/>
  <c r="S22" i="4"/>
  <c r="B23" i="4"/>
  <c r="R23" i="4"/>
  <c r="A24" i="4"/>
  <c r="Q24" i="4"/>
  <c r="AG24" i="4"/>
  <c r="N25" i="4"/>
  <c r="Y25" i="4"/>
  <c r="F26" i="4"/>
  <c r="T26" i="4"/>
  <c r="AE26" i="4"/>
  <c r="L27" i="4"/>
  <c r="W27" i="4"/>
  <c r="D28" i="4"/>
  <c r="R28" i="4"/>
  <c r="AC28" i="4"/>
  <c r="J29" i="4"/>
  <c r="U29" i="4"/>
  <c r="B30" i="4"/>
  <c r="P30" i="4"/>
  <c r="AA30" i="4"/>
  <c r="H31" i="4"/>
  <c r="S31" i="4"/>
  <c r="AG31" i="4"/>
  <c r="N32" i="4"/>
  <c r="Y32" i="4"/>
  <c r="F33" i="4"/>
  <c r="Q33" i="4"/>
  <c r="AC33" i="4"/>
  <c r="E34" i="4"/>
  <c r="N34" i="4"/>
  <c r="W34" i="4"/>
  <c r="AF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A4" i="4"/>
  <c r="W8" i="4"/>
  <c r="AB11" i="4"/>
  <c r="K14" i="4"/>
  <c r="AF16" i="4"/>
  <c r="T19" i="4"/>
  <c r="J21" i="4"/>
  <c r="C22" i="4"/>
  <c r="T22" i="4"/>
  <c r="C23" i="4"/>
  <c r="S23" i="4"/>
  <c r="B24" i="4"/>
  <c r="R24" i="4"/>
  <c r="A25" i="4"/>
  <c r="O25" i="4"/>
  <c r="AC25" i="4"/>
  <c r="G26" i="4"/>
  <c r="U26" i="4"/>
  <c r="AF26" i="4"/>
  <c r="M27" i="4"/>
  <c r="AA27" i="4"/>
  <c r="E28" i="4"/>
  <c r="S28" i="4"/>
  <c r="AD28" i="4"/>
  <c r="K29" i="4"/>
  <c r="Y29" i="4"/>
  <c r="C30" i="4"/>
  <c r="Q30" i="4"/>
  <c r="AB30" i="4"/>
  <c r="I31" i="4"/>
  <c r="W31" i="4"/>
  <c r="A32" i="4"/>
  <c r="O32" i="4"/>
  <c r="Z32" i="4"/>
  <c r="G33" i="4"/>
  <c r="T33" i="4"/>
  <c r="AD33" i="4"/>
  <c r="F34" i="4"/>
  <c r="O34" i="4"/>
  <c r="X34" i="4"/>
  <c r="A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B4" i="4"/>
  <c r="Y22" i="4"/>
  <c r="H26" i="4"/>
  <c r="L29" i="4"/>
  <c r="P32" i="4"/>
  <c r="B35" i="4"/>
  <c r="A37" i="4"/>
  <c r="AF38" i="4"/>
  <c r="M40" i="4"/>
  <c r="E41" i="4"/>
  <c r="Z41" i="4"/>
  <c r="I42" i="4"/>
  <c r="Y42" i="4"/>
  <c r="H43" i="4"/>
  <c r="X43" i="4"/>
  <c r="G44" i="4"/>
  <c r="W44" i="4"/>
  <c r="F45" i="4"/>
  <c r="V45" i="4"/>
  <c r="AG45" i="4"/>
  <c r="N46" i="4"/>
  <c r="AB46" i="4"/>
  <c r="F47" i="4"/>
  <c r="T47" i="4"/>
  <c r="AE47" i="4"/>
  <c r="L48" i="4"/>
  <c r="Z48" i="4"/>
  <c r="D49" i="4"/>
  <c r="R49" i="4"/>
  <c r="AC49" i="4"/>
  <c r="J50" i="4"/>
  <c r="X50" i="4"/>
  <c r="B51" i="4"/>
  <c r="P51" i="4"/>
  <c r="AA51" i="4"/>
  <c r="H52" i="4"/>
  <c r="V52" i="4"/>
  <c r="AG52" i="4"/>
  <c r="N53" i="4"/>
  <c r="Y53" i="4"/>
  <c r="E54" i="4"/>
  <c r="O54" i="4"/>
  <c r="AA54" i="4"/>
  <c r="D55" i="4"/>
  <c r="N55" i="4"/>
  <c r="Z55" i="4"/>
  <c r="C56" i="4"/>
  <c r="M56" i="4"/>
  <c r="Y56" i="4"/>
  <c r="B57" i="4"/>
  <c r="L57" i="4"/>
  <c r="X57" i="4"/>
  <c r="A58" i="4"/>
  <c r="K58" i="4"/>
  <c r="U58" i="4"/>
  <c r="AE58" i="4"/>
  <c r="G59" i="4"/>
  <c r="P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X8" i="4"/>
  <c r="H23" i="4"/>
  <c r="V26" i="4"/>
  <c r="Z29" i="4"/>
  <c r="AD32" i="4"/>
  <c r="K35" i="4"/>
  <c r="I37" i="4"/>
  <c r="G39" i="4"/>
  <c r="N40" i="4"/>
  <c r="K41" i="4"/>
  <c r="AA41" i="4"/>
  <c r="J42" i="4"/>
  <c r="Z42" i="4"/>
  <c r="I43" i="4"/>
  <c r="Y43" i="4"/>
  <c r="H44" i="4"/>
  <c r="X44" i="4"/>
  <c r="G45" i="4"/>
  <c r="W45" i="4"/>
  <c r="D46" i="4"/>
  <c r="O46" i="4"/>
  <c r="AC46" i="4"/>
  <c r="G47" i="4"/>
  <c r="U47" i="4"/>
  <c r="B48" i="4"/>
  <c r="M48" i="4"/>
  <c r="AA48" i="4"/>
  <c r="E49" i="4"/>
  <c r="S49" i="4"/>
  <c r="AG49" i="4"/>
  <c r="K50" i="4"/>
  <c r="Y50" i="4"/>
  <c r="C51" i="4"/>
  <c r="Q51" i="4"/>
  <c r="AE51" i="4"/>
  <c r="I52" i="4"/>
  <c r="W52" i="4"/>
  <c r="A53" i="4"/>
  <c r="O53" i="4"/>
  <c r="AC53" i="4"/>
  <c r="F54" i="4"/>
  <c r="P54" i="4"/>
  <c r="AB54" i="4"/>
  <c r="E55" i="4"/>
  <c r="O55" i="4"/>
  <c r="AA55" i="4"/>
  <c r="D56" i="4"/>
  <c r="N56" i="4"/>
  <c r="Z56" i="4"/>
  <c r="C57" i="4"/>
  <c r="M57" i="4"/>
  <c r="Y57" i="4"/>
  <c r="B58" i="4"/>
  <c r="L58" i="4"/>
  <c r="W58" i="4"/>
  <c r="AF58" i="4"/>
  <c r="H59" i="4"/>
  <c r="Q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AC11" i="4"/>
  <c r="X23" i="4"/>
  <c r="C27" i="4"/>
  <c r="D30" i="4"/>
  <c r="H33" i="4"/>
  <c r="S35" i="4"/>
  <c r="Q37" i="4"/>
  <c r="O39" i="4"/>
  <c r="U40" i="4"/>
  <c r="L41" i="4"/>
  <c r="AB41" i="4"/>
  <c r="K42" i="4"/>
  <c r="AA42" i="4"/>
  <c r="J43" i="4"/>
  <c r="Z43" i="4"/>
  <c r="I44" i="4"/>
  <c r="Y44" i="4"/>
  <c r="H45" i="4"/>
  <c r="X45" i="4"/>
  <c r="E46" i="4"/>
  <c r="P46" i="4"/>
  <c r="AD46" i="4"/>
  <c r="K47" i="4"/>
  <c r="V47" i="4"/>
  <c r="C48" i="4"/>
  <c r="N48" i="4"/>
  <c r="AB48" i="4"/>
  <c r="I49" i="4"/>
  <c r="T49" i="4"/>
  <c r="A50" i="4"/>
  <c r="L50" i="4"/>
  <c r="Z50" i="4"/>
  <c r="G51" i="4"/>
  <c r="R51" i="4"/>
  <c r="AF51" i="4"/>
  <c r="J52" i="4"/>
  <c r="X52" i="4"/>
  <c r="E53" i="4"/>
  <c r="P53" i="4"/>
  <c r="AD53" i="4"/>
  <c r="G54" i="4"/>
  <c r="S54" i="4"/>
  <c r="AC54" i="4"/>
  <c r="F55" i="4"/>
  <c r="R55" i="4"/>
  <c r="AB55" i="4"/>
  <c r="E56" i="4"/>
  <c r="Q56" i="4"/>
  <c r="AA56" i="4"/>
  <c r="D57" i="4"/>
  <c r="P57" i="4"/>
  <c r="Z57" i="4"/>
  <c r="C58" i="4"/>
  <c r="O58" i="4"/>
  <c r="X58" i="4"/>
  <c r="AG58" i="4"/>
  <c r="I59" i="4"/>
  <c r="R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Q14" i="4"/>
  <c r="G24" i="4"/>
  <c r="N27" i="4"/>
  <c r="R30" i="4"/>
  <c r="U33" i="4"/>
  <c r="AA35" i="4"/>
  <c r="Y37" i="4"/>
  <c r="W39" i="4"/>
  <c r="V40" i="4"/>
  <c r="M41" i="4"/>
  <c r="AC41" i="4"/>
  <c r="L42" i="4"/>
  <c r="AB42" i="4"/>
  <c r="K43" i="4"/>
  <c r="AA43" i="4"/>
  <c r="J44" i="4"/>
  <c r="Z44" i="4"/>
  <c r="I45" i="4"/>
  <c r="Y45" i="4"/>
  <c r="F46" i="4"/>
  <c r="T46" i="4"/>
  <c r="AE46" i="4"/>
  <c r="L47" i="4"/>
  <c r="W47" i="4"/>
  <c r="D48" i="4"/>
  <c r="R48" i="4"/>
  <c r="AC48" i="4"/>
  <c r="J49" i="4"/>
  <c r="U49" i="4"/>
  <c r="B50" i="4"/>
  <c r="P50" i="4"/>
  <c r="AA50" i="4"/>
  <c r="H51" i="4"/>
  <c r="S51" i="4"/>
  <c r="AG51" i="4"/>
  <c r="N52" i="4"/>
  <c r="Y52" i="4"/>
  <c r="F53" i="4"/>
  <c r="Q53" i="4"/>
  <c r="AE53" i="4"/>
  <c r="H54" i="4"/>
  <c r="T54" i="4"/>
  <c r="AD54" i="4"/>
  <c r="G55" i="4"/>
  <c r="S55" i="4"/>
  <c r="AC55" i="4"/>
  <c r="F56" i="4"/>
  <c r="R56" i="4"/>
  <c r="AB56" i="4"/>
  <c r="E57" i="4"/>
  <c r="Q57" i="4"/>
  <c r="AA57" i="4"/>
  <c r="D58" i="4"/>
  <c r="P58" i="4"/>
  <c r="Y58" i="4"/>
  <c r="A59" i="4"/>
  <c r="J59" i="4"/>
  <c r="S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G16" i="4"/>
  <c r="W24" i="4"/>
  <c r="AB27" i="4"/>
  <c r="AF30" i="4"/>
  <c r="AE33" i="4"/>
  <c r="B36" i="4"/>
  <c r="AG37" i="4"/>
  <c r="AD39" i="4"/>
  <c r="AC40" i="4"/>
  <c r="R41" i="4"/>
  <c r="A42" i="4"/>
  <c r="Q42" i="4"/>
  <c r="AG42" i="4"/>
  <c r="P43" i="4"/>
  <c r="AF43" i="4"/>
  <c r="O44" i="4"/>
  <c r="AE44" i="4"/>
  <c r="N45" i="4"/>
  <c r="AC45" i="4"/>
  <c r="G46" i="4"/>
  <c r="U46" i="4"/>
  <c r="AF46" i="4"/>
  <c r="M47" i="4"/>
  <c r="AA47" i="4"/>
  <c r="E48" i="4"/>
  <c r="S48" i="4"/>
  <c r="AD48" i="4"/>
  <c r="K49" i="4"/>
  <c r="Y49" i="4"/>
  <c r="C50" i="4"/>
  <c r="Q50" i="4"/>
  <c r="AB50" i="4"/>
  <c r="I51" i="4"/>
  <c r="W51" i="4"/>
  <c r="A52" i="4"/>
  <c r="O52" i="4"/>
  <c r="Z52" i="4"/>
  <c r="G53" i="4"/>
  <c r="U53" i="4"/>
  <c r="AF53" i="4"/>
  <c r="K54" i="4"/>
  <c r="U54" i="4"/>
  <c r="AE54" i="4"/>
  <c r="J55" i="4"/>
  <c r="T55" i="4"/>
  <c r="AD55" i="4"/>
  <c r="I56" i="4"/>
  <c r="S56" i="4"/>
  <c r="AC56" i="4"/>
  <c r="H57" i="4"/>
  <c r="R57" i="4"/>
  <c r="AB57" i="4"/>
  <c r="G58" i="4"/>
  <c r="Q58" i="4"/>
  <c r="Z58" i="4"/>
  <c r="B59" i="4"/>
  <c r="K59" i="4"/>
  <c r="T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D22" i="4"/>
  <c r="AD25" i="4"/>
  <c r="A29" i="4"/>
  <c r="B32" i="4"/>
  <c r="Z34" i="4"/>
  <c r="Z36" i="4"/>
  <c r="X38" i="4"/>
  <c r="F40" i="4"/>
  <c r="D41" i="4"/>
  <c r="U41" i="4"/>
  <c r="D42" i="4"/>
  <c r="T42" i="4"/>
  <c r="C43" i="4"/>
  <c r="S43" i="4"/>
  <c r="B44" i="4"/>
  <c r="R44" i="4"/>
  <c r="A45" i="4"/>
  <c r="Q45" i="4"/>
  <c r="AF45" i="4"/>
  <c r="M46" i="4"/>
  <c r="X46" i="4"/>
  <c r="E47" i="4"/>
  <c r="S47" i="4"/>
  <c r="AD47" i="4"/>
  <c r="K48" i="4"/>
  <c r="V48" i="4"/>
  <c r="C49" i="4"/>
  <c r="Q49" i="4"/>
  <c r="AB49" i="4"/>
  <c r="I50" i="4"/>
  <c r="T50" i="4"/>
  <c r="A51" i="4"/>
  <c r="O51" i="4"/>
  <c r="Z51" i="4"/>
  <c r="G52" i="4"/>
  <c r="R52" i="4"/>
  <c r="AF52" i="4"/>
  <c r="M53" i="4"/>
  <c r="X53" i="4"/>
  <c r="D54" i="4"/>
  <c r="N54" i="4"/>
  <c r="X54" i="4"/>
  <c r="C55" i="4"/>
  <c r="M55" i="4"/>
  <c r="W55" i="4"/>
  <c r="B56" i="4"/>
  <c r="L56" i="4"/>
  <c r="V56" i="4"/>
  <c r="A57" i="4"/>
  <c r="K57" i="4"/>
  <c r="U57" i="4"/>
  <c r="AG57" i="4"/>
  <c r="J58" i="4"/>
  <c r="T58" i="4"/>
  <c r="AC58" i="4"/>
  <c r="F59" i="4"/>
  <c r="O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U19" i="4"/>
  <c r="G34" i="4"/>
  <c r="AD40" i="4"/>
  <c r="A43" i="4"/>
  <c r="AF44" i="4"/>
  <c r="V46" i="4"/>
  <c r="F48" i="4"/>
  <c r="Z49" i="4"/>
  <c r="J51" i="4"/>
  <c r="AD52" i="4"/>
  <c r="L54" i="4"/>
  <c r="U55" i="4"/>
  <c r="AD56" i="4"/>
  <c r="H58" i="4"/>
  <c r="L59" i="4"/>
  <c r="M60" i="4"/>
  <c r="L61" i="4"/>
  <c r="K62" i="4"/>
  <c r="J63" i="4"/>
  <c r="I64" i="4"/>
  <c r="H65" i="4"/>
  <c r="G66" i="4"/>
  <c r="AE66" i="4"/>
  <c r="P67" i="4"/>
  <c r="F68" i="4"/>
  <c r="AC68" i="4"/>
  <c r="N69" i="4"/>
  <c r="D70" i="4"/>
  <c r="AA70" i="4"/>
  <c r="L71" i="4"/>
  <c r="B72" i="4"/>
  <c r="R72" i="4"/>
  <c r="A73" i="4"/>
  <c r="Q73" i="4"/>
  <c r="AG73" i="4"/>
  <c r="P74" i="4"/>
  <c r="AF74" i="4"/>
  <c r="O75" i="4"/>
  <c r="AE75" i="4"/>
  <c r="M76" i="4"/>
  <c r="Z76" i="4"/>
  <c r="C77" i="4"/>
  <c r="M77" i="4"/>
  <c r="Y77" i="4"/>
  <c r="B78" i="4"/>
  <c r="L78" i="4"/>
  <c r="X78" i="4"/>
  <c r="A79" i="4"/>
  <c r="K79" i="4"/>
  <c r="W79" i="4"/>
  <c r="AG79" i="4"/>
  <c r="J80" i="4"/>
  <c r="V80" i="4"/>
  <c r="AF80" i="4"/>
  <c r="I81" i="4"/>
  <c r="U81" i="4"/>
  <c r="AE81" i="4"/>
  <c r="H82" i="4"/>
  <c r="T82" i="4"/>
  <c r="AD82" i="4"/>
  <c r="G83" i="4"/>
  <c r="S83" i="4"/>
  <c r="AC83" i="4"/>
  <c r="F84" i="4"/>
  <c r="O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R21" i="4"/>
  <c r="P34" i="4"/>
  <c r="C41" i="4"/>
  <c r="B43" i="4"/>
  <c r="AG44" i="4"/>
  <c r="W46" i="4"/>
  <c r="J48" i="4"/>
  <c r="AA49" i="4"/>
  <c r="K51" i="4"/>
  <c r="AE52" i="4"/>
  <c r="M54" i="4"/>
  <c r="V55" i="4"/>
  <c r="AG56" i="4"/>
  <c r="I58" i="4"/>
  <c r="N59" i="4"/>
  <c r="N60" i="4"/>
  <c r="M61" i="4"/>
  <c r="L62" i="4"/>
  <c r="K63" i="4"/>
  <c r="J64" i="4"/>
  <c r="I65" i="4"/>
  <c r="H66" i="4"/>
  <c r="AF66" i="4"/>
  <c r="V67" i="4"/>
  <c r="G68" i="4"/>
  <c r="AD68" i="4"/>
  <c r="T69" i="4"/>
  <c r="E70" i="4"/>
  <c r="AB70" i="4"/>
  <c r="R71" i="4"/>
  <c r="C72" i="4"/>
  <c r="S72" i="4"/>
  <c r="B73" i="4"/>
  <c r="R73" i="4"/>
  <c r="A74" i="4"/>
  <c r="Q74" i="4"/>
  <c r="AG74" i="4"/>
  <c r="P75" i="4"/>
  <c r="AF75" i="4"/>
  <c r="N76" i="4"/>
  <c r="AA76" i="4"/>
  <c r="D77" i="4"/>
  <c r="N77" i="4"/>
  <c r="Z77" i="4"/>
  <c r="C78" i="4"/>
  <c r="M78" i="4"/>
  <c r="Y78" i="4"/>
  <c r="B79" i="4"/>
  <c r="L79" i="4"/>
  <c r="X79" i="4"/>
  <c r="A80" i="4"/>
  <c r="K80" i="4"/>
  <c r="W80" i="4"/>
  <c r="AG80" i="4"/>
  <c r="J81" i="4"/>
  <c r="V81" i="4"/>
  <c r="AF81" i="4"/>
  <c r="I82" i="4"/>
  <c r="U82" i="4"/>
  <c r="AE82" i="4"/>
  <c r="H83" i="4"/>
  <c r="T83" i="4"/>
  <c r="AD83" i="4"/>
  <c r="G84" i="4"/>
  <c r="P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E25" i="4"/>
  <c r="J36" i="4"/>
  <c r="S41" i="4"/>
  <c r="Q43" i="4"/>
  <c r="O45" i="4"/>
  <c r="C47" i="4"/>
  <c r="T48" i="4"/>
  <c r="D50" i="4"/>
  <c r="X51" i="4"/>
  <c r="H53" i="4"/>
  <c r="V54" i="4"/>
  <c r="AE55" i="4"/>
  <c r="I57" i="4"/>
  <c r="R58" i="4"/>
  <c r="V59" i="4"/>
  <c r="U60" i="4"/>
  <c r="T61" i="4"/>
  <c r="S62" i="4"/>
  <c r="R63" i="4"/>
  <c r="Q64" i="4"/>
  <c r="P65" i="4"/>
  <c r="O66" i="4"/>
  <c r="AG66" i="4"/>
  <c r="W67" i="4"/>
  <c r="M68" i="4"/>
  <c r="AE68" i="4"/>
  <c r="U69" i="4"/>
  <c r="K70" i="4"/>
  <c r="AC70" i="4"/>
  <c r="S71" i="4"/>
  <c r="H72" i="4"/>
  <c r="X72" i="4"/>
  <c r="G73" i="4"/>
  <c r="W73" i="4"/>
  <c r="F74" i="4"/>
  <c r="V74" i="4"/>
  <c r="E75" i="4"/>
  <c r="U75" i="4"/>
  <c r="D76" i="4"/>
  <c r="O76" i="4"/>
  <c r="AB76" i="4"/>
  <c r="E77" i="4"/>
  <c r="Q77" i="4"/>
  <c r="AA77" i="4"/>
  <c r="D78" i="4"/>
  <c r="P78" i="4"/>
  <c r="Z78" i="4"/>
  <c r="C79" i="4"/>
  <c r="O79" i="4"/>
  <c r="Y79" i="4"/>
  <c r="B80" i="4"/>
  <c r="N80" i="4"/>
  <c r="X80" i="4"/>
  <c r="A81" i="4"/>
  <c r="M81" i="4"/>
  <c r="W81" i="4"/>
  <c r="AG81" i="4"/>
  <c r="L82" i="4"/>
  <c r="V82" i="4"/>
  <c r="AF82" i="4"/>
  <c r="K83" i="4"/>
  <c r="U83" i="4"/>
  <c r="AE83" i="4"/>
  <c r="H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P25" i="4"/>
  <c r="R36" i="4"/>
  <c r="T41" i="4"/>
  <c r="R43" i="4"/>
  <c r="P45" i="4"/>
  <c r="D47" i="4"/>
  <c r="U48" i="4"/>
  <c r="H50" i="4"/>
  <c r="Y51" i="4"/>
  <c r="I53" i="4"/>
  <c r="W54" i="4"/>
  <c r="A56" i="4"/>
  <c r="J57" i="4"/>
  <c r="S58" i="4"/>
  <c r="W59" i="4"/>
  <c r="V60" i="4"/>
  <c r="U61" i="4"/>
  <c r="T62" i="4"/>
  <c r="S63" i="4"/>
  <c r="R64" i="4"/>
  <c r="Q65" i="4"/>
  <c r="P66" i="4"/>
  <c r="F67" i="4"/>
  <c r="X67" i="4"/>
  <c r="N68" i="4"/>
  <c r="D69" i="4"/>
  <c r="V69" i="4"/>
  <c r="L70" i="4"/>
  <c r="B71" i="4"/>
  <c r="T71" i="4"/>
  <c r="I72" i="4"/>
  <c r="Y72" i="4"/>
  <c r="H73" i="4"/>
  <c r="X73" i="4"/>
  <c r="G74" i="4"/>
  <c r="W74" i="4"/>
  <c r="F75" i="4"/>
  <c r="V75" i="4"/>
  <c r="E76" i="4"/>
  <c r="R76" i="4"/>
  <c r="AC76" i="4"/>
  <c r="F77" i="4"/>
  <c r="R77" i="4"/>
  <c r="AB77" i="4"/>
  <c r="E78" i="4"/>
  <c r="Q78" i="4"/>
  <c r="AA78" i="4"/>
  <c r="D79" i="4"/>
  <c r="P79" i="4"/>
  <c r="Z79" i="4"/>
  <c r="C80" i="4"/>
  <c r="O80" i="4"/>
  <c r="Y80" i="4"/>
  <c r="B81" i="4"/>
  <c r="N81" i="4"/>
  <c r="X81" i="4"/>
  <c r="A82" i="4"/>
  <c r="M82" i="4"/>
  <c r="W82" i="4"/>
  <c r="AG82" i="4"/>
  <c r="L83" i="4"/>
  <c r="V83" i="4"/>
  <c r="AF83" i="4"/>
  <c r="J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F28" i="4"/>
  <c r="H38" i="4"/>
  <c r="B42" i="4"/>
  <c r="AG43" i="4"/>
  <c r="AD45" i="4"/>
  <c r="N47" i="4"/>
  <c r="A49" i="4"/>
  <c r="R50" i="4"/>
  <c r="B52" i="4"/>
  <c r="V53" i="4"/>
  <c r="AF54" i="4"/>
  <c r="J56" i="4"/>
  <c r="S57" i="4"/>
  <c r="AA58" i="4"/>
  <c r="AD59" i="4"/>
  <c r="AC60" i="4"/>
  <c r="AB61" i="4"/>
  <c r="AA62" i="4"/>
  <c r="Z63" i="4"/>
  <c r="Y64" i="4"/>
  <c r="X65" i="4"/>
  <c r="Q66" i="4"/>
  <c r="G67" i="4"/>
  <c r="AD67" i="4"/>
  <c r="O68" i="4"/>
  <c r="E69" i="4"/>
  <c r="AB69" i="4"/>
  <c r="M70" i="4"/>
  <c r="C71" i="4"/>
  <c r="Z71" i="4"/>
  <c r="J72" i="4"/>
  <c r="Z72" i="4"/>
  <c r="I73" i="4"/>
  <c r="Y73" i="4"/>
  <c r="H74" i="4"/>
  <c r="X74" i="4"/>
  <c r="G75" i="4"/>
  <c r="W75" i="4"/>
  <c r="F76" i="4"/>
  <c r="T76" i="4"/>
  <c r="AD76" i="4"/>
  <c r="I77" i="4"/>
  <c r="S77" i="4"/>
  <c r="AC77" i="4"/>
  <c r="H78" i="4"/>
  <c r="R78" i="4"/>
  <c r="AB78" i="4"/>
  <c r="G79" i="4"/>
  <c r="Q79" i="4"/>
  <c r="AA79" i="4"/>
  <c r="F80" i="4"/>
  <c r="P80" i="4"/>
  <c r="Z80" i="4"/>
  <c r="E81" i="4"/>
  <c r="O81" i="4"/>
  <c r="Y81" i="4"/>
  <c r="D82" i="4"/>
  <c r="N82" i="4"/>
  <c r="X82" i="4"/>
  <c r="C83" i="4"/>
  <c r="M83" i="4"/>
  <c r="W83" i="4"/>
  <c r="B84" i="4"/>
  <c r="K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T28" i="4"/>
  <c r="P38" i="4"/>
  <c r="C42" i="4"/>
  <c r="A44" i="4"/>
  <c r="AE45" i="4"/>
  <c r="O47" i="4"/>
  <c r="B49" i="4"/>
  <c r="S50" i="4"/>
  <c r="F52" i="4"/>
  <c r="W53" i="4"/>
  <c r="B55" i="4"/>
  <c r="K56" i="4"/>
  <c r="T57" i="4"/>
  <c r="AB58" i="4"/>
  <c r="AE59" i="4"/>
  <c r="AD60" i="4"/>
  <c r="AC61" i="4"/>
  <c r="AB62" i="4"/>
  <c r="AA63" i="4"/>
  <c r="Z64" i="4"/>
  <c r="Y65" i="4"/>
  <c r="W66" i="4"/>
  <c r="H67" i="4"/>
  <c r="AE67" i="4"/>
  <c r="U68" i="4"/>
  <c r="F69" i="4"/>
  <c r="AC69" i="4"/>
  <c r="S70" i="4"/>
  <c r="D71" i="4"/>
  <c r="AA71" i="4"/>
  <c r="K72" i="4"/>
  <c r="AA72" i="4"/>
  <c r="J73" i="4"/>
  <c r="Z73" i="4"/>
  <c r="I74" i="4"/>
  <c r="Y74" i="4"/>
  <c r="H75" i="4"/>
  <c r="X75" i="4"/>
  <c r="G76" i="4"/>
  <c r="U76" i="4"/>
  <c r="AE76" i="4"/>
  <c r="J77" i="4"/>
  <c r="T77" i="4"/>
  <c r="AD77" i="4"/>
  <c r="I78" i="4"/>
  <c r="S78" i="4"/>
  <c r="AC78" i="4"/>
  <c r="H79" i="4"/>
  <c r="R79" i="4"/>
  <c r="AB79" i="4"/>
  <c r="G80" i="4"/>
  <c r="Q80" i="4"/>
  <c r="AA80" i="4"/>
  <c r="F81" i="4"/>
  <c r="P81" i="4"/>
  <c r="Z81" i="4"/>
  <c r="E82" i="4"/>
  <c r="O82" i="4"/>
  <c r="Y82" i="4"/>
  <c r="D83" i="4"/>
  <c r="N83" i="4"/>
  <c r="X83" i="4"/>
  <c r="C84" i="4"/>
  <c r="L84" i="4"/>
  <c r="U84" i="4"/>
  <c r="AC84" i="4"/>
  <c r="D85" i="4"/>
  <c r="L85" i="4"/>
  <c r="T85" i="4"/>
  <c r="AB85" i="4"/>
  <c r="C86" i="4"/>
  <c r="K86" i="4"/>
  <c r="X31" i="4"/>
  <c r="E40" i="4"/>
  <c r="S42" i="4"/>
  <c r="Q44" i="4"/>
  <c r="L46" i="4"/>
  <c r="AC47" i="4"/>
  <c r="M49" i="4"/>
  <c r="AG50" i="4"/>
  <c r="Q52" i="4"/>
  <c r="C54" i="4"/>
  <c r="L55" i="4"/>
  <c r="U56" i="4"/>
  <c r="AF57" i="4"/>
  <c r="D59" i="4"/>
  <c r="F60" i="4"/>
  <c r="E61" i="4"/>
  <c r="D62" i="4"/>
  <c r="C63" i="4"/>
  <c r="B64" i="4"/>
  <c r="A65" i="4"/>
  <c r="AG65" i="4"/>
  <c r="Y66" i="4"/>
  <c r="O67" i="4"/>
  <c r="E68" i="4"/>
  <c r="W68" i="4"/>
  <c r="M69" i="4"/>
  <c r="C70" i="4"/>
  <c r="U70" i="4"/>
  <c r="K71" i="4"/>
  <c r="A72" i="4"/>
  <c r="Q72" i="4"/>
  <c r="AG72" i="4"/>
  <c r="P73" i="4"/>
  <c r="AF73" i="4"/>
  <c r="O74" i="4"/>
  <c r="AE74" i="4"/>
  <c r="N75" i="4"/>
  <c r="AD75" i="4"/>
  <c r="L76" i="4"/>
  <c r="W76" i="4"/>
  <c r="B77" i="4"/>
  <c r="L77" i="4"/>
  <c r="V77" i="4"/>
  <c r="A78" i="4"/>
  <c r="K78" i="4"/>
  <c r="U78" i="4"/>
  <c r="AG78" i="4"/>
  <c r="J79" i="4"/>
  <c r="T79" i="4"/>
  <c r="AF79" i="4"/>
  <c r="I80" i="4"/>
  <c r="S80" i="4"/>
  <c r="AE80" i="4"/>
  <c r="H81" i="4"/>
  <c r="R81" i="4"/>
  <c r="AD81" i="4"/>
  <c r="G82" i="4"/>
  <c r="Q82" i="4"/>
  <c r="AC82" i="4"/>
  <c r="F83" i="4"/>
  <c r="P83" i="4"/>
  <c r="AB83" i="4"/>
  <c r="E84" i="4"/>
  <c r="N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J31" i="4"/>
  <c r="P52" i="4"/>
  <c r="C62" i="4"/>
  <c r="V68" i="4"/>
  <c r="O73" i="4"/>
  <c r="A77" i="4"/>
  <c r="S79" i="4"/>
  <c r="F82" i="4"/>
  <c r="V84" i="4"/>
  <c r="S86" i="4"/>
  <c r="R87" i="4"/>
  <c r="Q88" i="4"/>
  <c r="P89" i="4"/>
  <c r="O90" i="4"/>
  <c r="N91" i="4"/>
  <c r="L92" i="4"/>
  <c r="AD92" i="4"/>
  <c r="T93" i="4"/>
  <c r="J94" i="4"/>
  <c r="AA94" i="4"/>
  <c r="J95" i="4"/>
  <c r="Z95" i="4"/>
  <c r="I96" i="4"/>
  <c r="W96" i="4"/>
  <c r="A97" i="4"/>
  <c r="O97" i="4"/>
  <c r="Z97" i="4"/>
  <c r="G98" i="4"/>
  <c r="U98" i="4"/>
  <c r="AF98" i="4"/>
  <c r="M99" i="4"/>
  <c r="X99" i="4"/>
  <c r="E100" i="4"/>
  <c r="S100" i="4"/>
  <c r="AD100" i="4"/>
  <c r="K101" i="4"/>
  <c r="U101" i="4"/>
  <c r="AD101" i="4"/>
  <c r="G102" i="4"/>
  <c r="P102" i="4"/>
  <c r="Y102" i="4"/>
  <c r="A103" i="4"/>
  <c r="J103" i="4"/>
  <c r="S103" i="4"/>
  <c r="AB103" i="4"/>
  <c r="E104" i="4"/>
  <c r="N104" i="4"/>
  <c r="W104" i="4"/>
  <c r="AF104" i="4"/>
  <c r="H105" i="4"/>
  <c r="Q105" i="4"/>
  <c r="Z105" i="4"/>
  <c r="C106" i="4"/>
  <c r="L106" i="4"/>
  <c r="U106" i="4"/>
  <c r="AD106" i="4"/>
  <c r="F107" i="4"/>
  <c r="O107" i="4"/>
  <c r="X107" i="4"/>
  <c r="A108" i="4"/>
  <c r="J108" i="4"/>
  <c r="S108" i="4"/>
  <c r="AB108" i="4"/>
  <c r="D109" i="4"/>
  <c r="M109" i="4"/>
  <c r="V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AE39" i="4"/>
  <c r="AG53" i="4"/>
  <c r="B63" i="4"/>
  <c r="L69" i="4"/>
  <c r="AE73" i="4"/>
  <c r="K77" i="4"/>
  <c r="AE79" i="4"/>
  <c r="P82" i="4"/>
  <c r="AD84" i="4"/>
  <c r="T86" i="4"/>
  <c r="S87" i="4"/>
  <c r="R88" i="4"/>
  <c r="Q89" i="4"/>
  <c r="P90" i="4"/>
  <c r="O91" i="4"/>
  <c r="M92" i="4"/>
  <c r="C93" i="4"/>
  <c r="U93" i="4"/>
  <c r="K94" i="4"/>
  <c r="AB94" i="4"/>
  <c r="K95" i="4"/>
  <c r="AA95" i="4"/>
  <c r="J96" i="4"/>
  <c r="X96" i="4"/>
  <c r="B97" i="4"/>
  <c r="P97" i="4"/>
  <c r="AD97" i="4"/>
  <c r="H98" i="4"/>
  <c r="V98" i="4"/>
  <c r="AG98" i="4"/>
  <c r="N99" i="4"/>
  <c r="AB99" i="4"/>
  <c r="F100" i="4"/>
  <c r="T100" i="4"/>
  <c r="AE100" i="4"/>
  <c r="L101" i="4"/>
  <c r="V101" i="4"/>
  <c r="AF101" i="4"/>
  <c r="H102" i="4"/>
  <c r="Q102" i="4"/>
  <c r="Z102" i="4"/>
  <c r="B103" i="4"/>
  <c r="K103" i="4"/>
  <c r="T103" i="4"/>
  <c r="AD103" i="4"/>
  <c r="F104" i="4"/>
  <c r="O104" i="4"/>
  <c r="X104" i="4"/>
  <c r="AG104" i="4"/>
  <c r="I105" i="4"/>
  <c r="R105" i="4"/>
  <c r="AB105" i="4"/>
  <c r="D106" i="4"/>
  <c r="M106" i="4"/>
  <c r="V106" i="4"/>
  <c r="AE106" i="4"/>
  <c r="G107" i="4"/>
  <c r="P107" i="4"/>
  <c r="Z107" i="4"/>
  <c r="B108" i="4"/>
  <c r="K108" i="4"/>
  <c r="T108" i="4"/>
  <c r="AC108" i="4"/>
  <c r="E109" i="4"/>
  <c r="N109" i="4"/>
  <c r="X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R42" i="4"/>
  <c r="K55" i="4"/>
  <c r="A64" i="4"/>
  <c r="AD69" i="4"/>
  <c r="N74" i="4"/>
  <c r="U77" i="4"/>
  <c r="H80" i="4"/>
  <c r="AB82" i="4"/>
  <c r="E85" i="4"/>
  <c r="AA86" i="4"/>
  <c r="Z87" i="4"/>
  <c r="Y88" i="4"/>
  <c r="X89" i="4"/>
  <c r="W90" i="4"/>
  <c r="V91" i="4"/>
  <c r="N92" i="4"/>
  <c r="D93" i="4"/>
  <c r="AA93" i="4"/>
  <c r="L94" i="4"/>
  <c r="AC94" i="4"/>
  <c r="L95" i="4"/>
  <c r="AB95" i="4"/>
  <c r="K96" i="4"/>
  <c r="Y96" i="4"/>
  <c r="F97" i="4"/>
  <c r="Q97" i="4"/>
  <c r="AE97" i="4"/>
  <c r="I98" i="4"/>
  <c r="W98" i="4"/>
  <c r="D99" i="4"/>
  <c r="O99" i="4"/>
  <c r="AC99" i="4"/>
  <c r="G100" i="4"/>
  <c r="U100" i="4"/>
  <c r="B101" i="4"/>
  <c r="M101" i="4"/>
  <c r="X101" i="4"/>
  <c r="AG101" i="4"/>
  <c r="I102" i="4"/>
  <c r="R102" i="4"/>
  <c r="AA102" i="4"/>
  <c r="C103" i="4"/>
  <c r="L103" i="4"/>
  <c r="V103" i="4"/>
  <c r="AE103" i="4"/>
  <c r="G104" i="4"/>
  <c r="P104" i="4"/>
  <c r="Y104" i="4"/>
  <c r="A105" i="4"/>
  <c r="J105" i="4"/>
  <c r="T105" i="4"/>
  <c r="AC105" i="4"/>
  <c r="E106" i="4"/>
  <c r="N106" i="4"/>
  <c r="W106" i="4"/>
  <c r="AF106" i="4"/>
  <c r="H107" i="4"/>
  <c r="R107" i="4"/>
  <c r="AA107" i="4"/>
  <c r="C108" i="4"/>
  <c r="L108" i="4"/>
  <c r="U108" i="4"/>
  <c r="AD108" i="4"/>
  <c r="F109" i="4"/>
  <c r="P109" i="4"/>
  <c r="Y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P44" i="4"/>
  <c r="T56" i="4"/>
  <c r="AG64" i="4"/>
  <c r="T70" i="4"/>
  <c r="AD74" i="4"/>
  <c r="AG77" i="4"/>
  <c r="R80" i="4"/>
  <c r="E83" i="4"/>
  <c r="M85" i="4"/>
  <c r="AB86" i="4"/>
  <c r="AA87" i="4"/>
  <c r="Z88" i="4"/>
  <c r="Y89" i="4"/>
  <c r="X90" i="4"/>
  <c r="W91" i="4"/>
  <c r="T92" i="4"/>
  <c r="E93" i="4"/>
  <c r="AB93" i="4"/>
  <c r="R94" i="4"/>
  <c r="A95" i="4"/>
  <c r="Q95" i="4"/>
  <c r="AG95" i="4"/>
  <c r="O96" i="4"/>
  <c r="Z96" i="4"/>
  <c r="G97" i="4"/>
  <c r="R97" i="4"/>
  <c r="AF97" i="4"/>
  <c r="M98" i="4"/>
  <c r="X98" i="4"/>
  <c r="E99" i="4"/>
  <c r="P99" i="4"/>
  <c r="AD99" i="4"/>
  <c r="K100" i="4"/>
  <c r="V100" i="4"/>
  <c r="C101" i="4"/>
  <c r="N101" i="4"/>
  <c r="Y101" i="4"/>
  <c r="A102" i="4"/>
  <c r="J102" i="4"/>
  <c r="S102" i="4"/>
  <c r="AB102" i="4"/>
  <c r="D103" i="4"/>
  <c r="N103" i="4"/>
  <c r="W103" i="4"/>
  <c r="AF103" i="4"/>
  <c r="H104" i="4"/>
  <c r="Q104" i="4"/>
  <c r="Z104" i="4"/>
  <c r="B105" i="4"/>
  <c r="L105" i="4"/>
  <c r="U105" i="4"/>
  <c r="AD105" i="4"/>
  <c r="F106" i="4"/>
  <c r="O106" i="4"/>
  <c r="X106" i="4"/>
  <c r="AG106" i="4"/>
  <c r="J107" i="4"/>
  <c r="S107" i="4"/>
  <c r="AB107" i="4"/>
  <c r="D108" i="4"/>
  <c r="M108" i="4"/>
  <c r="V108" i="4"/>
  <c r="AE108" i="4"/>
  <c r="H109" i="4"/>
  <c r="Q109" i="4"/>
  <c r="Z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H46" i="4"/>
  <c r="AC57" i="4"/>
  <c r="AF65" i="4"/>
  <c r="J71" i="4"/>
  <c r="M75" i="4"/>
  <c r="J78" i="4"/>
  <c r="AD80" i="4"/>
  <c r="O83" i="4"/>
  <c r="U85" i="4"/>
  <c r="B87" i="4"/>
  <c r="A88" i="4"/>
  <c r="AG88" i="4"/>
  <c r="AF89" i="4"/>
  <c r="AE90" i="4"/>
  <c r="AD91" i="4"/>
  <c r="U92" i="4"/>
  <c r="K93" i="4"/>
  <c r="AC93" i="4"/>
  <c r="S94" i="4"/>
  <c r="B95" i="4"/>
  <c r="R95" i="4"/>
  <c r="A96" i="4"/>
  <c r="P96" i="4"/>
  <c r="AA96" i="4"/>
  <c r="H97" i="4"/>
  <c r="V97" i="4"/>
  <c r="AG97" i="4"/>
  <c r="N98" i="4"/>
  <c r="Y98" i="4"/>
  <c r="F99" i="4"/>
  <c r="T99" i="4"/>
  <c r="AE99" i="4"/>
  <c r="L100" i="4"/>
  <c r="W100" i="4"/>
  <c r="D101" i="4"/>
  <c r="P101" i="4"/>
  <c r="Z101" i="4"/>
  <c r="B102" i="4"/>
  <c r="K102" i="4"/>
  <c r="T102" i="4"/>
  <c r="AC102" i="4"/>
  <c r="F103" i="4"/>
  <c r="O103" i="4"/>
  <c r="X103" i="4"/>
  <c r="AG103" i="4"/>
  <c r="I104" i="4"/>
  <c r="R104" i="4"/>
  <c r="AA104" i="4"/>
  <c r="D105" i="4"/>
  <c r="M105" i="4"/>
  <c r="V105" i="4"/>
  <c r="AE105" i="4"/>
  <c r="G106" i="4"/>
  <c r="P106" i="4"/>
  <c r="Y106" i="4"/>
  <c r="B107" i="4"/>
  <c r="K107" i="4"/>
  <c r="T107" i="4"/>
  <c r="AC107" i="4"/>
  <c r="E108" i="4"/>
  <c r="N108" i="4"/>
  <c r="W108" i="4"/>
  <c r="AG108" i="4"/>
  <c r="I109" i="4"/>
  <c r="R109" i="4"/>
  <c r="AA109" i="4"/>
  <c r="C110" i="4"/>
  <c r="K110" i="4"/>
  <c r="S110" i="4"/>
  <c r="AA110" i="4"/>
  <c r="B111" i="4"/>
  <c r="AB47" i="4"/>
  <c r="C59" i="4"/>
  <c r="X66" i="4"/>
  <c r="AB71" i="4"/>
  <c r="AC75" i="4"/>
  <c r="T78" i="4"/>
  <c r="G81" i="4"/>
  <c r="AA83" i="4"/>
  <c r="AC85" i="4"/>
  <c r="C87" i="4"/>
  <c r="B88" i="4"/>
  <c r="A89" i="4"/>
  <c r="AG89" i="4"/>
  <c r="AF90" i="4"/>
  <c r="AE91" i="4"/>
  <c r="V92" i="4"/>
  <c r="L93" i="4"/>
  <c r="B94" i="4"/>
  <c r="T94" i="4"/>
  <c r="C95" i="4"/>
  <c r="S95" i="4"/>
  <c r="B96" i="4"/>
  <c r="Q96" i="4"/>
  <c r="AE96" i="4"/>
  <c r="I97" i="4"/>
  <c r="W97" i="4"/>
  <c r="A98" i="4"/>
  <c r="O98" i="4"/>
  <c r="AC98" i="4"/>
  <c r="G99" i="4"/>
  <c r="U99" i="4"/>
  <c r="AF99" i="4"/>
  <c r="M100" i="4"/>
  <c r="AA100" i="4"/>
  <c r="E101" i="4"/>
  <c r="R101" i="4"/>
  <c r="AA101" i="4"/>
  <c r="C102" i="4"/>
  <c r="L102" i="4"/>
  <c r="U102" i="4"/>
  <c r="AE102" i="4"/>
  <c r="G103" i="4"/>
  <c r="P103" i="4"/>
  <c r="Y103" i="4"/>
  <c r="A104" i="4"/>
  <c r="J104" i="4"/>
  <c r="S104" i="4"/>
  <c r="AC104" i="4"/>
  <c r="E105" i="4"/>
  <c r="N105" i="4"/>
  <c r="W105" i="4"/>
  <c r="AF105" i="4"/>
  <c r="H106" i="4"/>
  <c r="Q106" i="4"/>
  <c r="AA106" i="4"/>
  <c r="C107" i="4"/>
  <c r="L107" i="4"/>
  <c r="U107" i="4"/>
  <c r="AD107" i="4"/>
  <c r="F108" i="4"/>
  <c r="O108" i="4"/>
  <c r="Y108" i="4"/>
  <c r="A109" i="4"/>
  <c r="J109" i="4"/>
  <c r="S109" i="4"/>
  <c r="AB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L49" i="4"/>
  <c r="J76" i="4"/>
  <c r="D86" i="4"/>
  <c r="G90" i="4"/>
  <c r="M93" i="4"/>
  <c r="T95" i="4"/>
  <c r="J97" i="4"/>
  <c r="AD98" i="4"/>
  <c r="N100" i="4"/>
  <c r="AB101" i="4"/>
  <c r="AF102" i="4"/>
  <c r="B104" i="4"/>
  <c r="F105" i="4"/>
  <c r="I106" i="4"/>
  <c r="M107" i="4"/>
  <c r="Q108" i="4"/>
  <c r="T109" i="4"/>
  <c r="U110" i="4"/>
  <c r="M111" i="4"/>
  <c r="C112" i="4"/>
  <c r="Y112" i="4"/>
  <c r="K113" i="4"/>
  <c r="A114" i="4"/>
  <c r="W114" i="4"/>
  <c r="F115" i="4"/>
  <c r="V115" i="4"/>
  <c r="AG115" i="4"/>
  <c r="N116" i="4"/>
  <c r="AB116" i="4"/>
  <c r="F117" i="4"/>
  <c r="T117" i="4"/>
  <c r="AE117" i="4"/>
  <c r="L118" i="4"/>
  <c r="Z118" i="4"/>
  <c r="D119" i="4"/>
  <c r="R119" i="4"/>
  <c r="AC119" i="4"/>
  <c r="J120" i="4"/>
  <c r="X120" i="4"/>
  <c r="B121" i="4"/>
  <c r="P121" i="4"/>
  <c r="AA121" i="4"/>
  <c r="H122" i="4"/>
  <c r="R122" i="4"/>
  <c r="AD122" i="4"/>
  <c r="G123" i="4"/>
  <c r="Q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F50" i="4"/>
  <c r="V76" i="4"/>
  <c r="L86" i="4"/>
  <c r="H90" i="4"/>
  <c r="S93" i="4"/>
  <c r="Y95" i="4"/>
  <c r="N97" i="4"/>
  <c r="AE98" i="4"/>
  <c r="O100" i="4"/>
  <c r="AC101" i="4"/>
  <c r="AG102" i="4"/>
  <c r="C104" i="4"/>
  <c r="G105" i="4"/>
  <c r="K106" i="4"/>
  <c r="N107" i="4"/>
  <c r="R108" i="4"/>
  <c r="U109" i="4"/>
  <c r="V110" i="4"/>
  <c r="R111" i="4"/>
  <c r="D112" i="4"/>
  <c r="AA112" i="4"/>
  <c r="P113" i="4"/>
  <c r="B114" i="4"/>
  <c r="X114" i="4"/>
  <c r="G115" i="4"/>
  <c r="W115" i="4"/>
  <c r="D116" i="4"/>
  <c r="O116" i="4"/>
  <c r="AC116" i="4"/>
  <c r="G117" i="4"/>
  <c r="U117" i="4"/>
  <c r="B118" i="4"/>
  <c r="M118" i="4"/>
  <c r="AA118" i="4"/>
  <c r="E119" i="4"/>
  <c r="S119" i="4"/>
  <c r="AG119" i="4"/>
  <c r="K120" i="4"/>
  <c r="Y120" i="4"/>
  <c r="C121" i="4"/>
  <c r="Q121" i="4"/>
  <c r="AE121" i="4"/>
  <c r="I122" i="4"/>
  <c r="U122" i="4"/>
  <c r="AE122" i="4"/>
  <c r="H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E60" i="4"/>
  <c r="AF78" i="4"/>
  <c r="J87" i="4"/>
  <c r="F91" i="4"/>
  <c r="C94" i="4"/>
  <c r="C96" i="4"/>
  <c r="X97" i="4"/>
  <c r="H99" i="4"/>
  <c r="AB100" i="4"/>
  <c r="D102" i="4"/>
  <c r="H103" i="4"/>
  <c r="K104" i="4"/>
  <c r="O105" i="4"/>
  <c r="S106" i="4"/>
  <c r="V107" i="4"/>
  <c r="Z108" i="4"/>
  <c r="AC109" i="4"/>
  <c r="AC110" i="4"/>
  <c r="T111" i="4"/>
  <c r="I112" i="4"/>
  <c r="AB112" i="4"/>
  <c r="R113" i="4"/>
  <c r="G114" i="4"/>
  <c r="Y114" i="4"/>
  <c r="H115" i="4"/>
  <c r="X115" i="4"/>
  <c r="E116" i="4"/>
  <c r="P116" i="4"/>
  <c r="AD116" i="4"/>
  <c r="K117" i="4"/>
  <c r="V117" i="4"/>
  <c r="C118" i="4"/>
  <c r="N118" i="4"/>
  <c r="AB118" i="4"/>
  <c r="I119" i="4"/>
  <c r="T119" i="4"/>
  <c r="A120" i="4"/>
  <c r="L120" i="4"/>
  <c r="Z120" i="4"/>
  <c r="G121" i="4"/>
  <c r="R121" i="4"/>
  <c r="AF121" i="4"/>
  <c r="J122" i="4"/>
  <c r="V122" i="4"/>
  <c r="AF122" i="4"/>
  <c r="I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D61" i="4"/>
  <c r="I79" i="4"/>
  <c r="K87" i="4"/>
  <c r="G91" i="4"/>
  <c r="D94" i="4"/>
  <c r="H96" i="4"/>
  <c r="Y97" i="4"/>
  <c r="L99" i="4"/>
  <c r="AC100" i="4"/>
  <c r="E102" i="4"/>
  <c r="I103" i="4"/>
  <c r="M104" i="4"/>
  <c r="P105" i="4"/>
  <c r="T106" i="4"/>
  <c r="W107" i="4"/>
  <c r="AA108" i="4"/>
  <c r="AD109" i="4"/>
  <c r="AD110" i="4"/>
  <c r="U111" i="4"/>
  <c r="K112" i="4"/>
  <c r="AG112" i="4"/>
  <c r="S113" i="4"/>
  <c r="I114" i="4"/>
  <c r="Z114" i="4"/>
  <c r="I115" i="4"/>
  <c r="Y115" i="4"/>
  <c r="F116" i="4"/>
  <c r="T116" i="4"/>
  <c r="AE116" i="4"/>
  <c r="L117" i="4"/>
  <c r="W117" i="4"/>
  <c r="D118" i="4"/>
  <c r="R118" i="4"/>
  <c r="AC118" i="4"/>
  <c r="J119" i="4"/>
  <c r="U119" i="4"/>
  <c r="B120" i="4"/>
  <c r="P120" i="4"/>
  <c r="AA120" i="4"/>
  <c r="H121" i="4"/>
  <c r="S121" i="4"/>
  <c r="AG121" i="4"/>
  <c r="M122" i="4"/>
  <c r="W122" i="4"/>
  <c r="AG122" i="4"/>
  <c r="L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N67" i="4"/>
  <c r="Q81" i="4"/>
  <c r="I88" i="4"/>
  <c r="E92" i="4"/>
  <c r="U94" i="4"/>
  <c r="R96" i="4"/>
  <c r="E98" i="4"/>
  <c r="V99" i="4"/>
  <c r="F101" i="4"/>
  <c r="M102" i="4"/>
  <c r="Q103" i="4"/>
  <c r="U104" i="4"/>
  <c r="X105" i="4"/>
  <c r="AB106" i="4"/>
  <c r="AE107" i="4"/>
  <c r="B109" i="4"/>
  <c r="E110" i="4"/>
  <c r="D111" i="4"/>
  <c r="Z111" i="4"/>
  <c r="L112" i="4"/>
  <c r="B113" i="4"/>
  <c r="X113" i="4"/>
  <c r="J114" i="4"/>
  <c r="AE114" i="4"/>
  <c r="N115" i="4"/>
  <c r="AC115" i="4"/>
  <c r="G116" i="4"/>
  <c r="U116" i="4"/>
  <c r="AF116" i="4"/>
  <c r="M117" i="4"/>
  <c r="AA117" i="4"/>
  <c r="E118" i="4"/>
  <c r="S118" i="4"/>
  <c r="AD118" i="4"/>
  <c r="K119" i="4"/>
  <c r="Y119" i="4"/>
  <c r="C120" i="4"/>
  <c r="Q120" i="4"/>
  <c r="AB120" i="4"/>
  <c r="I121" i="4"/>
  <c r="W121" i="4"/>
  <c r="A122" i="4"/>
  <c r="N122" i="4"/>
  <c r="X122" i="4"/>
  <c r="A123" i="4"/>
  <c r="M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F67" i="4"/>
  <c r="AC81" i="4"/>
  <c r="J88" i="4"/>
  <c r="F92" i="4"/>
  <c r="Z94" i="4"/>
  <c r="S96" i="4"/>
  <c r="F98" i="4"/>
  <c r="W99" i="4"/>
  <c r="J101" i="4"/>
  <c r="O102" i="4"/>
  <c r="R103" i="4"/>
  <c r="V104" i="4"/>
  <c r="Y105" i="4"/>
  <c r="AC106" i="4"/>
  <c r="AF107" i="4"/>
  <c r="C109" i="4"/>
  <c r="F110" i="4"/>
  <c r="E111" i="4"/>
  <c r="AB111" i="4"/>
  <c r="Q112" i="4"/>
  <c r="C113" i="4"/>
  <c r="Z113" i="4"/>
  <c r="O114" i="4"/>
  <c r="AF114" i="4"/>
  <c r="O115" i="4"/>
  <c r="AD115" i="4"/>
  <c r="H116" i="4"/>
  <c r="V116" i="4"/>
  <c r="C117" i="4"/>
  <c r="N117" i="4"/>
  <c r="AB117" i="4"/>
  <c r="F118" i="4"/>
  <c r="T118" i="4"/>
  <c r="A119" i="4"/>
  <c r="L119" i="4"/>
  <c r="Z119" i="4"/>
  <c r="D120" i="4"/>
  <c r="R120" i="4"/>
  <c r="AF120" i="4"/>
  <c r="J121" i="4"/>
  <c r="X121" i="4"/>
  <c r="B122" i="4"/>
  <c r="O122" i="4"/>
  <c r="Y122" i="4"/>
  <c r="D123" i="4"/>
  <c r="N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P72" i="4"/>
  <c r="D84" i="4"/>
  <c r="H89" i="4"/>
  <c r="AB92" i="4"/>
  <c r="D95" i="4"/>
  <c r="AF96" i="4"/>
  <c r="P98" i="4"/>
  <c r="C100" i="4"/>
  <c r="S101" i="4"/>
  <c r="W102" i="4"/>
  <c r="Z103" i="4"/>
  <c r="AD104" i="4"/>
  <c r="AG105" i="4"/>
  <c r="D107" i="4"/>
  <c r="G108" i="4"/>
  <c r="K109" i="4"/>
  <c r="M110" i="4"/>
  <c r="J111" i="4"/>
  <c r="AC111" i="4"/>
  <c r="S112" i="4"/>
  <c r="H113" i="4"/>
  <c r="AA113" i="4"/>
  <c r="Q114" i="4"/>
  <c r="AG114" i="4"/>
  <c r="P115" i="4"/>
  <c r="AE115" i="4"/>
  <c r="L116" i="4"/>
  <c r="W116" i="4"/>
  <c r="D117" i="4"/>
  <c r="O117" i="4"/>
  <c r="AC117" i="4"/>
  <c r="J118" i="4"/>
  <c r="U118" i="4"/>
  <c r="B119" i="4"/>
  <c r="M119" i="4"/>
  <c r="AA119" i="4"/>
  <c r="H120" i="4"/>
  <c r="S120" i="4"/>
  <c r="AG120" i="4"/>
  <c r="K121" i="4"/>
  <c r="Y121" i="4"/>
  <c r="F122" i="4"/>
  <c r="P122" i="4"/>
  <c r="Z122" i="4"/>
  <c r="E123" i="4"/>
  <c r="O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AF72" i="4"/>
  <c r="T101" i="4"/>
  <c r="N110" i="4"/>
  <c r="Q115" i="4"/>
  <c r="V118" i="4"/>
  <c r="Z121" i="4"/>
  <c r="I124" i="4"/>
  <c r="G126" i="4"/>
  <c r="E128" i="4"/>
  <c r="C130" i="4"/>
  <c r="A132" i="4"/>
  <c r="H133" i="4"/>
  <c r="AE133" i="4"/>
  <c r="U134" i="4"/>
  <c r="F135" i="4"/>
  <c r="AC135" i="4"/>
  <c r="S136" i="4"/>
  <c r="D137" i="4"/>
  <c r="X137" i="4"/>
  <c r="C138" i="4"/>
  <c r="Q138" i="4"/>
  <c r="AE138" i="4"/>
  <c r="I139" i="4"/>
  <c r="W139" i="4"/>
  <c r="A140" i="4"/>
  <c r="O140" i="4"/>
  <c r="AC140" i="4"/>
  <c r="G141" i="4"/>
  <c r="U141" i="4"/>
  <c r="AF141" i="4"/>
  <c r="H141" i="4"/>
  <c r="L137" i="4"/>
  <c r="O139" i="4"/>
  <c r="U140" i="4"/>
  <c r="X141" i="4"/>
  <c r="E136" i="4"/>
  <c r="J138" i="4"/>
  <c r="P139" i="4"/>
  <c r="V140" i="4"/>
  <c r="AB141" i="4"/>
  <c r="I108" i="4"/>
  <c r="Z123" i="4"/>
  <c r="V127" i="4"/>
  <c r="F133" i="4"/>
  <c r="L136" i="4"/>
  <c r="S137" i="4"/>
  <c r="Z138" i="4"/>
  <c r="M140" i="4"/>
  <c r="P141" i="4"/>
  <c r="K118" i="4"/>
  <c r="AD127" i="4"/>
  <c r="O134" i="4"/>
  <c r="P138" i="4"/>
  <c r="T141" i="4"/>
  <c r="M84" i="4"/>
  <c r="X102" i="4"/>
  <c r="L111" i="4"/>
  <c r="AF115" i="4"/>
  <c r="C119" i="4"/>
  <c r="G122" i="4"/>
  <c r="Q124" i="4"/>
  <c r="O126" i="4"/>
  <c r="M128" i="4"/>
  <c r="K130" i="4"/>
  <c r="I132" i="4"/>
  <c r="N133" i="4"/>
  <c r="AF133" i="4"/>
  <c r="V134" i="4"/>
  <c r="L135" i="4"/>
  <c r="AD135" i="4"/>
  <c r="T136" i="4"/>
  <c r="J137" i="4"/>
  <c r="Z137" i="4"/>
  <c r="G138" i="4"/>
  <c r="R138" i="4"/>
  <c r="AF138" i="4"/>
  <c r="J139" i="4"/>
  <c r="X139" i="4"/>
  <c r="E140" i="4"/>
  <c r="P140" i="4"/>
  <c r="AD140" i="4"/>
  <c r="V141" i="4"/>
  <c r="D100" i="4"/>
  <c r="M136" i="4"/>
  <c r="AG139" i="4"/>
  <c r="I89" i="4"/>
  <c r="AA103" i="4"/>
  <c r="A112" i="4"/>
  <c r="M116" i="4"/>
  <c r="Q119" i="4"/>
  <c r="Q122" i="4"/>
  <c r="Y124" i="4"/>
  <c r="W126" i="4"/>
  <c r="U128" i="4"/>
  <c r="S130" i="4"/>
  <c r="Q132" i="4"/>
  <c r="O133" i="4"/>
  <c r="E134" i="4"/>
  <c r="W134" i="4"/>
  <c r="M135" i="4"/>
  <c r="C136" i="4"/>
  <c r="U136" i="4"/>
  <c r="K137" i="4"/>
  <c r="AA137" i="4"/>
  <c r="H138" i="4"/>
  <c r="S138" i="4"/>
  <c r="AG138" i="4"/>
  <c r="N139" i="4"/>
  <c r="Y139" i="4"/>
  <c r="F140" i="4"/>
  <c r="Q140" i="4"/>
  <c r="AE140" i="4"/>
  <c r="L141" i="4"/>
  <c r="W141" i="4"/>
  <c r="I138" i="4"/>
  <c r="A139" i="4"/>
  <c r="G140" i="4"/>
  <c r="M141" i="4"/>
  <c r="AB136" i="4"/>
  <c r="AF137" i="4"/>
  <c r="X138" i="4"/>
  <c r="AD139" i="4"/>
  <c r="H140" i="4"/>
  <c r="AG140" i="4"/>
  <c r="R114" i="4"/>
  <c r="A121" i="4"/>
  <c r="T129" i="4"/>
  <c r="X133" i="4"/>
  <c r="V135" i="4"/>
  <c r="A138" i="4"/>
  <c r="AF139" i="4"/>
  <c r="AD141" i="4"/>
  <c r="O121" i="4"/>
  <c r="AB129" i="4"/>
  <c r="E135" i="4"/>
  <c r="B138" i="4"/>
  <c r="V139" i="4"/>
  <c r="AE141" i="4"/>
  <c r="AC92" i="4"/>
  <c r="AE104" i="4"/>
  <c r="T112" i="4"/>
  <c r="X116" i="4"/>
  <c r="AB119" i="4"/>
  <c r="AC122" i="4"/>
  <c r="AG124" i="4"/>
  <c r="AE126" i="4"/>
  <c r="AC128" i="4"/>
  <c r="AA130" i="4"/>
  <c r="Y132" i="4"/>
  <c r="P133" i="4"/>
  <c r="F134" i="4"/>
  <c r="AC134" i="4"/>
  <c r="N135" i="4"/>
  <c r="D136" i="4"/>
  <c r="AA136" i="4"/>
  <c r="AB137" i="4"/>
  <c r="W138" i="4"/>
  <c r="Z139" i="4"/>
  <c r="AF140" i="4"/>
  <c r="AD117" i="4"/>
  <c r="D135" i="4"/>
  <c r="O138" i="4"/>
  <c r="X140" i="4"/>
  <c r="A124" i="4"/>
  <c r="Z131" i="4"/>
  <c r="AB135" i="4"/>
  <c r="AA138" i="4"/>
  <c r="Y140" i="4"/>
  <c r="I95" i="4"/>
  <c r="A106" i="4"/>
  <c r="J113" i="4"/>
  <c r="E117" i="4"/>
  <c r="I120" i="4"/>
  <c r="F123" i="4"/>
  <c r="H125" i="4"/>
  <c r="F127" i="4"/>
  <c r="D129" i="4"/>
  <c r="B131" i="4"/>
  <c r="AE132" i="4"/>
  <c r="V133" i="4"/>
  <c r="G134" i="4"/>
  <c r="AD134" i="4"/>
  <c r="T135" i="4"/>
  <c r="P137" i="4"/>
  <c r="B139" i="4"/>
  <c r="N141" i="4"/>
  <c r="R131" i="4"/>
  <c r="G139" i="4"/>
  <c r="E141" i="4"/>
  <c r="L109" i="4"/>
  <c r="G133" i="4"/>
  <c r="C137" i="4"/>
  <c r="N140" i="4"/>
  <c r="AG96" i="4"/>
  <c r="E107" i="4"/>
  <c r="AF113" i="4"/>
  <c r="S117" i="4"/>
  <c r="T120" i="4"/>
  <c r="P123" i="4"/>
  <c r="P125" i="4"/>
  <c r="N127" i="4"/>
  <c r="L129" i="4"/>
  <c r="J131" i="4"/>
  <c r="AG132" i="4"/>
  <c r="W133" i="4"/>
  <c r="M134" i="4"/>
  <c r="AE134" i="4"/>
  <c r="U135" i="4"/>
  <c r="K136" i="4"/>
  <c r="AC136" i="4"/>
  <c r="R137" i="4"/>
  <c r="AG137" i="4"/>
  <c r="K138" i="4"/>
  <c r="Y138" i="4"/>
  <c r="F139" i="4"/>
  <c r="Q139" i="4"/>
  <c r="AE139" i="4"/>
  <c r="I140" i="4"/>
  <c r="W140" i="4"/>
  <c r="D141" i="4"/>
  <c r="O141" i="4"/>
  <c r="AC141" i="4"/>
  <c r="Q98" i="4"/>
  <c r="X125" i="4"/>
  <c r="N134" i="4"/>
  <c r="B137" i="4"/>
  <c r="R139" i="4"/>
  <c r="A115" i="4"/>
  <c r="AF125" i="4"/>
  <c r="AD133" i="4"/>
  <c r="T137" i="4"/>
  <c r="H139" i="4"/>
  <c r="F141" i="4"/>
  <c r="R14" i="1"/>
  <c r="D50" i="1"/>
  <c r="G9" i="1"/>
  <c r="D10" i="1"/>
  <c r="B38" i="3" s="1"/>
  <c r="J8" i="3" s="1"/>
  <c r="B21" i="1"/>
  <c r="B44" i="1"/>
  <c r="D44" i="1"/>
  <c r="B36" i="3"/>
  <c r="B29" i="3"/>
  <c r="D18" i="3"/>
  <c r="D9" i="3"/>
  <c r="AJ9" i="3" a="1"/>
  <c r="AJ11" i="3" a="1"/>
  <c r="AJ10" i="3" a="1"/>
  <c r="G52" i="1" l="1"/>
  <c r="D54" i="1"/>
  <c r="B17" i="3" s="1"/>
  <c r="AJ9" i="3"/>
  <c r="AJ11" i="3"/>
  <c r="AJ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I11" i="3" a="1"/>
  <c r="AI9" i="3" a="1"/>
  <c r="I1" i="3" a="1"/>
  <c r="AI10" i="3" a="1"/>
  <c r="AH9" i="3" a="1"/>
  <c r="J10" i="3" a="1"/>
  <c r="AH5" i="3" a="1"/>
  <c r="AH10" i="3" a="1"/>
  <c r="AH11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O5" i="3"/>
  <c r="AL6" i="3"/>
  <c r="AI7" i="3"/>
  <c r="AQ7" i="3"/>
  <c r="AN8" i="3"/>
  <c r="AN7" i="3"/>
  <c r="AH5" i="3"/>
  <c r="AP5" i="3"/>
  <c r="AM6" i="3"/>
  <c r="AJ7" i="3"/>
  <c r="AR7" i="3"/>
  <c r="AO8" i="3"/>
  <c r="AK5" i="3"/>
  <c r="AP6" i="3"/>
  <c r="AJ8" i="3"/>
  <c r="AL5" i="3"/>
  <c r="AI5" i="3"/>
  <c r="AQ5" i="3"/>
  <c r="AN6" i="3"/>
  <c r="AK7" i="3"/>
  <c r="AH8" i="3"/>
  <c r="AP8" i="3"/>
  <c r="AH6" i="3"/>
  <c r="AM7" i="3"/>
  <c r="AR8" i="3"/>
  <c r="AI6" i="3"/>
  <c r="AK8" i="3"/>
  <c r="AJ5" i="3"/>
  <c r="AR5" i="3"/>
  <c r="AO6" i="3"/>
  <c r="AL7" i="3"/>
  <c r="AI8" i="3"/>
  <c r="AQ8" i="3"/>
  <c r="AM5" i="3"/>
  <c r="AJ6" i="3"/>
  <c r="AR6" i="3"/>
  <c r="AO7" i="3"/>
  <c r="AL8" i="3"/>
  <c r="AK6" i="3"/>
  <c r="AH7" i="3"/>
  <c r="AP7" i="3"/>
  <c r="AM8" i="3"/>
  <c r="AQ6" i="3"/>
  <c r="AN5" i="3"/>
  <c r="AH10" i="3"/>
  <c r="AI10" i="3"/>
  <c r="AH11" i="3"/>
  <c r="AI9" i="3"/>
  <c r="AH9" i="3"/>
  <c r="AI11" i="3"/>
  <c r="Q3" i="3" l="1"/>
  <c r="Q2" i="3"/>
  <c r="R2" i="3" s="1"/>
  <c r="Z14" i="3"/>
  <c r="Z22" i="3"/>
  <c r="Z38" i="3"/>
  <c r="Z46" i="3"/>
  <c r="Z11" i="3"/>
  <c r="Z19" i="3"/>
  <c r="Z27" i="3"/>
  <c r="Z35" i="3"/>
  <c r="Z59" i="3"/>
  <c r="Z18" i="3"/>
  <c r="Z26" i="3"/>
  <c r="Z42" i="3"/>
  <c r="Z23" i="3"/>
  <c r="Z31" i="3"/>
  <c r="Z39" i="3"/>
  <c r="Z47" i="3"/>
  <c r="Z12" i="3"/>
  <c r="Z28" i="3"/>
  <c r="Z60" i="3"/>
  <c r="Z74" i="3"/>
  <c r="Z82" i="3"/>
  <c r="Z32" i="3"/>
  <c r="Z68" i="3"/>
  <c r="Z76" i="3"/>
  <c r="Z84" i="3"/>
  <c r="Z100" i="3"/>
  <c r="Z21" i="3"/>
  <c r="Z37" i="3"/>
  <c r="Z53" i="3"/>
  <c r="Z73" i="3"/>
  <c r="Z81" i="3"/>
  <c r="Z89" i="3"/>
  <c r="Z97" i="3"/>
  <c r="Z105" i="3"/>
  <c r="Z20" i="3"/>
  <c r="Z36" i="3"/>
  <c r="Z52" i="3"/>
  <c r="Z58" i="3"/>
  <c r="Z62" i="3"/>
  <c r="Z78" i="3"/>
  <c r="Z24" i="3"/>
  <c r="Z40" i="3"/>
  <c r="I49" i="3" a="1"/>
  <c r="I49" i="3" s="1"/>
  <c r="Z56" i="3"/>
  <c r="Z64" i="3"/>
  <c r="Z72" i="3"/>
  <c r="Z13" i="3"/>
  <c r="Z29" i="3"/>
  <c r="Z45" i="3"/>
  <c r="Z69" i="3"/>
  <c r="Z77" i="3"/>
  <c r="Z85" i="3"/>
  <c r="Z96" i="3"/>
  <c r="Z108" i="3"/>
  <c r="Z132" i="3"/>
  <c r="Z140" i="3"/>
  <c r="Z148" i="3"/>
  <c r="Z41" i="3"/>
  <c r="Z75" i="3"/>
  <c r="Z87" i="3"/>
  <c r="Z101" i="3"/>
  <c r="Z113" i="3"/>
  <c r="Z121" i="3"/>
  <c r="Z129" i="3"/>
  <c r="Z137" i="3"/>
  <c r="Z145" i="3"/>
  <c r="Z153" i="3"/>
  <c r="Z33" i="3"/>
  <c r="Z61" i="3"/>
  <c r="Z94" i="3"/>
  <c r="Z98" i="3"/>
  <c r="Z112" i="3"/>
  <c r="Z120" i="3"/>
  <c r="Z128" i="3"/>
  <c r="Z99" i="3"/>
  <c r="Z109" i="3"/>
  <c r="Z117" i="3"/>
  <c r="Z125" i="3"/>
  <c r="Z133" i="3"/>
  <c r="Z88" i="3"/>
  <c r="Z106" i="3"/>
  <c r="Z110" i="3"/>
  <c r="Z126" i="3"/>
  <c r="Z138" i="3"/>
  <c r="Z156" i="3"/>
  <c r="Z164" i="3"/>
  <c r="Z172" i="3"/>
  <c r="Z180" i="3"/>
  <c r="Z196" i="3"/>
  <c r="Z204" i="3"/>
  <c r="Z212" i="3"/>
  <c r="Z93" i="3"/>
  <c r="Z115" i="3"/>
  <c r="Z139" i="3"/>
  <c r="Z143" i="3"/>
  <c r="Z161" i="3"/>
  <c r="Z169" i="3"/>
  <c r="Z177" i="3"/>
  <c r="Z185" i="3"/>
  <c r="Z193" i="3"/>
  <c r="Z201" i="3"/>
  <c r="Z209" i="3"/>
  <c r="Z17" i="3"/>
  <c r="Z63" i="3"/>
  <c r="Z102" i="3"/>
  <c r="Z118" i="3"/>
  <c r="Z136" i="3"/>
  <c r="Z150" i="3"/>
  <c r="Z160" i="3"/>
  <c r="Z168" i="3"/>
  <c r="Z184" i="3"/>
  <c r="Z192" i="3"/>
  <c r="Z200" i="3"/>
  <c r="Z208" i="3"/>
  <c r="Z57" i="3"/>
  <c r="Z83" i="3"/>
  <c r="Z107" i="3"/>
  <c r="Z123" i="3"/>
  <c r="Z141" i="3"/>
  <c r="Z157" i="3"/>
  <c r="Z181" i="3"/>
  <c r="Z189" i="3"/>
  <c r="Z197" i="3"/>
  <c r="Z205" i="3"/>
  <c r="Z213" i="3"/>
  <c r="R17" i="1"/>
  <c r="Z49" i="3"/>
  <c r="Z104" i="3"/>
  <c r="Z122" i="3"/>
  <c r="Z142" i="3"/>
  <c r="Z130" i="3"/>
  <c r="Z134" i="3"/>
  <c r="Z144" i="3"/>
  <c r="Z166" i="3"/>
  <c r="Z182" i="3"/>
  <c r="Z198" i="3"/>
  <c r="Z214" i="3"/>
  <c r="Z220" i="3"/>
  <c r="Z228" i="3"/>
  <c r="Z236" i="3"/>
  <c r="Z244" i="3"/>
  <c r="Z252" i="3"/>
  <c r="Z260" i="3"/>
  <c r="Z268" i="3"/>
  <c r="Z276" i="3"/>
  <c r="Z284" i="3"/>
  <c r="Z292" i="3"/>
  <c r="Z300" i="3"/>
  <c r="Z308" i="3"/>
  <c r="Z324" i="3"/>
  <c r="Z340" i="3"/>
  <c r="Z348" i="3"/>
  <c r="Z356" i="3"/>
  <c r="Z364" i="3"/>
  <c r="Z372" i="3"/>
  <c r="Z67" i="3"/>
  <c r="Z95" i="3"/>
  <c r="Z149" i="3"/>
  <c r="Z155" i="3"/>
  <c r="Z171" i="3"/>
  <c r="Z187" i="3"/>
  <c r="Z203" i="3"/>
  <c r="Z217" i="3"/>
  <c r="Z225" i="3"/>
  <c r="Z233" i="3"/>
  <c r="Z241" i="3"/>
  <c r="Z249" i="3"/>
  <c r="Z257" i="3"/>
  <c r="Z265" i="3"/>
  <c r="Z273" i="3"/>
  <c r="Z281" i="3"/>
  <c r="Z289" i="3"/>
  <c r="Z297" i="3"/>
  <c r="Z305" i="3"/>
  <c r="Z313" i="3"/>
  <c r="Z321" i="3"/>
  <c r="Z337" i="3"/>
  <c r="Z345" i="3"/>
  <c r="Z353" i="3"/>
  <c r="Z361" i="3"/>
  <c r="Z369" i="3"/>
  <c r="Z79" i="3"/>
  <c r="Z90" i="3"/>
  <c r="Z114" i="3"/>
  <c r="Z131" i="3"/>
  <c r="Z158" i="3"/>
  <c r="Z174" i="3"/>
  <c r="Z190" i="3"/>
  <c r="Z206" i="3"/>
  <c r="Z216" i="3"/>
  <c r="Z224" i="3"/>
  <c r="Z232" i="3"/>
  <c r="Z240" i="3"/>
  <c r="Z248" i="3"/>
  <c r="Z256" i="3"/>
  <c r="Z264" i="3"/>
  <c r="Z272" i="3"/>
  <c r="Z280" i="3"/>
  <c r="Z288" i="3"/>
  <c r="Z296" i="3"/>
  <c r="Z304" i="3"/>
  <c r="Z312" i="3"/>
  <c r="Z320" i="3"/>
  <c r="Z328" i="3"/>
  <c r="Z336" i="3"/>
  <c r="Z344" i="3"/>
  <c r="Z352" i="3"/>
  <c r="Z360" i="3"/>
  <c r="Z368" i="3"/>
  <c r="Z25" i="3"/>
  <c r="Z119" i="3"/>
  <c r="Z135" i="3"/>
  <c r="Z163" i="3"/>
  <c r="Z179" i="3"/>
  <c r="Z195" i="3"/>
  <c r="Z211" i="3"/>
  <c r="Z221" i="3"/>
  <c r="Z229" i="3"/>
  <c r="Z237" i="3"/>
  <c r="Z245" i="3"/>
  <c r="Z253" i="3"/>
  <c r="Z261" i="3"/>
  <c r="Z269" i="3"/>
  <c r="Z277" i="3"/>
  <c r="Z285" i="3"/>
  <c r="Z301" i="3"/>
  <c r="Z309" i="3"/>
  <c r="Z317" i="3"/>
  <c r="Z325" i="3"/>
  <c r="Z333" i="3"/>
  <c r="Z341" i="3"/>
  <c r="Z349" i="3"/>
  <c r="Z365" i="3"/>
  <c r="Z178" i="3"/>
  <c r="Z210" i="3"/>
  <c r="Z226" i="3"/>
  <c r="Z242" i="3"/>
  <c r="Z258" i="3"/>
  <c r="Z274" i="3"/>
  <c r="Z127" i="3"/>
  <c r="Z147" i="3"/>
  <c r="Z183" i="3"/>
  <c r="Z215" i="3"/>
  <c r="Z231" i="3"/>
  <c r="Z247" i="3"/>
  <c r="Z263" i="3"/>
  <c r="Z154" i="3"/>
  <c r="Z186" i="3"/>
  <c r="Z230" i="3"/>
  <c r="Z246" i="3"/>
  <c r="Z262" i="3"/>
  <c r="Z278" i="3"/>
  <c r="Z294" i="3"/>
  <c r="Z310" i="3"/>
  <c r="Z326" i="3"/>
  <c r="Z342" i="3"/>
  <c r="Z358" i="3"/>
  <c r="Z380" i="3"/>
  <c r="Z388" i="3"/>
  <c r="Z396" i="3"/>
  <c r="Z404" i="3"/>
  <c r="Z412" i="3"/>
  <c r="Z420" i="3"/>
  <c r="Z428" i="3"/>
  <c r="Z436" i="3"/>
  <c r="Z444" i="3"/>
  <c r="Z452" i="3"/>
  <c r="Z460" i="3"/>
  <c r="Z468" i="3"/>
  <c r="Z151" i="3"/>
  <c r="Z159" i="3"/>
  <c r="Z191" i="3"/>
  <c r="Z219" i="3"/>
  <c r="Z235" i="3"/>
  <c r="Z251" i="3"/>
  <c r="Z267" i="3"/>
  <c r="Z283" i="3"/>
  <c r="Z299" i="3"/>
  <c r="Z315" i="3"/>
  <c r="Z331" i="3"/>
  <c r="Z347" i="3"/>
  <c r="Z363" i="3"/>
  <c r="Z377" i="3"/>
  <c r="Z385" i="3"/>
  <c r="Z393" i="3"/>
  <c r="Z401" i="3"/>
  <c r="Z409" i="3"/>
  <c r="Z425" i="3"/>
  <c r="Z441" i="3"/>
  <c r="Z449" i="3"/>
  <c r="Z457" i="3"/>
  <c r="Z111" i="3"/>
  <c r="Z162" i="3"/>
  <c r="Z194" i="3"/>
  <c r="Z218" i="3"/>
  <c r="Z234" i="3"/>
  <c r="Z250" i="3"/>
  <c r="Z266" i="3"/>
  <c r="Z167" i="3"/>
  <c r="Z199" i="3"/>
  <c r="Z223" i="3"/>
  <c r="Z239" i="3"/>
  <c r="Z255" i="3"/>
  <c r="Z271" i="3"/>
  <c r="Z146" i="3"/>
  <c r="Z170" i="3"/>
  <c r="Z202" i="3"/>
  <c r="Z222" i="3"/>
  <c r="Z238" i="3"/>
  <c r="Z254" i="3"/>
  <c r="Z270" i="3"/>
  <c r="Z286" i="3"/>
  <c r="Z302" i="3"/>
  <c r="Z318" i="3"/>
  <c r="Z334" i="3"/>
  <c r="Z350" i="3"/>
  <c r="Z366" i="3"/>
  <c r="Z376" i="3"/>
  <c r="Z384" i="3"/>
  <c r="Z392" i="3"/>
  <c r="Z400" i="3"/>
  <c r="Z408" i="3"/>
  <c r="Z416" i="3"/>
  <c r="Z424" i="3"/>
  <c r="Z432" i="3"/>
  <c r="Z440" i="3"/>
  <c r="Z448" i="3"/>
  <c r="Z456" i="3"/>
  <c r="Z464" i="3"/>
  <c r="Z91" i="3"/>
  <c r="Z175" i="3"/>
  <c r="Z207" i="3"/>
  <c r="Z227" i="3"/>
  <c r="Z243" i="3"/>
  <c r="Z259" i="3"/>
  <c r="Z275" i="3"/>
  <c r="Z291" i="3"/>
  <c r="Z307" i="3"/>
  <c r="Z323" i="3"/>
  <c r="Z339" i="3"/>
  <c r="Z355" i="3"/>
  <c r="Z371" i="3"/>
  <c r="Z373" i="3"/>
  <c r="Z381" i="3"/>
  <c r="Z389" i="3"/>
  <c r="Z397" i="3"/>
  <c r="Z405" i="3"/>
  <c r="Z413" i="3"/>
  <c r="Z421" i="3"/>
  <c r="Z429" i="3"/>
  <c r="Z437" i="3"/>
  <c r="Z445" i="3"/>
  <c r="Z453" i="3"/>
  <c r="Z461" i="3"/>
  <c r="Z469" i="3"/>
  <c r="Z290" i="3"/>
  <c r="Z322" i="3"/>
  <c r="Z354" i="3"/>
  <c r="Z378" i="3"/>
  <c r="Z394" i="3"/>
  <c r="Z410" i="3"/>
  <c r="Z426" i="3"/>
  <c r="Z442" i="3"/>
  <c r="Z458" i="3"/>
  <c r="Z483" i="3"/>
  <c r="Z491" i="3"/>
  <c r="Z295" i="3"/>
  <c r="Z327" i="3"/>
  <c r="Z359" i="3"/>
  <c r="Z383" i="3"/>
  <c r="Z399" i="3"/>
  <c r="Z415" i="3"/>
  <c r="Z431" i="3"/>
  <c r="Z447" i="3"/>
  <c r="Z480" i="3"/>
  <c r="Z488" i="3"/>
  <c r="Z496" i="3"/>
  <c r="Z298" i="3"/>
  <c r="Z330" i="3"/>
  <c r="Z362" i="3"/>
  <c r="Z382" i="3"/>
  <c r="Z398" i="3"/>
  <c r="Z414" i="3"/>
  <c r="Z430" i="3"/>
  <c r="Z446" i="3"/>
  <c r="Z462" i="3"/>
  <c r="Z463" i="3"/>
  <c r="Z465" i="3"/>
  <c r="Z466" i="3"/>
  <c r="Z475" i="3"/>
  <c r="Z477" i="3"/>
  <c r="Z485" i="3"/>
  <c r="Z493" i="3"/>
  <c r="Z501" i="3"/>
  <c r="Z509" i="3"/>
  <c r="Z517" i="3"/>
  <c r="Z525" i="3"/>
  <c r="Z533" i="3"/>
  <c r="Z541" i="3"/>
  <c r="Z549" i="3"/>
  <c r="Z557" i="3"/>
  <c r="Z565" i="3"/>
  <c r="Z573" i="3"/>
  <c r="Z581" i="3"/>
  <c r="Z589" i="3"/>
  <c r="Z597" i="3"/>
  <c r="Z605" i="3"/>
  <c r="Z613" i="3"/>
  <c r="Z621" i="3"/>
  <c r="Z629" i="3"/>
  <c r="Z637" i="3"/>
  <c r="Z645" i="3"/>
  <c r="Z653" i="3"/>
  <c r="Z661" i="3"/>
  <c r="Z303" i="3"/>
  <c r="Z335" i="3"/>
  <c r="Z367" i="3"/>
  <c r="Z387" i="3"/>
  <c r="Z403" i="3"/>
  <c r="Z419" i="3"/>
  <c r="Z435" i="3"/>
  <c r="Z467" i="3"/>
  <c r="Z470" i="3"/>
  <c r="Z471" i="3"/>
  <c r="Z482" i="3"/>
  <c r="Z490" i="3"/>
  <c r="Z498" i="3"/>
  <c r="Z506" i="3"/>
  <c r="Z514" i="3"/>
  <c r="Z522" i="3"/>
  <c r="Z530" i="3"/>
  <c r="Z538" i="3"/>
  <c r="Z546" i="3"/>
  <c r="Z554" i="3"/>
  <c r="Z562" i="3"/>
  <c r="Z570" i="3"/>
  <c r="Z578" i="3"/>
  <c r="Z586" i="3"/>
  <c r="Z594" i="3"/>
  <c r="Z602" i="3"/>
  <c r="Z610" i="3"/>
  <c r="Z618" i="3"/>
  <c r="Z626" i="3"/>
  <c r="Z634" i="3"/>
  <c r="Z642" i="3"/>
  <c r="Z650" i="3"/>
  <c r="Z658" i="3"/>
  <c r="Z666" i="3"/>
  <c r="Z306" i="3"/>
  <c r="Z338" i="3"/>
  <c r="Z370" i="3"/>
  <c r="Z386" i="3"/>
  <c r="Z402" i="3"/>
  <c r="Z418" i="3"/>
  <c r="Z434" i="3"/>
  <c r="Z450" i="3"/>
  <c r="Z472" i="3"/>
  <c r="Z479" i="3"/>
  <c r="Z487" i="3"/>
  <c r="Z495" i="3"/>
  <c r="Z279" i="3"/>
  <c r="Z311" i="3"/>
  <c r="Z343" i="3"/>
  <c r="Z375" i="3"/>
  <c r="Z391" i="3"/>
  <c r="Z407" i="3"/>
  <c r="Z423" i="3"/>
  <c r="Z439" i="3"/>
  <c r="Z455" i="3"/>
  <c r="Z473" i="3"/>
  <c r="Z476" i="3"/>
  <c r="Z484" i="3"/>
  <c r="Z492" i="3"/>
  <c r="Z500" i="3"/>
  <c r="Z282" i="3"/>
  <c r="Z314" i="3"/>
  <c r="Z346" i="3"/>
  <c r="Z374" i="3"/>
  <c r="Z390" i="3"/>
  <c r="Z406" i="3"/>
  <c r="Z422" i="3"/>
  <c r="Z438" i="3"/>
  <c r="Z454" i="3"/>
  <c r="Z481" i="3"/>
  <c r="Z489" i="3"/>
  <c r="Z497" i="3"/>
  <c r="Z505" i="3"/>
  <c r="Z513" i="3"/>
  <c r="Z521" i="3"/>
  <c r="Z529" i="3"/>
  <c r="Z537" i="3"/>
  <c r="Z545" i="3"/>
  <c r="Z553" i="3"/>
  <c r="Z561" i="3"/>
  <c r="Z569" i="3"/>
  <c r="Z577" i="3"/>
  <c r="Z585" i="3"/>
  <c r="Z593" i="3"/>
  <c r="Z601" i="3"/>
  <c r="Z609" i="3"/>
  <c r="Z617" i="3"/>
  <c r="Z625" i="3"/>
  <c r="Z633" i="3"/>
  <c r="Z641" i="3"/>
  <c r="Z649" i="3"/>
  <c r="Z657" i="3"/>
  <c r="Z665" i="3"/>
  <c r="Z287" i="3"/>
  <c r="Z319" i="3"/>
  <c r="Z351" i="3"/>
  <c r="Z379" i="3"/>
  <c r="Z395" i="3"/>
  <c r="Z411" i="3"/>
  <c r="Z427" i="3"/>
  <c r="Z443" i="3"/>
  <c r="Z459" i="3"/>
  <c r="Z474" i="3"/>
  <c r="Z478" i="3"/>
  <c r="Z486" i="3"/>
  <c r="Z494" i="3"/>
  <c r="Z502" i="3"/>
  <c r="Z510" i="3"/>
  <c r="Z518" i="3"/>
  <c r="Z526" i="3"/>
  <c r="Z534" i="3"/>
  <c r="Z542" i="3"/>
  <c r="Z550" i="3"/>
  <c r="Z558" i="3"/>
  <c r="Z566" i="3"/>
  <c r="Z574" i="3"/>
  <c r="Z582" i="3"/>
  <c r="Z590" i="3"/>
  <c r="Z598" i="3"/>
  <c r="Z606" i="3"/>
  <c r="Z614" i="3"/>
  <c r="Z622" i="3"/>
  <c r="Z630" i="3"/>
  <c r="Z638" i="3"/>
  <c r="Z646" i="3"/>
  <c r="Z654" i="3"/>
  <c r="Z662" i="3"/>
  <c r="Z670" i="3"/>
  <c r="Z512" i="3"/>
  <c r="Z528" i="3"/>
  <c r="Z544" i="3"/>
  <c r="Z560" i="3"/>
  <c r="Z576" i="3"/>
  <c r="Z592" i="3"/>
  <c r="Z608" i="3"/>
  <c r="Z624" i="3"/>
  <c r="Z640" i="3"/>
  <c r="Z656" i="3"/>
  <c r="Z682" i="3"/>
  <c r="Z690" i="3"/>
  <c r="Z499" i="3"/>
  <c r="Z511" i="3"/>
  <c r="Z527" i="3"/>
  <c r="Z543" i="3"/>
  <c r="Z559" i="3"/>
  <c r="Z575" i="3"/>
  <c r="Z516" i="3"/>
  <c r="Z532" i="3"/>
  <c r="Z548" i="3"/>
  <c r="Z564" i="3"/>
  <c r="Z580" i="3"/>
  <c r="Z596" i="3"/>
  <c r="Z612" i="3"/>
  <c r="Z628" i="3"/>
  <c r="Z644" i="3"/>
  <c r="Z660" i="3"/>
  <c r="Z671" i="3"/>
  <c r="Z684" i="3"/>
  <c r="Z692" i="3"/>
  <c r="Z700" i="3"/>
  <c r="Z708" i="3"/>
  <c r="Z716" i="3"/>
  <c r="Z724" i="3"/>
  <c r="Z732" i="3"/>
  <c r="Z740" i="3"/>
  <c r="Z748" i="3"/>
  <c r="Z756" i="3"/>
  <c r="Z764" i="3"/>
  <c r="Z772" i="3"/>
  <c r="Z780" i="3"/>
  <c r="Z788" i="3"/>
  <c r="Z796" i="3"/>
  <c r="Z804" i="3"/>
  <c r="Z812" i="3"/>
  <c r="Z820" i="3"/>
  <c r="Z828" i="3"/>
  <c r="Z836" i="3"/>
  <c r="Z844" i="3"/>
  <c r="Z852" i="3"/>
  <c r="Z860" i="3"/>
  <c r="Z868" i="3"/>
  <c r="Z876" i="3"/>
  <c r="Z884" i="3"/>
  <c r="Z892" i="3"/>
  <c r="Z515" i="3"/>
  <c r="Z531" i="3"/>
  <c r="Z547" i="3"/>
  <c r="Z563" i="3"/>
  <c r="Z579" i="3"/>
  <c r="Z595" i="3"/>
  <c r="Z611" i="3"/>
  <c r="Z627" i="3"/>
  <c r="Z643" i="3"/>
  <c r="Z659" i="3"/>
  <c r="Z676" i="3"/>
  <c r="Z681" i="3"/>
  <c r="Z689" i="3"/>
  <c r="Z697" i="3"/>
  <c r="Z705" i="3"/>
  <c r="Z713" i="3"/>
  <c r="Z721" i="3"/>
  <c r="Z729" i="3"/>
  <c r="Z737" i="3"/>
  <c r="Z745" i="3"/>
  <c r="Z753" i="3"/>
  <c r="Z761" i="3"/>
  <c r="Z769" i="3"/>
  <c r="Z777" i="3"/>
  <c r="Z785" i="3"/>
  <c r="Z793" i="3"/>
  <c r="Z801" i="3"/>
  <c r="Z809" i="3"/>
  <c r="Z817" i="3"/>
  <c r="Z825" i="3"/>
  <c r="Z833" i="3"/>
  <c r="Z841" i="3"/>
  <c r="Z849" i="3"/>
  <c r="Z857" i="3"/>
  <c r="Z865" i="3"/>
  <c r="Z873" i="3"/>
  <c r="Z881" i="3"/>
  <c r="Z889" i="3"/>
  <c r="Z897" i="3"/>
  <c r="Z504" i="3"/>
  <c r="Z520" i="3"/>
  <c r="Z536" i="3"/>
  <c r="Z552" i="3"/>
  <c r="Z568" i="3"/>
  <c r="Z584" i="3"/>
  <c r="Z600" i="3"/>
  <c r="Z616" i="3"/>
  <c r="Z632" i="3"/>
  <c r="Z648" i="3"/>
  <c r="Z664" i="3"/>
  <c r="Z674" i="3"/>
  <c r="Z678" i="3"/>
  <c r="Z686" i="3"/>
  <c r="Z503" i="3"/>
  <c r="Z519" i="3"/>
  <c r="Z535" i="3"/>
  <c r="Z551" i="3"/>
  <c r="Z567" i="3"/>
  <c r="Z508" i="3"/>
  <c r="Z524" i="3"/>
  <c r="Z540" i="3"/>
  <c r="Z556" i="3"/>
  <c r="Z572" i="3"/>
  <c r="Z588" i="3"/>
  <c r="Z604" i="3"/>
  <c r="Z620" i="3"/>
  <c r="Z636" i="3"/>
  <c r="Z652" i="3"/>
  <c r="Z680" i="3"/>
  <c r="Z688" i="3"/>
  <c r="Z696" i="3"/>
  <c r="Z704" i="3"/>
  <c r="Z712" i="3"/>
  <c r="Z720" i="3"/>
  <c r="Z728" i="3"/>
  <c r="Z736" i="3"/>
  <c r="Z744" i="3"/>
  <c r="Z752" i="3"/>
  <c r="Z760" i="3"/>
  <c r="Z768" i="3"/>
  <c r="Z776" i="3"/>
  <c r="Z784" i="3"/>
  <c r="Z792" i="3"/>
  <c r="Z800" i="3"/>
  <c r="Z808" i="3"/>
  <c r="Z816" i="3"/>
  <c r="Z824" i="3"/>
  <c r="Z832" i="3"/>
  <c r="Z840" i="3"/>
  <c r="Z848" i="3"/>
  <c r="Z856" i="3"/>
  <c r="Z864" i="3"/>
  <c r="Z872" i="3"/>
  <c r="Z880" i="3"/>
  <c r="Z888" i="3"/>
  <c r="Z896" i="3"/>
  <c r="Z904" i="3"/>
  <c r="Z507" i="3"/>
  <c r="Z523" i="3"/>
  <c r="Z539" i="3"/>
  <c r="Z555" i="3"/>
  <c r="Z571" i="3"/>
  <c r="Z587" i="3"/>
  <c r="Z603" i="3"/>
  <c r="Z619" i="3"/>
  <c r="Z635" i="3"/>
  <c r="Z651" i="3"/>
  <c r="Z667" i="3"/>
  <c r="Z668" i="3"/>
  <c r="Z669" i="3"/>
  <c r="Z675" i="3"/>
  <c r="Z677" i="3"/>
  <c r="Z685" i="3"/>
  <c r="Z693" i="3"/>
  <c r="Z701" i="3"/>
  <c r="Z709" i="3"/>
  <c r="Z717" i="3"/>
  <c r="Z725" i="3"/>
  <c r="Z733" i="3"/>
  <c r="Z741" i="3"/>
  <c r="Z749" i="3"/>
  <c r="Z757" i="3"/>
  <c r="Z765" i="3"/>
  <c r="Z773" i="3"/>
  <c r="Z781" i="3"/>
  <c r="Z789" i="3"/>
  <c r="Z797" i="3"/>
  <c r="Z805" i="3"/>
  <c r="Z813" i="3"/>
  <c r="Z821" i="3"/>
  <c r="Z829" i="3"/>
  <c r="Z837" i="3"/>
  <c r="Z845" i="3"/>
  <c r="Z853" i="3"/>
  <c r="Z861" i="3"/>
  <c r="Z869" i="3"/>
  <c r="Z877" i="3"/>
  <c r="Z885" i="3"/>
  <c r="Z893" i="3"/>
  <c r="Z901" i="3"/>
  <c r="Z607" i="3"/>
  <c r="Z673" i="3"/>
  <c r="Z702" i="3"/>
  <c r="Z718" i="3"/>
  <c r="Z734" i="3"/>
  <c r="Z750" i="3"/>
  <c r="Z766" i="3"/>
  <c r="Z782" i="3"/>
  <c r="Z798" i="3"/>
  <c r="Z814" i="3"/>
  <c r="Z900" i="3"/>
  <c r="Z583" i="3"/>
  <c r="Z647" i="3"/>
  <c r="Z707" i="3"/>
  <c r="Z723" i="3"/>
  <c r="Z739" i="3"/>
  <c r="Z755" i="3"/>
  <c r="Z771" i="3"/>
  <c r="Z787" i="3"/>
  <c r="Z803" i="3"/>
  <c r="Z819" i="3"/>
  <c r="Z835" i="3"/>
  <c r="Z851" i="3"/>
  <c r="Z867" i="3"/>
  <c r="Z623" i="3"/>
  <c r="Z679" i="3"/>
  <c r="Z691" i="3"/>
  <c r="Z706" i="3"/>
  <c r="Z722" i="3"/>
  <c r="Z738" i="3"/>
  <c r="Z754" i="3"/>
  <c r="Z770" i="3"/>
  <c r="Z786" i="3"/>
  <c r="Z802" i="3"/>
  <c r="Z818" i="3"/>
  <c r="Z834" i="3"/>
  <c r="Z850" i="3"/>
  <c r="Z866" i="3"/>
  <c r="Z882" i="3"/>
  <c r="Z898" i="3"/>
  <c r="Z905" i="3"/>
  <c r="Z909" i="3"/>
  <c r="Z917" i="3"/>
  <c r="Z925" i="3"/>
  <c r="Z933" i="3"/>
  <c r="Z941" i="3"/>
  <c r="Z949" i="3"/>
  <c r="Z957" i="3"/>
  <c r="Z965" i="3"/>
  <c r="Z973" i="3"/>
  <c r="Z981" i="3"/>
  <c r="Z989" i="3"/>
  <c r="Z997" i="3"/>
  <c r="Z599" i="3"/>
  <c r="Z663" i="3"/>
  <c r="Z695" i="3"/>
  <c r="Z711" i="3"/>
  <c r="Z727" i="3"/>
  <c r="Z743" i="3"/>
  <c r="Z759" i="3"/>
  <c r="Z775" i="3"/>
  <c r="Z791" i="3"/>
  <c r="Z807" i="3"/>
  <c r="Z823" i="3"/>
  <c r="Z839" i="3"/>
  <c r="Z855" i="3"/>
  <c r="Z871" i="3"/>
  <c r="Z887" i="3"/>
  <c r="Z914" i="3"/>
  <c r="Z922" i="3"/>
  <c r="Z930" i="3"/>
  <c r="Z938" i="3"/>
  <c r="Z946" i="3"/>
  <c r="Z954" i="3"/>
  <c r="Z962" i="3"/>
  <c r="Z970" i="3"/>
  <c r="Z978" i="3"/>
  <c r="Z986" i="3"/>
  <c r="Z994" i="3"/>
  <c r="Z1002" i="3"/>
  <c r="Z639" i="3"/>
  <c r="Z687" i="3"/>
  <c r="Z694" i="3"/>
  <c r="Z710" i="3"/>
  <c r="Z726" i="3"/>
  <c r="Z742" i="3"/>
  <c r="Z758" i="3"/>
  <c r="Z774" i="3"/>
  <c r="Z790" i="3"/>
  <c r="Z806" i="3"/>
  <c r="Z822" i="3"/>
  <c r="Z838" i="3"/>
  <c r="Z854" i="3"/>
  <c r="Z615" i="3"/>
  <c r="Z672" i="3"/>
  <c r="Z699" i="3"/>
  <c r="Z715" i="3"/>
  <c r="Z731" i="3"/>
  <c r="Z747" i="3"/>
  <c r="Z763" i="3"/>
  <c r="Z779" i="3"/>
  <c r="Z795" i="3"/>
  <c r="Z811" i="3"/>
  <c r="Z827" i="3"/>
  <c r="Z843" i="3"/>
  <c r="Z859" i="3"/>
  <c r="Z591" i="3"/>
  <c r="Z655" i="3"/>
  <c r="Z698" i="3"/>
  <c r="Z714" i="3"/>
  <c r="Z730" i="3"/>
  <c r="Z746" i="3"/>
  <c r="Z762" i="3"/>
  <c r="Z778" i="3"/>
  <c r="Z794" i="3"/>
  <c r="Z810" i="3"/>
  <c r="Z826" i="3"/>
  <c r="Z842" i="3"/>
  <c r="Z858" i="3"/>
  <c r="Z874" i="3"/>
  <c r="Z890" i="3"/>
  <c r="Z913" i="3"/>
  <c r="Z921" i="3"/>
  <c r="Z929" i="3"/>
  <c r="Z937" i="3"/>
  <c r="Z945" i="3"/>
  <c r="Z953" i="3"/>
  <c r="Z961" i="3"/>
  <c r="Z969" i="3"/>
  <c r="Z977" i="3"/>
  <c r="Z985" i="3"/>
  <c r="Z993" i="3"/>
  <c r="Z1001" i="3"/>
  <c r="Z830" i="3"/>
  <c r="Z862" i="3"/>
  <c r="Z894" i="3"/>
  <c r="Z902" i="3"/>
  <c r="Z903" i="3"/>
  <c r="Z631" i="3"/>
  <c r="Z683" i="3"/>
  <c r="Z703" i="3"/>
  <c r="Z719" i="3"/>
  <c r="Z735" i="3"/>
  <c r="Z751" i="3"/>
  <c r="Z767" i="3"/>
  <c r="Z783" i="3"/>
  <c r="Z799" i="3"/>
  <c r="Z815" i="3"/>
  <c r="Z831" i="3"/>
  <c r="Z847" i="3"/>
  <c r="Z863" i="3"/>
  <c r="Z879" i="3"/>
  <c r="Z895" i="3"/>
  <c r="Z910" i="3"/>
  <c r="Z918" i="3"/>
  <c r="Z926" i="3"/>
  <c r="Z934" i="3"/>
  <c r="Z942" i="3"/>
  <c r="Z950" i="3"/>
  <c r="Z958" i="3"/>
  <c r="Z966" i="3"/>
  <c r="Z974" i="3"/>
  <c r="Z982" i="3"/>
  <c r="Z990" i="3"/>
  <c r="Z998" i="3"/>
  <c r="Z846" i="3"/>
  <c r="Z878" i="3"/>
  <c r="Z870" i="3"/>
  <c r="Z886" i="3"/>
  <c r="Z899" i="3"/>
  <c r="Z912" i="3"/>
  <c r="Z928" i="3"/>
  <c r="Z944" i="3"/>
  <c r="Z960" i="3"/>
  <c r="Z976" i="3"/>
  <c r="Z992" i="3"/>
  <c r="Z964" i="3"/>
  <c r="Z996" i="3"/>
  <c r="Z963" i="3"/>
  <c r="Z883" i="3"/>
  <c r="Z908" i="3"/>
  <c r="Z911" i="3"/>
  <c r="Z927" i="3"/>
  <c r="Z943" i="3"/>
  <c r="Z959" i="3"/>
  <c r="Z975" i="3"/>
  <c r="Z991" i="3"/>
  <c r="Z916" i="3"/>
  <c r="Z932" i="3"/>
  <c r="Z948" i="3"/>
  <c r="Z980" i="3"/>
  <c r="Z907" i="3"/>
  <c r="Z915" i="3"/>
  <c r="Z931" i="3"/>
  <c r="Z947" i="3"/>
  <c r="Z979" i="3"/>
  <c r="Z995" i="3"/>
  <c r="Z920" i="3"/>
  <c r="Z936" i="3"/>
  <c r="Z952" i="3"/>
  <c r="Z968" i="3"/>
  <c r="Z984" i="3"/>
  <c r="Z1000" i="3"/>
  <c r="Z940" i="3"/>
  <c r="Z972" i="3"/>
  <c r="Z1004" i="3"/>
  <c r="Z875" i="3"/>
  <c r="Z906" i="3"/>
  <c r="Z923" i="3"/>
  <c r="Z939" i="3"/>
  <c r="Z955" i="3"/>
  <c r="Z971" i="3"/>
  <c r="Z891" i="3"/>
  <c r="Z919" i="3"/>
  <c r="Z935" i="3"/>
  <c r="Z951" i="3"/>
  <c r="Z967" i="3"/>
  <c r="Z983" i="3"/>
  <c r="Z999" i="3"/>
  <c r="Z924" i="3"/>
  <c r="Z956" i="3"/>
  <c r="Z988" i="3"/>
  <c r="Z987" i="3"/>
  <c r="Z1003" i="3"/>
  <c r="Z44" i="3"/>
  <c r="Z30" i="3"/>
  <c r="Z54" i="3"/>
  <c r="Z43" i="3"/>
  <c r="Z51" i="3"/>
  <c r="Z16" i="3"/>
  <c r="Z34" i="3"/>
  <c r="Z15" i="3"/>
  <c r="Z70" i="3"/>
  <c r="Z86" i="3"/>
  <c r="Z66" i="3"/>
  <c r="Z80" i="3"/>
  <c r="Z92" i="3"/>
  <c r="Z65" i="3"/>
  <c r="Z124" i="3"/>
  <c r="Z188" i="3"/>
  <c r="Z116" i="3"/>
  <c r="Z103" i="3"/>
  <c r="Z176" i="3"/>
  <c r="Z165" i="3"/>
  <c r="Z173" i="3"/>
  <c r="Z152" i="3"/>
  <c r="Z332" i="3"/>
  <c r="Z329" i="3"/>
  <c r="Z433" i="3"/>
  <c r="Z451" i="3"/>
  <c r="Z417" i="3"/>
  <c r="Z48" i="3"/>
  <c r="Z55" i="3"/>
  <c r="Z71" i="3"/>
  <c r="Z357" i="3"/>
  <c r="Z316" i="3"/>
  <c r="Z293" i="3"/>
  <c r="Z50" i="3"/>
  <c r="Q8" i="3" l="1"/>
  <c r="P8" i="3" s="1"/>
  <c r="D14" i="1" s="1"/>
  <c r="Q7" i="3"/>
  <c r="P7" i="3" s="1"/>
  <c r="AB12" i="3"/>
  <c r="AC883" i="3"/>
  <c r="AB884" i="3"/>
  <c r="Y996" i="3"/>
  <c r="H996" i="3"/>
  <c r="I996" i="3"/>
  <c r="Y987" i="3"/>
  <c r="I987" i="3"/>
  <c r="H987" i="3"/>
  <c r="Y974" i="3"/>
  <c r="H974" i="3"/>
  <c r="I974" i="3"/>
  <c r="AB900" i="3"/>
  <c r="AC899" i="3"/>
  <c r="AB943" i="3"/>
  <c r="AC942" i="3"/>
  <c r="Y934" i="3"/>
  <c r="I934" i="3"/>
  <c r="H934" i="3"/>
  <c r="AC991" i="3"/>
  <c r="AB992" i="3"/>
  <c r="Y944" i="3"/>
  <c r="I944" i="3"/>
  <c r="H944" i="3"/>
  <c r="AC963" i="3"/>
  <c r="AB964" i="3"/>
  <c r="AB948" i="3"/>
  <c r="AC947" i="3"/>
  <c r="AB944" i="3"/>
  <c r="AC943" i="3"/>
  <c r="AC955" i="3"/>
  <c r="AB956" i="3"/>
  <c r="Y1000" i="3"/>
  <c r="H1000" i="3"/>
  <c r="I1000" i="3"/>
  <c r="Y936" i="3"/>
  <c r="I936" i="3"/>
  <c r="H936" i="3"/>
  <c r="AB936" i="3"/>
  <c r="AC935" i="3"/>
  <c r="Y995" i="3"/>
  <c r="H995" i="3"/>
  <c r="I995" i="3"/>
  <c r="AC990" i="3"/>
  <c r="AB991" i="3"/>
  <c r="Y931" i="3"/>
  <c r="I931" i="3"/>
  <c r="H931" i="3"/>
  <c r="AC926" i="3"/>
  <c r="AB927" i="3"/>
  <c r="AC843" i="3"/>
  <c r="AB844" i="3"/>
  <c r="Y784" i="3"/>
  <c r="I784" i="3"/>
  <c r="H784" i="3"/>
  <c r="Y982" i="3"/>
  <c r="I982" i="3"/>
  <c r="H982" i="3"/>
  <c r="AB978" i="3"/>
  <c r="AC977" i="3"/>
  <c r="Y918" i="3"/>
  <c r="H918" i="3"/>
  <c r="I918" i="3"/>
  <c r="AC913" i="3"/>
  <c r="AB914" i="3"/>
  <c r="AC791" i="3"/>
  <c r="AB792" i="3"/>
  <c r="Y732" i="3"/>
  <c r="I732" i="3"/>
  <c r="H732" i="3"/>
  <c r="AC907" i="3"/>
  <c r="AB908" i="3"/>
  <c r="Y985" i="3"/>
  <c r="H985" i="3"/>
  <c r="I985" i="3"/>
  <c r="AB981" i="3"/>
  <c r="AC980" i="3"/>
  <c r="Y921" i="3"/>
  <c r="H921" i="3"/>
  <c r="I921" i="3"/>
  <c r="AB917" i="3"/>
  <c r="AC916" i="3"/>
  <c r="AB804" i="3"/>
  <c r="AC803" i="3"/>
  <c r="Y744" i="3"/>
  <c r="I744" i="3"/>
  <c r="H744" i="3"/>
  <c r="Y852" i="3"/>
  <c r="I852" i="3"/>
  <c r="H852" i="3"/>
  <c r="Y983" i="3"/>
  <c r="I983" i="3"/>
  <c r="H983" i="3"/>
  <c r="AC978" i="3"/>
  <c r="AB979" i="3"/>
  <c r="Y919" i="3"/>
  <c r="H919" i="3"/>
  <c r="I919" i="3"/>
  <c r="AB915" i="3"/>
  <c r="AC914" i="3"/>
  <c r="AB796" i="3"/>
  <c r="AC795" i="3"/>
  <c r="Y736" i="3"/>
  <c r="H736" i="3"/>
  <c r="I736" i="3"/>
  <c r="Y970" i="3"/>
  <c r="H970" i="3"/>
  <c r="I970" i="3"/>
  <c r="AB966" i="3"/>
  <c r="AC965" i="3"/>
  <c r="Y906" i="3"/>
  <c r="H906" i="3"/>
  <c r="I906" i="3"/>
  <c r="AC901" i="3"/>
  <c r="AB902" i="3"/>
  <c r="AB744" i="3"/>
  <c r="AC743" i="3"/>
  <c r="H678" i="3"/>
  <c r="Y678" i="3"/>
  <c r="I678" i="3"/>
  <c r="Y957" i="3"/>
  <c r="H957" i="3"/>
  <c r="I957" i="3"/>
  <c r="AC952" i="3"/>
  <c r="AB953" i="3"/>
  <c r="Y893" i="3"/>
  <c r="I893" i="3"/>
  <c r="H893" i="3"/>
  <c r="AC888" i="3"/>
  <c r="AB889" i="3"/>
  <c r="Y868" i="3"/>
  <c r="I868" i="3"/>
  <c r="H868" i="3"/>
  <c r="AC691" i="3"/>
  <c r="AB692" i="3"/>
  <c r="Y804" i="3"/>
  <c r="H804" i="3"/>
  <c r="I804" i="3"/>
  <c r="Y740" i="3"/>
  <c r="H740" i="3"/>
  <c r="I740" i="3"/>
  <c r="Y859" i="3"/>
  <c r="I859" i="3"/>
  <c r="H859" i="3"/>
  <c r="AC854" i="3"/>
  <c r="AB855" i="3"/>
  <c r="Y795" i="3"/>
  <c r="H795" i="3"/>
  <c r="I795" i="3"/>
  <c r="AC790" i="3"/>
  <c r="AB791" i="3"/>
  <c r="Y731" i="3"/>
  <c r="I731" i="3"/>
  <c r="H731" i="3"/>
  <c r="AB727" i="3"/>
  <c r="AC726" i="3"/>
  <c r="Y686" i="3"/>
  <c r="I686" i="3"/>
  <c r="H686" i="3"/>
  <c r="AC669" i="3"/>
  <c r="AB670" i="3"/>
  <c r="Y610" i="3"/>
  <c r="I610" i="3"/>
  <c r="H610" i="3"/>
  <c r="AB549" i="3"/>
  <c r="AC548" i="3"/>
  <c r="Y862" i="3"/>
  <c r="H862" i="3"/>
  <c r="I862" i="3"/>
  <c r="AB858" i="3"/>
  <c r="AC857" i="3"/>
  <c r="Y798" i="3"/>
  <c r="H798" i="3"/>
  <c r="I798" i="3"/>
  <c r="AB794" i="3"/>
  <c r="AC793" i="3"/>
  <c r="Y734" i="3"/>
  <c r="I734" i="3"/>
  <c r="H734" i="3"/>
  <c r="AB730" i="3"/>
  <c r="AC729" i="3"/>
  <c r="AC681" i="3"/>
  <c r="AB682" i="3"/>
  <c r="Y622" i="3"/>
  <c r="I622" i="3"/>
  <c r="H622" i="3"/>
  <c r="AB597" i="3"/>
  <c r="AC596" i="3"/>
  <c r="Y493" i="3"/>
  <c r="H493" i="3"/>
  <c r="I493" i="3"/>
  <c r="Y809" i="3"/>
  <c r="H809" i="3"/>
  <c r="I809" i="3"/>
  <c r="AB805" i="3"/>
  <c r="AC804" i="3"/>
  <c r="Y745" i="3"/>
  <c r="I745" i="3"/>
  <c r="H745" i="3"/>
  <c r="AB741" i="3"/>
  <c r="AC740" i="3"/>
  <c r="Y666" i="3"/>
  <c r="I666" i="3"/>
  <c r="H666" i="3"/>
  <c r="Y831" i="3"/>
  <c r="I831" i="3"/>
  <c r="H831" i="3"/>
  <c r="AB827" i="3"/>
  <c r="AC826" i="3"/>
  <c r="Y767" i="3"/>
  <c r="H767" i="3"/>
  <c r="I767" i="3"/>
  <c r="AC762" i="3"/>
  <c r="AB763" i="3"/>
  <c r="Y703" i="3"/>
  <c r="H703" i="3"/>
  <c r="I703" i="3"/>
  <c r="AC698" i="3"/>
  <c r="AB699" i="3"/>
  <c r="Y834" i="3"/>
  <c r="I834" i="3"/>
  <c r="H834" i="3"/>
  <c r="AC829" i="3"/>
  <c r="AB830" i="3"/>
  <c r="Y770" i="3"/>
  <c r="H770" i="3"/>
  <c r="I770" i="3"/>
  <c r="AC765" i="3"/>
  <c r="AB766" i="3"/>
  <c r="Y706" i="3"/>
  <c r="I706" i="3"/>
  <c r="H706" i="3"/>
  <c r="AB702" i="3"/>
  <c r="AC701" i="3"/>
  <c r="Y837" i="3"/>
  <c r="I837" i="3"/>
  <c r="H837" i="3"/>
  <c r="AB833" i="3"/>
  <c r="AC832" i="3"/>
  <c r="Y773" i="3"/>
  <c r="H773" i="3"/>
  <c r="I773" i="3"/>
  <c r="AC768" i="3"/>
  <c r="AB769" i="3"/>
  <c r="Y709" i="3"/>
  <c r="I709" i="3"/>
  <c r="H709" i="3"/>
  <c r="AC704" i="3"/>
  <c r="AB705" i="3"/>
  <c r="Y625" i="3"/>
  <c r="I625" i="3"/>
  <c r="H625" i="3"/>
  <c r="AC620" i="3"/>
  <c r="AB621" i="3"/>
  <c r="Y549" i="3"/>
  <c r="H549" i="3"/>
  <c r="I549" i="3"/>
  <c r="Y660" i="3"/>
  <c r="H660" i="3"/>
  <c r="I660" i="3"/>
  <c r="AB656" i="3"/>
  <c r="AC655" i="3"/>
  <c r="Y647" i="3"/>
  <c r="I647" i="3"/>
  <c r="H647" i="3"/>
  <c r="AC642" i="3"/>
  <c r="AB643" i="3"/>
  <c r="Y677" i="3"/>
  <c r="I677" i="3"/>
  <c r="H677" i="3"/>
  <c r="AC672" i="3"/>
  <c r="AB673" i="3"/>
  <c r="Y613" i="3"/>
  <c r="I613" i="3"/>
  <c r="H613" i="3"/>
  <c r="AC608" i="3"/>
  <c r="AB609" i="3"/>
  <c r="AC560" i="3"/>
  <c r="AB561" i="3"/>
  <c r="AB328" i="3"/>
  <c r="AC327" i="3"/>
  <c r="AC683" i="3"/>
  <c r="AB684" i="3"/>
  <c r="Y624" i="3"/>
  <c r="H624" i="3"/>
  <c r="I624" i="3"/>
  <c r="AC619" i="3"/>
  <c r="AB620" i="3"/>
  <c r="Y604" i="3"/>
  <c r="H604" i="3"/>
  <c r="I604" i="3"/>
  <c r="Y545" i="3"/>
  <c r="H545" i="3"/>
  <c r="I545" i="3"/>
  <c r="Y659" i="3"/>
  <c r="I659" i="3"/>
  <c r="H659" i="3"/>
  <c r="AB655" i="3"/>
  <c r="AC654" i="3"/>
  <c r="Y596" i="3"/>
  <c r="H596" i="3"/>
  <c r="I596" i="3"/>
  <c r="AB592" i="3"/>
  <c r="AC591" i="3"/>
  <c r="Y532" i="3"/>
  <c r="I532" i="3"/>
  <c r="H532" i="3"/>
  <c r="I473" i="3"/>
  <c r="Y473" i="3"/>
  <c r="H473" i="3"/>
  <c r="Y567" i="3"/>
  <c r="H567" i="3"/>
  <c r="I567" i="3"/>
  <c r="AC562" i="3"/>
  <c r="AB563" i="3"/>
  <c r="Y602" i="3"/>
  <c r="I602" i="3"/>
  <c r="H602" i="3"/>
  <c r="AC597" i="3"/>
  <c r="AB598" i="3"/>
  <c r="Y538" i="3"/>
  <c r="I538" i="3"/>
  <c r="H538" i="3"/>
  <c r="AB534" i="3"/>
  <c r="AC533" i="3"/>
  <c r="Y497" i="3"/>
  <c r="H497" i="3"/>
  <c r="I497" i="3"/>
  <c r="AC603" i="3"/>
  <c r="AB604" i="3"/>
  <c r="Y544" i="3"/>
  <c r="I544" i="3"/>
  <c r="H544" i="3"/>
  <c r="AC539" i="3"/>
  <c r="AB540" i="3"/>
  <c r="Y520" i="3"/>
  <c r="I520" i="3"/>
  <c r="H520" i="3"/>
  <c r="Y595" i="3"/>
  <c r="I595" i="3"/>
  <c r="H595" i="3"/>
  <c r="AC590" i="3"/>
  <c r="AB591" i="3"/>
  <c r="Y531" i="3"/>
  <c r="I531" i="3"/>
  <c r="H531" i="3"/>
  <c r="I469" i="3"/>
  <c r="Y469" i="3"/>
  <c r="H469" i="3"/>
  <c r="AB602" i="3"/>
  <c r="AC601" i="3"/>
  <c r="Y542" i="3"/>
  <c r="H542" i="3"/>
  <c r="I542" i="3"/>
  <c r="AC537" i="3"/>
  <c r="AB538" i="3"/>
  <c r="Y513" i="3"/>
  <c r="H513" i="3"/>
  <c r="I513" i="3"/>
  <c r="Y512" i="3"/>
  <c r="H512" i="3"/>
  <c r="I512" i="3"/>
  <c r="AC507" i="3"/>
  <c r="AB508" i="3"/>
  <c r="Y523" i="3"/>
  <c r="I523" i="3"/>
  <c r="H523" i="3"/>
  <c r="AB519" i="3"/>
  <c r="AC518" i="3"/>
  <c r="Y459" i="3"/>
  <c r="I459" i="3"/>
  <c r="H459" i="3"/>
  <c r="AB455" i="3"/>
  <c r="AC454" i="3"/>
  <c r="H470" i="3"/>
  <c r="I470" i="3"/>
  <c r="Y470" i="3"/>
  <c r="AC465" i="3"/>
  <c r="AB466" i="3"/>
  <c r="AC411" i="3"/>
  <c r="AB412" i="3"/>
  <c r="H476" i="3"/>
  <c r="Y476" i="3"/>
  <c r="I476" i="3"/>
  <c r="AC471" i="3"/>
  <c r="AB472" i="3"/>
  <c r="AC435" i="3"/>
  <c r="AB436" i="3"/>
  <c r="Y376" i="3"/>
  <c r="H376" i="3"/>
  <c r="I376" i="3"/>
  <c r="AB312" i="3"/>
  <c r="AC311" i="3"/>
  <c r="H487" i="3"/>
  <c r="I487" i="3"/>
  <c r="Y487" i="3"/>
  <c r="AC482" i="3"/>
  <c r="AB483" i="3"/>
  <c r="I420" i="3"/>
  <c r="H420" i="3"/>
  <c r="Y420" i="3"/>
  <c r="I498" i="3"/>
  <c r="Y498" i="3"/>
  <c r="H498" i="3"/>
  <c r="AC493" i="3"/>
  <c r="AB494" i="3"/>
  <c r="H348" i="3"/>
  <c r="Y348" i="3"/>
  <c r="I348" i="3"/>
  <c r="Y431" i="3"/>
  <c r="H431" i="3"/>
  <c r="I431" i="3"/>
  <c r="AB427" i="3"/>
  <c r="AC426" i="3"/>
  <c r="Y293" i="3"/>
  <c r="H293" i="3"/>
  <c r="I293" i="3"/>
  <c r="I442" i="3"/>
  <c r="H442" i="3"/>
  <c r="Y442" i="3"/>
  <c r="AC437" i="3"/>
  <c r="AB438" i="3"/>
  <c r="H378" i="3"/>
  <c r="Y378" i="3"/>
  <c r="I378" i="3"/>
  <c r="AC373" i="3"/>
  <c r="AB374" i="3"/>
  <c r="AC319" i="3"/>
  <c r="AB320" i="3"/>
  <c r="AC448" i="3"/>
  <c r="AB449" i="3"/>
  <c r="Y389" i="3"/>
  <c r="H389" i="3"/>
  <c r="I389" i="3"/>
  <c r="AB385" i="3"/>
  <c r="AC384" i="3"/>
  <c r="AB364" i="3"/>
  <c r="AC363" i="3"/>
  <c r="Y304" i="3"/>
  <c r="H304" i="3"/>
  <c r="I304" i="3"/>
  <c r="H395" i="3"/>
  <c r="I395" i="3"/>
  <c r="Y395" i="3"/>
  <c r="AC390" i="3"/>
  <c r="AB391" i="3"/>
  <c r="H328" i="3"/>
  <c r="I328" i="3"/>
  <c r="Y328" i="3"/>
  <c r="H406" i="3"/>
  <c r="I406" i="3"/>
  <c r="Y406" i="3"/>
  <c r="AC401" i="3"/>
  <c r="AB402" i="3"/>
  <c r="AC215" i="3"/>
  <c r="AB216" i="3"/>
  <c r="Y393" i="3"/>
  <c r="H393" i="3"/>
  <c r="I393" i="3"/>
  <c r="AC388" i="3"/>
  <c r="AB389" i="3"/>
  <c r="H320" i="3"/>
  <c r="Y320" i="3"/>
  <c r="I320" i="3"/>
  <c r="H343" i="3"/>
  <c r="Y343" i="3"/>
  <c r="I343" i="3"/>
  <c r="AC338" i="3"/>
  <c r="AB339" i="3"/>
  <c r="AB292" i="3"/>
  <c r="AC291" i="3"/>
  <c r="Y354" i="3"/>
  <c r="I354" i="3"/>
  <c r="H354" i="3"/>
  <c r="AB350" i="3"/>
  <c r="AC349" i="3"/>
  <c r="I341" i="3"/>
  <c r="Y341" i="3"/>
  <c r="H341" i="3"/>
  <c r="AC336" i="3"/>
  <c r="AB337" i="3"/>
  <c r="H287" i="3"/>
  <c r="I287" i="3"/>
  <c r="Y287" i="3"/>
  <c r="Y347" i="3"/>
  <c r="I347" i="3"/>
  <c r="H347" i="3"/>
  <c r="AB343" i="3"/>
  <c r="AC342" i="3"/>
  <c r="I358" i="3"/>
  <c r="H358" i="3"/>
  <c r="Y358" i="3"/>
  <c r="AB354" i="3"/>
  <c r="AC353" i="3"/>
  <c r="H345" i="3"/>
  <c r="Y345" i="3"/>
  <c r="I345" i="3"/>
  <c r="AC340" i="3"/>
  <c r="AB341" i="3"/>
  <c r="H255" i="3"/>
  <c r="Y255" i="3"/>
  <c r="I255" i="3"/>
  <c r="AB251" i="3"/>
  <c r="AC250" i="3"/>
  <c r="AB200" i="3"/>
  <c r="AC199" i="3"/>
  <c r="AB156" i="3"/>
  <c r="AC155" i="3"/>
  <c r="Y282" i="3"/>
  <c r="H282" i="3"/>
  <c r="I282" i="3"/>
  <c r="AC277" i="3"/>
  <c r="AB278" i="3"/>
  <c r="H218" i="3"/>
  <c r="I218" i="3"/>
  <c r="Y218" i="3"/>
  <c r="AB214" i="3"/>
  <c r="AC213" i="3"/>
  <c r="I237" i="3"/>
  <c r="Y237" i="3"/>
  <c r="H237" i="3"/>
  <c r="AC232" i="3"/>
  <c r="AB233" i="3"/>
  <c r="I203" i="3"/>
  <c r="Y203" i="3"/>
  <c r="H203" i="3"/>
  <c r="H243" i="3"/>
  <c r="Y243" i="3"/>
  <c r="I243" i="3"/>
  <c r="AB239" i="3"/>
  <c r="AC238" i="3"/>
  <c r="Y254" i="3"/>
  <c r="H254" i="3"/>
  <c r="I254" i="3"/>
  <c r="AB250" i="3"/>
  <c r="AC249" i="3"/>
  <c r="AB196" i="3"/>
  <c r="AC195" i="3"/>
  <c r="H265" i="3"/>
  <c r="I265" i="3"/>
  <c r="Y265" i="3"/>
  <c r="AC260" i="3"/>
  <c r="AB261" i="3"/>
  <c r="Y180" i="3"/>
  <c r="I180" i="3"/>
  <c r="H180" i="3"/>
  <c r="Y179" i="3"/>
  <c r="I179" i="3"/>
  <c r="H179" i="3"/>
  <c r="AB175" i="3"/>
  <c r="AC174" i="3"/>
  <c r="I198" i="3"/>
  <c r="Y198" i="3"/>
  <c r="H198" i="3"/>
  <c r="AB194" i="3"/>
  <c r="AC193" i="3"/>
  <c r="AB91" i="3"/>
  <c r="AC90" i="3"/>
  <c r="AC196" i="3"/>
  <c r="AB197" i="3"/>
  <c r="AC159" i="3"/>
  <c r="AB160" i="3"/>
  <c r="I167" i="3"/>
  <c r="Y167" i="3"/>
  <c r="H167" i="3"/>
  <c r="H202" i="3"/>
  <c r="I202" i="3"/>
  <c r="Y202" i="3"/>
  <c r="AC197" i="3"/>
  <c r="AB198" i="3"/>
  <c r="Y128" i="3"/>
  <c r="I128" i="3"/>
  <c r="H128" i="3"/>
  <c r="Y173" i="3"/>
  <c r="H173" i="3"/>
  <c r="I173" i="3"/>
  <c r="AB169" i="3"/>
  <c r="AC168" i="3"/>
  <c r="Y131" i="3"/>
  <c r="H131" i="3"/>
  <c r="I131" i="3"/>
  <c r="AB127" i="3"/>
  <c r="AC126" i="3"/>
  <c r="AC118" i="3"/>
  <c r="AB119" i="3"/>
  <c r="I107" i="3"/>
  <c r="H107" i="3"/>
  <c r="Y107" i="3"/>
  <c r="Y134" i="3"/>
  <c r="I134" i="3"/>
  <c r="H134" i="3"/>
  <c r="AC129" i="3"/>
  <c r="AB130" i="3"/>
  <c r="AB115" i="3"/>
  <c r="AC114" i="3"/>
  <c r="I135" i="3"/>
  <c r="Y135" i="3"/>
  <c r="H135" i="3"/>
  <c r="AC130" i="3"/>
  <c r="AB131" i="3"/>
  <c r="AC125" i="3"/>
  <c r="AB126" i="3"/>
  <c r="I79" i="3"/>
  <c r="H79" i="3"/>
  <c r="Y79" i="3"/>
  <c r="H154" i="3"/>
  <c r="I154" i="3"/>
  <c r="Y154" i="3"/>
  <c r="AC149" i="3"/>
  <c r="AB150" i="3"/>
  <c r="AC68" i="3"/>
  <c r="AB69" i="3"/>
  <c r="H133" i="3"/>
  <c r="Y133" i="3"/>
  <c r="I133" i="3"/>
  <c r="AB129" i="3"/>
  <c r="AC128" i="3"/>
  <c r="Y106" i="3"/>
  <c r="H106" i="3"/>
  <c r="I106" i="3"/>
  <c r="AC101" i="3"/>
  <c r="AB102" i="3"/>
  <c r="AC120" i="3"/>
  <c r="AB121" i="3"/>
  <c r="Y113" i="3"/>
  <c r="H113" i="3"/>
  <c r="I113" i="3"/>
  <c r="AB109" i="3"/>
  <c r="AC108" i="3"/>
  <c r="Y116" i="3"/>
  <c r="H116" i="3"/>
  <c r="I116" i="3"/>
  <c r="AC111" i="3"/>
  <c r="AB112" i="3"/>
  <c r="I71" i="3"/>
  <c r="Y71" i="3"/>
  <c r="H71" i="3"/>
  <c r="Y68" i="3"/>
  <c r="H68" i="3"/>
  <c r="I68" i="3"/>
  <c r="AC63" i="3"/>
  <c r="AB64" i="3"/>
  <c r="Y66" i="3"/>
  <c r="H66" i="3"/>
  <c r="I66" i="3"/>
  <c r="Y60" i="3"/>
  <c r="H60" i="3"/>
  <c r="I60" i="3"/>
  <c r="I69" i="3"/>
  <c r="Y69" i="3"/>
  <c r="H69" i="3"/>
  <c r="AC64" i="3"/>
  <c r="AB65" i="3"/>
  <c r="I72" i="3"/>
  <c r="Y72" i="3"/>
  <c r="H72" i="3"/>
  <c r="AC67" i="3"/>
  <c r="AB68" i="3"/>
  <c r="H75" i="3"/>
  <c r="I75" i="3"/>
  <c r="Y75" i="3"/>
  <c r="AB71" i="3"/>
  <c r="AC70" i="3"/>
  <c r="I78" i="3"/>
  <c r="H78" i="3"/>
  <c r="Y78" i="3"/>
  <c r="AB74" i="3"/>
  <c r="AC73" i="3"/>
  <c r="AC15" i="3"/>
  <c r="AB16" i="3"/>
  <c r="H11" i="3"/>
  <c r="I11" i="3"/>
  <c r="K8" i="3"/>
  <c r="Y11" i="3"/>
  <c r="Y14" i="3"/>
  <c r="I14" i="3"/>
  <c r="H14" i="3"/>
  <c r="Y872" i="3"/>
  <c r="H872" i="3"/>
  <c r="I872" i="3"/>
  <c r="Y764" i="3"/>
  <c r="H764" i="3"/>
  <c r="I764" i="3"/>
  <c r="AB772" i="3"/>
  <c r="AC771" i="3"/>
  <c r="Y932" i="3"/>
  <c r="H932" i="3"/>
  <c r="I932" i="3"/>
  <c r="AC1003" i="3"/>
  <c r="AB1004" i="3"/>
  <c r="Y988" i="3"/>
  <c r="H988" i="3"/>
  <c r="I988" i="3"/>
  <c r="AC927" i="3"/>
  <c r="AB928" i="3"/>
  <c r="AC939" i="3"/>
  <c r="AB940" i="3"/>
  <c r="AB984" i="3"/>
  <c r="AC983" i="3"/>
  <c r="Y980" i="3"/>
  <c r="H980" i="3"/>
  <c r="I980" i="3"/>
  <c r="Y992" i="3"/>
  <c r="H992" i="3"/>
  <c r="I992" i="3"/>
  <c r="Y972" i="3"/>
  <c r="H972" i="3"/>
  <c r="I972" i="3"/>
  <c r="Y896" i="3"/>
  <c r="I896" i="3"/>
  <c r="H896" i="3"/>
  <c r="AB876" i="3"/>
  <c r="AC875" i="3"/>
  <c r="Y955" i="3"/>
  <c r="I955" i="3"/>
  <c r="H955" i="3"/>
  <c r="AC950" i="3"/>
  <c r="AB951" i="3"/>
  <c r="Y891" i="3"/>
  <c r="I891" i="3"/>
  <c r="H891" i="3"/>
  <c r="AB887" i="3"/>
  <c r="AC886" i="3"/>
  <c r="AC1001" i="3"/>
  <c r="AB1002" i="3"/>
  <c r="Y942" i="3"/>
  <c r="I942" i="3"/>
  <c r="H942" i="3"/>
  <c r="AB938" i="3"/>
  <c r="AC937" i="3"/>
  <c r="Y878" i="3"/>
  <c r="H878" i="3"/>
  <c r="I878" i="3"/>
  <c r="AB874" i="3"/>
  <c r="AC873" i="3"/>
  <c r="Y828" i="3"/>
  <c r="H828" i="3"/>
  <c r="I828" i="3"/>
  <c r="AC1004" i="3"/>
  <c r="Y945" i="3"/>
  <c r="I945" i="3"/>
  <c r="H945" i="3"/>
  <c r="AC940" i="3"/>
  <c r="AB941" i="3"/>
  <c r="Y881" i="3"/>
  <c r="H881" i="3"/>
  <c r="I881" i="3"/>
  <c r="AC876" i="3"/>
  <c r="AB877" i="3"/>
  <c r="Y840" i="3"/>
  <c r="H840" i="3"/>
  <c r="I840" i="3"/>
  <c r="Y724" i="3"/>
  <c r="I724" i="3"/>
  <c r="H724" i="3"/>
  <c r="AB904" i="3"/>
  <c r="AC903" i="3"/>
  <c r="AC1002" i="3"/>
  <c r="AB1003" i="3"/>
  <c r="Y943" i="3"/>
  <c r="I943" i="3"/>
  <c r="H943" i="3"/>
  <c r="AC938" i="3"/>
  <c r="AB939" i="3"/>
  <c r="Y879" i="3"/>
  <c r="H879" i="3"/>
  <c r="I879" i="3"/>
  <c r="AB875" i="3"/>
  <c r="AC874" i="3"/>
  <c r="Y832" i="3"/>
  <c r="H832" i="3"/>
  <c r="I832" i="3"/>
  <c r="AC895" i="3"/>
  <c r="AB896" i="3"/>
  <c r="Y884" i="3"/>
  <c r="H884" i="3"/>
  <c r="I884" i="3"/>
  <c r="Y994" i="3"/>
  <c r="H994" i="3"/>
  <c r="I994" i="3"/>
  <c r="AC989" i="3"/>
  <c r="AB990" i="3"/>
  <c r="Y930" i="3"/>
  <c r="H930" i="3"/>
  <c r="I930" i="3"/>
  <c r="AC925" i="3"/>
  <c r="AB926" i="3"/>
  <c r="AB840" i="3"/>
  <c r="AC839" i="3"/>
  <c r="Y780" i="3"/>
  <c r="H780" i="3"/>
  <c r="I780" i="3"/>
  <c r="Y981" i="3"/>
  <c r="H981" i="3"/>
  <c r="I981" i="3"/>
  <c r="AC976" i="3"/>
  <c r="AB977" i="3"/>
  <c r="Y917" i="3"/>
  <c r="I917" i="3"/>
  <c r="H917" i="3"/>
  <c r="AC912" i="3"/>
  <c r="AB913" i="3"/>
  <c r="AC787" i="3"/>
  <c r="AB788" i="3"/>
  <c r="Y728" i="3"/>
  <c r="H728" i="3"/>
  <c r="I728" i="3"/>
  <c r="Y819" i="3"/>
  <c r="H819" i="3"/>
  <c r="I819" i="3"/>
  <c r="AB815" i="3"/>
  <c r="AC814" i="3"/>
  <c r="Y755" i="3"/>
  <c r="H755" i="3"/>
  <c r="I755" i="3"/>
  <c r="AC750" i="3"/>
  <c r="AB751" i="3"/>
  <c r="Y691" i="3"/>
  <c r="H691" i="3"/>
  <c r="I691" i="3"/>
  <c r="Y822" i="3"/>
  <c r="I822" i="3"/>
  <c r="H822" i="3"/>
  <c r="AB818" i="3"/>
  <c r="AC817" i="3"/>
  <c r="Y758" i="3"/>
  <c r="I758" i="3"/>
  <c r="H758" i="3"/>
  <c r="AC753" i="3"/>
  <c r="AB754" i="3"/>
  <c r="Y694" i="3"/>
  <c r="H694" i="3"/>
  <c r="I694" i="3"/>
  <c r="AC689" i="3"/>
  <c r="AB690" i="3"/>
  <c r="Y833" i="3"/>
  <c r="I833" i="3"/>
  <c r="H833" i="3"/>
  <c r="AC828" i="3"/>
  <c r="AB829" i="3"/>
  <c r="Y769" i="3"/>
  <c r="H769" i="3"/>
  <c r="I769" i="3"/>
  <c r="AB765" i="3"/>
  <c r="AC764" i="3"/>
  <c r="Y705" i="3"/>
  <c r="I705" i="3"/>
  <c r="H705" i="3"/>
  <c r="AB701" i="3"/>
  <c r="AC700" i="3"/>
  <c r="AB642" i="3"/>
  <c r="AC641" i="3"/>
  <c r="Y855" i="3"/>
  <c r="I855" i="3"/>
  <c r="H855" i="3"/>
  <c r="AC850" i="3"/>
  <c r="AB851" i="3"/>
  <c r="Y791" i="3"/>
  <c r="I791" i="3"/>
  <c r="H791" i="3"/>
  <c r="AB787" i="3"/>
  <c r="AC786" i="3"/>
  <c r="Y727" i="3"/>
  <c r="H727" i="3"/>
  <c r="I727" i="3"/>
  <c r="AC722" i="3"/>
  <c r="AB723" i="3"/>
  <c r="AC653" i="3"/>
  <c r="AB654" i="3"/>
  <c r="Y858" i="3"/>
  <c r="H858" i="3"/>
  <c r="I858" i="3"/>
  <c r="AB854" i="3"/>
  <c r="AC853" i="3"/>
  <c r="Y794" i="3"/>
  <c r="H794" i="3"/>
  <c r="I794" i="3"/>
  <c r="AB790" i="3"/>
  <c r="AC789" i="3"/>
  <c r="Y730" i="3"/>
  <c r="H730" i="3"/>
  <c r="I730" i="3"/>
  <c r="AC725" i="3"/>
  <c r="AB726" i="3"/>
  <c r="AB685" i="3"/>
  <c r="AC684" i="3"/>
  <c r="AB666" i="3"/>
  <c r="AC665" i="3"/>
  <c r="Y606" i="3"/>
  <c r="I606" i="3"/>
  <c r="H606" i="3"/>
  <c r="AC532" i="3"/>
  <c r="AB533" i="3"/>
  <c r="Y861" i="3"/>
  <c r="I861" i="3"/>
  <c r="H861" i="3"/>
  <c r="AB857" i="3"/>
  <c r="AC856" i="3"/>
  <c r="Y797" i="3"/>
  <c r="H797" i="3"/>
  <c r="I797" i="3"/>
  <c r="AC792" i="3"/>
  <c r="AB793" i="3"/>
  <c r="Y733" i="3"/>
  <c r="H733" i="3"/>
  <c r="I733" i="3"/>
  <c r="AB729" i="3"/>
  <c r="AC728" i="3"/>
  <c r="AC677" i="3"/>
  <c r="AB678" i="3"/>
  <c r="Y618" i="3"/>
  <c r="H618" i="3"/>
  <c r="I618" i="3"/>
  <c r="AC580" i="3"/>
  <c r="AB581" i="3"/>
  <c r="Y649" i="3"/>
  <c r="I649" i="3"/>
  <c r="H649" i="3"/>
  <c r="AB645" i="3"/>
  <c r="AC644" i="3"/>
  <c r="Y525" i="3"/>
  <c r="H525" i="3"/>
  <c r="I525" i="3"/>
  <c r="Y684" i="3"/>
  <c r="I684" i="3"/>
  <c r="H684" i="3"/>
  <c r="AC679" i="3"/>
  <c r="AB680" i="3"/>
  <c r="Y620" i="3"/>
  <c r="H620" i="3"/>
  <c r="I620" i="3"/>
  <c r="AC615" i="3"/>
  <c r="AB616" i="3"/>
  <c r="AB589" i="3"/>
  <c r="AC588" i="3"/>
  <c r="Y529" i="3"/>
  <c r="I529" i="3"/>
  <c r="H529" i="3"/>
  <c r="H461" i="3"/>
  <c r="I461" i="3"/>
  <c r="Y461" i="3"/>
  <c r="Y671" i="3"/>
  <c r="I671" i="3"/>
  <c r="H671" i="3"/>
  <c r="AB667" i="3"/>
  <c r="AC666" i="3"/>
  <c r="Y607" i="3"/>
  <c r="H607" i="3"/>
  <c r="I607" i="3"/>
  <c r="AB537" i="3"/>
  <c r="AC536" i="3"/>
  <c r="Y637" i="3"/>
  <c r="I637" i="3"/>
  <c r="H637" i="3"/>
  <c r="AB633" i="3"/>
  <c r="AC632" i="3"/>
  <c r="Y597" i="3"/>
  <c r="H597" i="3"/>
  <c r="I597" i="3"/>
  <c r="Y648" i="3"/>
  <c r="H648" i="3"/>
  <c r="I648" i="3"/>
  <c r="AC643" i="3"/>
  <c r="AB644" i="3"/>
  <c r="Y683" i="3"/>
  <c r="I683" i="3"/>
  <c r="H683" i="3"/>
  <c r="AC678" i="3"/>
  <c r="AB679" i="3"/>
  <c r="Y619" i="3"/>
  <c r="I619" i="3"/>
  <c r="H619" i="3"/>
  <c r="AC614" i="3"/>
  <c r="AB615" i="3"/>
  <c r="AC584" i="3"/>
  <c r="AB585" i="3"/>
  <c r="Y556" i="3"/>
  <c r="I556" i="3"/>
  <c r="H556" i="3"/>
  <c r="AB552" i="3"/>
  <c r="AC551" i="3"/>
  <c r="Y591" i="3"/>
  <c r="I591" i="3"/>
  <c r="H591" i="3"/>
  <c r="AC586" i="3"/>
  <c r="AB587" i="3"/>
  <c r="AB513" i="3"/>
  <c r="AC512" i="3"/>
  <c r="H453" i="3"/>
  <c r="I453" i="3"/>
  <c r="Y453" i="3"/>
  <c r="Y562" i="3"/>
  <c r="H562" i="3"/>
  <c r="I562" i="3"/>
  <c r="AB558" i="3"/>
  <c r="AC557" i="3"/>
  <c r="AB392" i="3"/>
  <c r="AC391" i="3"/>
  <c r="Y568" i="3"/>
  <c r="H568" i="3"/>
  <c r="I568" i="3"/>
  <c r="AC563" i="3"/>
  <c r="AB564" i="3"/>
  <c r="Y555" i="3"/>
  <c r="H555" i="3"/>
  <c r="I555" i="3"/>
  <c r="AB551" i="3"/>
  <c r="AC550" i="3"/>
  <c r="Y566" i="3"/>
  <c r="H566" i="3"/>
  <c r="I566" i="3"/>
  <c r="AB562" i="3"/>
  <c r="AC561" i="3"/>
  <c r="I472" i="3"/>
  <c r="H472" i="3"/>
  <c r="Y472" i="3"/>
  <c r="AB468" i="3"/>
  <c r="AC467" i="3"/>
  <c r="AB420" i="3"/>
  <c r="AC419" i="3"/>
  <c r="I483" i="3"/>
  <c r="Y483" i="3"/>
  <c r="H483" i="3"/>
  <c r="AC478" i="3"/>
  <c r="AB479" i="3"/>
  <c r="H404" i="3"/>
  <c r="Y404" i="3"/>
  <c r="I404" i="3"/>
  <c r="H494" i="3"/>
  <c r="I494" i="3"/>
  <c r="Y494" i="3"/>
  <c r="AB490" i="3"/>
  <c r="AC489" i="3"/>
  <c r="H448" i="3"/>
  <c r="Y448" i="3"/>
  <c r="I448" i="3"/>
  <c r="H500" i="3"/>
  <c r="I500" i="3"/>
  <c r="Y500" i="3"/>
  <c r="AC495" i="3"/>
  <c r="AB496" i="3"/>
  <c r="Y511" i="3"/>
  <c r="I511" i="3"/>
  <c r="H511" i="3"/>
  <c r="AC506" i="3"/>
  <c r="AB507" i="3"/>
  <c r="Y522" i="3"/>
  <c r="H522" i="3"/>
  <c r="I522" i="3"/>
  <c r="AC517" i="3"/>
  <c r="AB518" i="3"/>
  <c r="H458" i="3"/>
  <c r="I458" i="3"/>
  <c r="Y458" i="3"/>
  <c r="AC453" i="3"/>
  <c r="AB454" i="3"/>
  <c r="AC450" i="3"/>
  <c r="AB451" i="3"/>
  <c r="H391" i="3"/>
  <c r="Y391" i="3"/>
  <c r="I391" i="3"/>
  <c r="AC386" i="3"/>
  <c r="AB387" i="3"/>
  <c r="H312" i="3"/>
  <c r="Y312" i="3"/>
  <c r="I312" i="3"/>
  <c r="AC288" i="3"/>
  <c r="AB289" i="3"/>
  <c r="Y402" i="3"/>
  <c r="H402" i="3"/>
  <c r="I402" i="3"/>
  <c r="AB398" i="3"/>
  <c r="AC397" i="3"/>
  <c r="Y356" i="3"/>
  <c r="H356" i="3"/>
  <c r="I356" i="3"/>
  <c r="H413" i="3"/>
  <c r="Y413" i="3"/>
  <c r="I413" i="3"/>
  <c r="AC408" i="3"/>
  <c r="AB409" i="3"/>
  <c r="Y419" i="3"/>
  <c r="I419" i="3"/>
  <c r="H419" i="3"/>
  <c r="AC414" i="3"/>
  <c r="AB415" i="3"/>
  <c r="H430" i="3"/>
  <c r="Y430" i="3"/>
  <c r="I430" i="3"/>
  <c r="AC425" i="3"/>
  <c r="AB426" i="3"/>
  <c r="H284" i="3"/>
  <c r="I284" i="3"/>
  <c r="Y284" i="3"/>
  <c r="H417" i="3"/>
  <c r="I417" i="3"/>
  <c r="Y417" i="3"/>
  <c r="AC412" i="3"/>
  <c r="AB413" i="3"/>
  <c r="Y367" i="3"/>
  <c r="H367" i="3"/>
  <c r="I367" i="3"/>
  <c r="AC362" i="3"/>
  <c r="AB363" i="3"/>
  <c r="I303" i="3"/>
  <c r="H303" i="3"/>
  <c r="Y303" i="3"/>
  <c r="AB299" i="3"/>
  <c r="AC298" i="3"/>
  <c r="I314" i="3"/>
  <c r="H314" i="3"/>
  <c r="Y314" i="3"/>
  <c r="AB310" i="3"/>
  <c r="AC309" i="3"/>
  <c r="Y292" i="3"/>
  <c r="I292" i="3"/>
  <c r="H292" i="3"/>
  <c r="AC239" i="3"/>
  <c r="AB240" i="3"/>
  <c r="I365" i="3"/>
  <c r="Y365" i="3"/>
  <c r="H365" i="3"/>
  <c r="AC360" i="3"/>
  <c r="AB361" i="3"/>
  <c r="H301" i="3"/>
  <c r="I301" i="3"/>
  <c r="Y301" i="3"/>
  <c r="I371" i="3"/>
  <c r="H371" i="3"/>
  <c r="Y371" i="3"/>
  <c r="AB367" i="3"/>
  <c r="AC366" i="3"/>
  <c r="H307" i="3"/>
  <c r="I307" i="3"/>
  <c r="Y307" i="3"/>
  <c r="AB303" i="3"/>
  <c r="AC302" i="3"/>
  <c r="Y288" i="3"/>
  <c r="H288" i="3"/>
  <c r="I288" i="3"/>
  <c r="H318" i="3"/>
  <c r="Y318" i="3"/>
  <c r="I318" i="3"/>
  <c r="AB314" i="3"/>
  <c r="AC313" i="3"/>
  <c r="AC255" i="3"/>
  <c r="AB256" i="3"/>
  <c r="H369" i="3"/>
  <c r="Y369" i="3"/>
  <c r="I369" i="3"/>
  <c r="AC364" i="3"/>
  <c r="AB365" i="3"/>
  <c r="H305" i="3"/>
  <c r="I305" i="3"/>
  <c r="Y305" i="3"/>
  <c r="AB301" i="3"/>
  <c r="AC300" i="3"/>
  <c r="I279" i="3"/>
  <c r="Y279" i="3"/>
  <c r="H279" i="3"/>
  <c r="AB275" i="3"/>
  <c r="AC274" i="3"/>
  <c r="I215" i="3"/>
  <c r="Y215" i="3"/>
  <c r="H215" i="3"/>
  <c r="H242" i="3"/>
  <c r="I242" i="3"/>
  <c r="Y242" i="3"/>
  <c r="AC237" i="3"/>
  <c r="AB238" i="3"/>
  <c r="AC203" i="3"/>
  <c r="AB204" i="3"/>
  <c r="H261" i="3"/>
  <c r="I261" i="3"/>
  <c r="Y261" i="3"/>
  <c r="AC256" i="3"/>
  <c r="AB257" i="3"/>
  <c r="I163" i="3"/>
  <c r="Y163" i="3"/>
  <c r="H163" i="3"/>
  <c r="I267" i="3"/>
  <c r="Y267" i="3"/>
  <c r="H267" i="3"/>
  <c r="AC262" i="3"/>
  <c r="AB263" i="3"/>
  <c r="H204" i="3"/>
  <c r="Y204" i="3"/>
  <c r="I204" i="3"/>
  <c r="I188" i="3"/>
  <c r="H188" i="3"/>
  <c r="Y188" i="3"/>
  <c r="I87" i="3"/>
  <c r="Y87" i="3"/>
  <c r="H87" i="3"/>
  <c r="H278" i="3"/>
  <c r="Y278" i="3"/>
  <c r="I278" i="3"/>
  <c r="AB274" i="3"/>
  <c r="AC273" i="3"/>
  <c r="Y214" i="3"/>
  <c r="I214" i="3"/>
  <c r="H214" i="3"/>
  <c r="Y289" i="3"/>
  <c r="I289" i="3"/>
  <c r="H289" i="3"/>
  <c r="AC284" i="3"/>
  <c r="AB285" i="3"/>
  <c r="H225" i="3"/>
  <c r="Y225" i="3"/>
  <c r="I225" i="3"/>
  <c r="AB221" i="3"/>
  <c r="AC220" i="3"/>
  <c r="AC198" i="3"/>
  <c r="AB199" i="3"/>
  <c r="I132" i="3"/>
  <c r="H132" i="3"/>
  <c r="Y132" i="3"/>
  <c r="Y191" i="3"/>
  <c r="I191" i="3"/>
  <c r="H191" i="3"/>
  <c r="AC186" i="3"/>
  <c r="AB187" i="3"/>
  <c r="AC143" i="3"/>
  <c r="AB144" i="3"/>
  <c r="Y197" i="3"/>
  <c r="I197" i="3"/>
  <c r="H197" i="3"/>
  <c r="AB193" i="3"/>
  <c r="AC192" i="3"/>
  <c r="AC150" i="3"/>
  <c r="AB151" i="3"/>
  <c r="H158" i="3"/>
  <c r="Y158" i="3"/>
  <c r="I158" i="3"/>
  <c r="AC153" i="3"/>
  <c r="AB154" i="3"/>
  <c r="I159" i="3"/>
  <c r="Y159" i="3"/>
  <c r="H159" i="3"/>
  <c r="AC154" i="3"/>
  <c r="AB155" i="3"/>
  <c r="Y115" i="3"/>
  <c r="H115" i="3"/>
  <c r="I115" i="3"/>
  <c r="AC123" i="3"/>
  <c r="AB124" i="3"/>
  <c r="AB99" i="3"/>
  <c r="AC98" i="3"/>
  <c r="Y157" i="3"/>
  <c r="H157" i="3"/>
  <c r="I157" i="3"/>
  <c r="AC152" i="3"/>
  <c r="AB153" i="3"/>
  <c r="I65" i="3"/>
  <c r="Y65" i="3"/>
  <c r="H65" i="3"/>
  <c r="H96" i="3"/>
  <c r="Y96" i="3"/>
  <c r="I96" i="3"/>
  <c r="AB92" i="3"/>
  <c r="AC91" i="3"/>
  <c r="H84" i="3"/>
  <c r="I84" i="3"/>
  <c r="Y84" i="3"/>
  <c r="Y94" i="3"/>
  <c r="I94" i="3"/>
  <c r="H94" i="3"/>
  <c r="AC89" i="3"/>
  <c r="AB90" i="3"/>
  <c r="AC80" i="3"/>
  <c r="AB81" i="3"/>
  <c r="AC76" i="3"/>
  <c r="AB77" i="3"/>
  <c r="AC43" i="3"/>
  <c r="AB44" i="3"/>
  <c r="AC85" i="3"/>
  <c r="AB86" i="3"/>
  <c r="AC39" i="3"/>
  <c r="AB40" i="3"/>
  <c r="AC45" i="3"/>
  <c r="AB46" i="3"/>
  <c r="AB52" i="3"/>
  <c r="AC51" i="3"/>
  <c r="Y57" i="3"/>
  <c r="H57" i="3"/>
  <c r="I57" i="3"/>
  <c r="Y35" i="3"/>
  <c r="H35" i="3"/>
  <c r="I35" i="3"/>
  <c r="AC30" i="3"/>
  <c r="AB31" i="3"/>
  <c r="I38" i="3"/>
  <c r="Y38" i="3"/>
  <c r="H38" i="3"/>
  <c r="AC33" i="3"/>
  <c r="AB34" i="3"/>
  <c r="I31" i="3"/>
  <c r="H31" i="3"/>
  <c r="Y31" i="3"/>
  <c r="AB27" i="3"/>
  <c r="AC26" i="3"/>
  <c r="H29" i="3"/>
  <c r="I29" i="3"/>
  <c r="Y29" i="3"/>
  <c r="AB25" i="3"/>
  <c r="AC24" i="3"/>
  <c r="AB976" i="3"/>
  <c r="AC975" i="3"/>
  <c r="Y1003" i="3"/>
  <c r="I1003" i="3"/>
  <c r="H1003" i="3"/>
  <c r="Y929" i="3"/>
  <c r="I929" i="3"/>
  <c r="H929" i="3"/>
  <c r="Y880" i="3"/>
  <c r="I880" i="3"/>
  <c r="H880" i="3"/>
  <c r="AB919" i="3"/>
  <c r="AC918" i="3"/>
  <c r="Y984" i="3"/>
  <c r="I984" i="3"/>
  <c r="H984" i="3"/>
  <c r="Y964" i="3"/>
  <c r="I964" i="3"/>
  <c r="H964" i="3"/>
  <c r="AC923" i="3"/>
  <c r="AB924" i="3"/>
  <c r="Y976" i="3"/>
  <c r="H976" i="3"/>
  <c r="I976" i="3"/>
  <c r="AC931" i="3"/>
  <c r="AB932" i="3"/>
  <c r="Y904" i="3"/>
  <c r="I904" i="3"/>
  <c r="H904" i="3"/>
  <c r="Y979" i="3"/>
  <c r="H979" i="3"/>
  <c r="I979" i="3"/>
  <c r="AB975" i="3"/>
  <c r="AC974" i="3"/>
  <c r="Y915" i="3"/>
  <c r="H915" i="3"/>
  <c r="I915" i="3"/>
  <c r="AB911" i="3"/>
  <c r="AC910" i="3"/>
  <c r="AC779" i="3"/>
  <c r="AB780" i="3"/>
  <c r="Y720" i="3"/>
  <c r="H720" i="3"/>
  <c r="I720" i="3"/>
  <c r="Y966" i="3"/>
  <c r="H966" i="3"/>
  <c r="I966" i="3"/>
  <c r="AB962" i="3"/>
  <c r="AC961" i="3"/>
  <c r="Y902" i="3"/>
  <c r="H902" i="3"/>
  <c r="I902" i="3"/>
  <c r="AB898" i="3"/>
  <c r="AC897" i="3"/>
  <c r="AC727" i="3"/>
  <c r="AB728" i="3"/>
  <c r="AB916" i="3"/>
  <c r="AC915" i="3"/>
  <c r="Y969" i="3"/>
  <c r="I969" i="3"/>
  <c r="H969" i="3"/>
  <c r="AB965" i="3"/>
  <c r="AC964" i="3"/>
  <c r="Y905" i="3"/>
  <c r="H905" i="3"/>
  <c r="I905" i="3"/>
  <c r="AB901" i="3"/>
  <c r="AC900" i="3"/>
  <c r="AC739" i="3"/>
  <c r="AB740" i="3"/>
  <c r="Y662" i="3"/>
  <c r="H662" i="3"/>
  <c r="I662" i="3"/>
  <c r="AC847" i="3"/>
  <c r="AB848" i="3"/>
  <c r="Y788" i="3"/>
  <c r="H788" i="3"/>
  <c r="I788" i="3"/>
  <c r="Y967" i="3"/>
  <c r="H967" i="3"/>
  <c r="I967" i="3"/>
  <c r="AB963" i="3"/>
  <c r="AC962" i="3"/>
  <c r="Y903" i="3"/>
  <c r="H903" i="3"/>
  <c r="I903" i="3"/>
  <c r="AB899" i="3"/>
  <c r="AC898" i="3"/>
  <c r="AC731" i="3"/>
  <c r="AB732" i="3"/>
  <c r="Y954" i="3"/>
  <c r="H954" i="3"/>
  <c r="I954" i="3"/>
  <c r="AB950" i="3"/>
  <c r="AC949" i="3"/>
  <c r="Y890" i="3"/>
  <c r="H890" i="3"/>
  <c r="I890" i="3"/>
  <c r="AC885" i="3"/>
  <c r="AB886" i="3"/>
  <c r="AC1000" i="3"/>
  <c r="AB1001" i="3"/>
  <c r="Y941" i="3"/>
  <c r="I941" i="3"/>
  <c r="H941" i="3"/>
  <c r="AB937" i="3"/>
  <c r="AC936" i="3"/>
  <c r="Y877" i="3"/>
  <c r="I877" i="3"/>
  <c r="H877" i="3"/>
  <c r="AB873" i="3"/>
  <c r="AC872" i="3"/>
  <c r="Y824" i="3"/>
  <c r="I824" i="3"/>
  <c r="H824" i="3"/>
  <c r="AB686" i="3"/>
  <c r="AC685" i="3"/>
  <c r="AC863" i="3"/>
  <c r="AB864" i="3"/>
  <c r="AC799" i="3"/>
  <c r="AB800" i="3"/>
  <c r="AC735" i="3"/>
  <c r="AB736" i="3"/>
  <c r="Y843" i="3"/>
  <c r="H843" i="3"/>
  <c r="I843" i="3"/>
  <c r="AC838" i="3"/>
  <c r="AB839" i="3"/>
  <c r="Y779" i="3"/>
  <c r="H779" i="3"/>
  <c r="I779" i="3"/>
  <c r="AC774" i="3"/>
  <c r="AB775" i="3"/>
  <c r="Y715" i="3"/>
  <c r="H715" i="3"/>
  <c r="I715" i="3"/>
  <c r="AC710" i="3"/>
  <c r="AB711" i="3"/>
  <c r="AB606" i="3"/>
  <c r="AC605" i="3"/>
  <c r="AC528" i="3"/>
  <c r="AB529" i="3"/>
  <c r="Y846" i="3"/>
  <c r="H846" i="3"/>
  <c r="I846" i="3"/>
  <c r="AC841" i="3"/>
  <c r="AB842" i="3"/>
  <c r="Y782" i="3"/>
  <c r="I782" i="3"/>
  <c r="H782" i="3"/>
  <c r="AB778" i="3"/>
  <c r="AC777" i="3"/>
  <c r="Y718" i="3"/>
  <c r="H718" i="3"/>
  <c r="I718" i="3"/>
  <c r="AC713" i="3"/>
  <c r="AB714" i="3"/>
  <c r="AB618" i="3"/>
  <c r="AC617" i="3"/>
  <c r="Y857" i="3"/>
  <c r="I857" i="3"/>
  <c r="H857" i="3"/>
  <c r="AB853" i="3"/>
  <c r="AC852" i="3"/>
  <c r="Y793" i="3"/>
  <c r="I793" i="3"/>
  <c r="H793" i="3"/>
  <c r="AB789" i="3"/>
  <c r="AC788" i="3"/>
  <c r="Y729" i="3"/>
  <c r="H729" i="3"/>
  <c r="I729" i="3"/>
  <c r="AC724" i="3"/>
  <c r="AB725" i="3"/>
  <c r="AC661" i="3"/>
  <c r="AB662" i="3"/>
  <c r="AC488" i="3"/>
  <c r="AB489" i="3"/>
  <c r="Y815" i="3"/>
  <c r="I815" i="3"/>
  <c r="H815" i="3"/>
  <c r="AC810" i="3"/>
  <c r="AB811" i="3"/>
  <c r="Y751" i="3"/>
  <c r="H751" i="3"/>
  <c r="I751" i="3"/>
  <c r="AC746" i="3"/>
  <c r="AB747" i="3"/>
  <c r="Y553" i="3"/>
  <c r="I553" i="3"/>
  <c r="H553" i="3"/>
  <c r="Y818" i="3"/>
  <c r="H818" i="3"/>
  <c r="I818" i="3"/>
  <c r="AC813" i="3"/>
  <c r="AB814" i="3"/>
  <c r="Y754" i="3"/>
  <c r="H754" i="3"/>
  <c r="I754" i="3"/>
  <c r="AC749" i="3"/>
  <c r="AB750" i="3"/>
  <c r="Y690" i="3"/>
  <c r="I690" i="3"/>
  <c r="H690" i="3"/>
  <c r="Y601" i="3"/>
  <c r="H601" i="3"/>
  <c r="I601" i="3"/>
  <c r="Y821" i="3"/>
  <c r="I821" i="3"/>
  <c r="H821" i="3"/>
  <c r="AB817" i="3"/>
  <c r="AC816" i="3"/>
  <c r="Y757" i="3"/>
  <c r="H757" i="3"/>
  <c r="I757" i="3"/>
  <c r="AC752" i="3"/>
  <c r="AB753" i="3"/>
  <c r="Y693" i="3"/>
  <c r="H693" i="3"/>
  <c r="I693" i="3"/>
  <c r="AC688" i="3"/>
  <c r="AB689" i="3"/>
  <c r="Y569" i="3"/>
  <c r="I569" i="3"/>
  <c r="H569" i="3"/>
  <c r="Y673" i="3"/>
  <c r="H673" i="3"/>
  <c r="I673" i="3"/>
  <c r="AC668" i="3"/>
  <c r="AB669" i="3"/>
  <c r="Y609" i="3"/>
  <c r="H609" i="3"/>
  <c r="I609" i="3"/>
  <c r="AC544" i="3"/>
  <c r="AB545" i="3"/>
  <c r="AB521" i="3"/>
  <c r="AC520" i="3"/>
  <c r="Y644" i="3"/>
  <c r="I644" i="3"/>
  <c r="H644" i="3"/>
  <c r="AC639" i="3"/>
  <c r="AB640" i="3"/>
  <c r="Y631" i="3"/>
  <c r="I631" i="3"/>
  <c r="H631" i="3"/>
  <c r="AB627" i="3"/>
  <c r="AC626" i="3"/>
  <c r="Y573" i="3"/>
  <c r="H573" i="3"/>
  <c r="I573" i="3"/>
  <c r="Y661" i="3"/>
  <c r="H661" i="3"/>
  <c r="I661" i="3"/>
  <c r="AB657" i="3"/>
  <c r="AC656" i="3"/>
  <c r="Y672" i="3"/>
  <c r="I672" i="3"/>
  <c r="H672" i="3"/>
  <c r="AC667" i="3"/>
  <c r="AB668" i="3"/>
  <c r="Y608" i="3"/>
  <c r="H608" i="3"/>
  <c r="I608" i="3"/>
  <c r="AB541" i="3"/>
  <c r="AC540" i="3"/>
  <c r="Y643" i="3"/>
  <c r="I643" i="3"/>
  <c r="H643" i="3"/>
  <c r="AB639" i="3"/>
  <c r="AC638" i="3"/>
  <c r="Y580" i="3"/>
  <c r="I580" i="3"/>
  <c r="H580" i="3"/>
  <c r="AB576" i="3"/>
  <c r="AC575" i="3"/>
  <c r="AC523" i="3"/>
  <c r="AB524" i="3"/>
  <c r="AC468" i="3"/>
  <c r="AB469" i="3"/>
  <c r="Y551" i="3"/>
  <c r="H551" i="3"/>
  <c r="I551" i="3"/>
  <c r="AB547" i="3"/>
  <c r="AC546" i="3"/>
  <c r="Y586" i="3"/>
  <c r="I586" i="3"/>
  <c r="H586" i="3"/>
  <c r="AB582" i="3"/>
  <c r="AC581" i="3"/>
  <c r="AD581" i="3" s="1"/>
  <c r="AB493" i="3"/>
  <c r="AC492" i="3"/>
  <c r="Y592" i="3"/>
  <c r="I592" i="3"/>
  <c r="H592" i="3"/>
  <c r="AC587" i="3"/>
  <c r="AB588" i="3"/>
  <c r="AC516" i="3"/>
  <c r="AB517" i="3"/>
  <c r="Y457" i="3"/>
  <c r="I457" i="3"/>
  <c r="H457" i="3"/>
  <c r="Y579" i="3"/>
  <c r="I579" i="3"/>
  <c r="H579" i="3"/>
  <c r="AC574" i="3"/>
  <c r="AB575" i="3"/>
  <c r="AC521" i="3"/>
  <c r="AB522" i="3"/>
  <c r="AB465" i="3"/>
  <c r="AC464" i="3"/>
  <c r="Y590" i="3"/>
  <c r="H590" i="3"/>
  <c r="I590" i="3"/>
  <c r="AB586" i="3"/>
  <c r="AC585" i="3"/>
  <c r="AC508" i="3"/>
  <c r="AB509" i="3"/>
  <c r="H496" i="3"/>
  <c r="I496" i="3"/>
  <c r="Y496" i="3"/>
  <c r="AB492" i="3"/>
  <c r="AC491" i="3"/>
  <c r="Y316" i="3"/>
  <c r="H316" i="3"/>
  <c r="I316" i="3"/>
  <c r="Y507" i="3"/>
  <c r="H507" i="3"/>
  <c r="I507" i="3"/>
  <c r="AC502" i="3"/>
  <c r="AB503" i="3"/>
  <c r="Y518" i="3"/>
  <c r="H518" i="3"/>
  <c r="I518" i="3"/>
  <c r="AC513" i="3"/>
  <c r="AB514" i="3"/>
  <c r="Y454" i="3"/>
  <c r="I454" i="3"/>
  <c r="H454" i="3"/>
  <c r="Y524" i="3"/>
  <c r="H524" i="3"/>
  <c r="I524" i="3"/>
  <c r="AC519" i="3"/>
  <c r="AB520" i="3"/>
  <c r="H460" i="3"/>
  <c r="Y460" i="3"/>
  <c r="I460" i="3"/>
  <c r="AB456" i="3"/>
  <c r="AC455" i="3"/>
  <c r="H471" i="3"/>
  <c r="I471" i="3"/>
  <c r="Y471" i="3"/>
  <c r="AC466" i="3"/>
  <c r="AB467" i="3"/>
  <c r="AC415" i="3"/>
  <c r="AB416" i="3"/>
  <c r="I482" i="3"/>
  <c r="Y482" i="3"/>
  <c r="H482" i="3"/>
  <c r="AC477" i="3"/>
  <c r="AB478" i="3"/>
  <c r="Y400" i="3"/>
  <c r="H400" i="3"/>
  <c r="I400" i="3"/>
  <c r="Y415" i="3"/>
  <c r="H415" i="3"/>
  <c r="I415" i="3"/>
  <c r="AB411" i="3"/>
  <c r="AC410" i="3"/>
  <c r="H426" i="3"/>
  <c r="Y426" i="3"/>
  <c r="I426" i="3"/>
  <c r="AC421" i="3"/>
  <c r="AB422" i="3"/>
  <c r="AB372" i="3"/>
  <c r="AC371" i="3"/>
  <c r="H220" i="3"/>
  <c r="I220" i="3"/>
  <c r="Y220" i="3"/>
  <c r="I437" i="3"/>
  <c r="Y437" i="3"/>
  <c r="H437" i="3"/>
  <c r="AB433" i="3"/>
  <c r="AC432" i="3"/>
  <c r="I373" i="3"/>
  <c r="Y373" i="3"/>
  <c r="H373" i="3"/>
  <c r="AC299" i="3"/>
  <c r="AB300" i="3"/>
  <c r="H443" i="3"/>
  <c r="Y443" i="3"/>
  <c r="I443" i="3"/>
  <c r="AB439" i="3"/>
  <c r="AC438" i="3"/>
  <c r="H379" i="3"/>
  <c r="Y379" i="3"/>
  <c r="I379" i="3"/>
  <c r="AB375" i="3"/>
  <c r="AC374" i="3"/>
  <c r="AC323" i="3"/>
  <c r="AB324" i="3"/>
  <c r="AC449" i="3"/>
  <c r="AB450" i="3"/>
  <c r="H390" i="3"/>
  <c r="I390" i="3"/>
  <c r="Y390" i="3"/>
  <c r="AB386" i="3"/>
  <c r="AC385" i="3"/>
  <c r="AB368" i="3"/>
  <c r="AC367" i="3"/>
  <c r="AD367" i="3" s="1"/>
  <c r="H308" i="3"/>
  <c r="Y308" i="3"/>
  <c r="I308" i="3"/>
  <c r="AB148" i="3"/>
  <c r="AC147" i="3"/>
  <c r="Y441" i="3"/>
  <c r="H441" i="3"/>
  <c r="I441" i="3"/>
  <c r="AC436" i="3"/>
  <c r="AB437" i="3"/>
  <c r="I377" i="3"/>
  <c r="Y377" i="3"/>
  <c r="H377" i="3"/>
  <c r="AC315" i="3"/>
  <c r="AB316" i="3"/>
  <c r="Y327" i="3"/>
  <c r="H327" i="3"/>
  <c r="I327" i="3"/>
  <c r="AC322" i="3"/>
  <c r="AB323" i="3"/>
  <c r="Y232" i="3"/>
  <c r="H232" i="3"/>
  <c r="I232" i="3"/>
  <c r="Y338" i="3"/>
  <c r="I338" i="3"/>
  <c r="H338" i="3"/>
  <c r="AC333" i="3"/>
  <c r="AB334" i="3"/>
  <c r="H276" i="3"/>
  <c r="I276" i="3"/>
  <c r="Y276" i="3"/>
  <c r="I325" i="3"/>
  <c r="H325" i="3"/>
  <c r="Y325" i="3"/>
  <c r="AB321" i="3"/>
  <c r="AC320" i="3"/>
  <c r="AC283" i="3"/>
  <c r="AB284" i="3"/>
  <c r="H224" i="3"/>
  <c r="Y224" i="3"/>
  <c r="I224" i="3"/>
  <c r="Y331" i="3"/>
  <c r="H331" i="3"/>
  <c r="I331" i="3"/>
  <c r="AB327" i="3"/>
  <c r="AC326" i="3"/>
  <c r="AC296" i="3"/>
  <c r="AB297" i="3"/>
  <c r="H248" i="3"/>
  <c r="I248" i="3"/>
  <c r="Y248" i="3"/>
  <c r="I342" i="3"/>
  <c r="H342" i="3"/>
  <c r="Y342" i="3"/>
  <c r="AC337" i="3"/>
  <c r="AB338" i="3"/>
  <c r="Y329" i="3"/>
  <c r="H329" i="3"/>
  <c r="I329" i="3"/>
  <c r="AB325" i="3"/>
  <c r="AC324" i="3"/>
  <c r="I240" i="3"/>
  <c r="H240" i="3"/>
  <c r="Y240" i="3"/>
  <c r="I239" i="3"/>
  <c r="H239" i="3"/>
  <c r="Y239" i="3"/>
  <c r="AB235" i="3"/>
  <c r="AC234" i="3"/>
  <c r="AB208" i="3"/>
  <c r="AC207" i="3"/>
  <c r="Y136" i="3"/>
  <c r="I136" i="3"/>
  <c r="H136" i="3"/>
  <c r="I266" i="3"/>
  <c r="Y266" i="3"/>
  <c r="H266" i="3"/>
  <c r="AC261" i="3"/>
  <c r="AB262" i="3"/>
  <c r="H184" i="3"/>
  <c r="Y184" i="3"/>
  <c r="I184" i="3"/>
  <c r="I285" i="3"/>
  <c r="H285" i="3"/>
  <c r="Y285" i="3"/>
  <c r="AC280" i="3"/>
  <c r="AB281" i="3"/>
  <c r="H221" i="3"/>
  <c r="I221" i="3"/>
  <c r="Y221" i="3"/>
  <c r="AB217" i="3"/>
  <c r="AC216" i="3"/>
  <c r="H291" i="3"/>
  <c r="I291" i="3"/>
  <c r="Y291" i="3"/>
  <c r="AC286" i="3"/>
  <c r="AB287" i="3"/>
  <c r="I227" i="3"/>
  <c r="Y227" i="3"/>
  <c r="H227" i="3"/>
  <c r="AB223" i="3"/>
  <c r="AC222" i="3"/>
  <c r="AC297" i="3"/>
  <c r="AB298" i="3"/>
  <c r="H238" i="3"/>
  <c r="I238" i="3"/>
  <c r="Y238" i="3"/>
  <c r="AC233" i="3"/>
  <c r="AB234" i="3"/>
  <c r="Y249" i="3"/>
  <c r="H249" i="3"/>
  <c r="I249" i="3"/>
  <c r="AC244" i="3"/>
  <c r="AB245" i="3"/>
  <c r="AC175" i="3"/>
  <c r="AB176" i="3"/>
  <c r="H182" i="3"/>
  <c r="Y182" i="3"/>
  <c r="I182" i="3"/>
  <c r="AC177" i="3"/>
  <c r="AB178" i="3"/>
  <c r="I185" i="3"/>
  <c r="H185" i="3"/>
  <c r="Y185" i="3"/>
  <c r="AC180" i="3"/>
  <c r="AB181" i="3"/>
  <c r="AB211" i="3"/>
  <c r="AC210" i="3"/>
  <c r="H186" i="3"/>
  <c r="I186" i="3"/>
  <c r="Y186" i="3"/>
  <c r="AC181" i="3"/>
  <c r="AB182" i="3"/>
  <c r="AC102" i="3"/>
  <c r="AB103" i="3"/>
  <c r="H145" i="3"/>
  <c r="I145" i="3"/>
  <c r="Y145" i="3"/>
  <c r="AB141" i="3"/>
  <c r="AC140" i="3"/>
  <c r="I138" i="3"/>
  <c r="Y138" i="3"/>
  <c r="H138" i="3"/>
  <c r="AC133" i="3"/>
  <c r="AB134" i="3"/>
  <c r="I122" i="3"/>
  <c r="Y122" i="3"/>
  <c r="H122" i="3"/>
  <c r="Y90" i="3"/>
  <c r="I90" i="3"/>
  <c r="H90" i="3"/>
  <c r="Y109" i="3"/>
  <c r="I109" i="3"/>
  <c r="H109" i="3"/>
  <c r="AC104" i="3"/>
  <c r="AB105" i="3"/>
  <c r="I33" i="3"/>
  <c r="H33" i="3"/>
  <c r="Y33" i="3"/>
  <c r="H118" i="3"/>
  <c r="Y118" i="3"/>
  <c r="I118" i="3"/>
  <c r="AC113" i="3"/>
  <c r="AB114" i="3"/>
  <c r="Y17" i="3"/>
  <c r="H17" i="3"/>
  <c r="I17" i="3"/>
  <c r="I97" i="3"/>
  <c r="Y97" i="3"/>
  <c r="H97" i="3"/>
  <c r="AB93" i="3"/>
  <c r="AC92" i="3"/>
  <c r="Y100" i="3"/>
  <c r="H100" i="3"/>
  <c r="I100" i="3"/>
  <c r="AC95" i="3"/>
  <c r="AB96" i="3"/>
  <c r="AC66" i="3"/>
  <c r="AB67" i="3"/>
  <c r="I32" i="3"/>
  <c r="Y32" i="3"/>
  <c r="H32" i="3"/>
  <c r="H28" i="3"/>
  <c r="I28" i="3"/>
  <c r="Y28" i="3"/>
  <c r="H34" i="3"/>
  <c r="I34" i="3"/>
  <c r="Y34" i="3"/>
  <c r="I40" i="3"/>
  <c r="H40" i="3"/>
  <c r="Y40" i="3"/>
  <c r="AB37" i="3"/>
  <c r="AC36" i="3"/>
  <c r="Y52" i="3"/>
  <c r="H52" i="3"/>
  <c r="I52" i="3"/>
  <c r="I59" i="3"/>
  <c r="Y59" i="3"/>
  <c r="H59" i="3"/>
  <c r="AC54" i="3"/>
  <c r="AB55" i="3"/>
  <c r="H62" i="3"/>
  <c r="I62" i="3"/>
  <c r="Y62" i="3"/>
  <c r="AB58" i="3"/>
  <c r="AC57" i="3"/>
  <c r="Y55" i="3"/>
  <c r="H55" i="3"/>
  <c r="I55" i="3"/>
  <c r="AB51" i="3"/>
  <c r="AC50" i="3"/>
  <c r="H53" i="3"/>
  <c r="I53" i="3"/>
  <c r="Y53" i="3"/>
  <c r="AC48" i="3"/>
  <c r="AB49" i="3"/>
  <c r="AC979" i="3"/>
  <c r="AB980" i="3"/>
  <c r="Y968" i="3"/>
  <c r="H968" i="3"/>
  <c r="I968" i="3"/>
  <c r="AC967" i="3"/>
  <c r="AB968" i="3"/>
  <c r="AC934" i="3"/>
  <c r="AB935" i="3"/>
  <c r="AC870" i="3"/>
  <c r="AB871" i="3"/>
  <c r="Y816" i="3"/>
  <c r="H816" i="3"/>
  <c r="I816" i="3"/>
  <c r="Y990" i="3"/>
  <c r="H990" i="3"/>
  <c r="I990" i="3"/>
  <c r="Y926" i="3"/>
  <c r="H926" i="3"/>
  <c r="I926" i="3"/>
  <c r="AC823" i="3"/>
  <c r="AB824" i="3"/>
  <c r="Y993" i="3"/>
  <c r="H993" i="3"/>
  <c r="I993" i="3"/>
  <c r="AC719" i="3"/>
  <c r="AB720" i="3"/>
  <c r="Y991" i="3"/>
  <c r="H991" i="3"/>
  <c r="I991" i="3"/>
  <c r="AC922" i="3"/>
  <c r="AB923" i="3"/>
  <c r="AC827" i="3"/>
  <c r="AB828" i="3"/>
  <c r="Y768" i="3"/>
  <c r="I768" i="3"/>
  <c r="H768" i="3"/>
  <c r="Y892" i="3"/>
  <c r="H892" i="3"/>
  <c r="I892" i="3"/>
  <c r="AB872" i="3"/>
  <c r="AC871" i="3"/>
  <c r="Y978" i="3"/>
  <c r="H978" i="3"/>
  <c r="I978" i="3"/>
  <c r="AC973" i="3"/>
  <c r="AB974" i="3"/>
  <c r="Y914" i="3"/>
  <c r="H914" i="3"/>
  <c r="I914" i="3"/>
  <c r="AB910" i="3"/>
  <c r="AC909" i="3"/>
  <c r="AC775" i="3"/>
  <c r="AB776" i="3"/>
  <c r="Y716" i="3"/>
  <c r="H716" i="3"/>
  <c r="I716" i="3"/>
  <c r="Y965" i="3"/>
  <c r="I965" i="3"/>
  <c r="H965" i="3"/>
  <c r="AB961" i="3"/>
  <c r="AC960" i="3"/>
  <c r="Y901" i="3"/>
  <c r="H901" i="3"/>
  <c r="I901" i="3"/>
  <c r="AB897" i="3"/>
  <c r="AC896" i="3"/>
  <c r="AD896" i="3" s="1"/>
  <c r="AC723" i="3"/>
  <c r="AB724" i="3"/>
  <c r="Y836" i="3"/>
  <c r="I836" i="3"/>
  <c r="H836" i="3"/>
  <c r="Y867" i="3"/>
  <c r="I867" i="3"/>
  <c r="H867" i="3"/>
  <c r="AB863" i="3"/>
  <c r="AC862" i="3"/>
  <c r="Y803" i="3"/>
  <c r="H803" i="3"/>
  <c r="I803" i="3"/>
  <c r="AB799" i="3"/>
  <c r="AC798" i="3"/>
  <c r="Y739" i="3"/>
  <c r="H739" i="3"/>
  <c r="I739" i="3"/>
  <c r="AB735" i="3"/>
  <c r="AC734" i="3"/>
  <c r="Y642" i="3"/>
  <c r="H642" i="3"/>
  <c r="I642" i="3"/>
  <c r="AB866" i="3"/>
  <c r="AC865" i="3"/>
  <c r="Y806" i="3"/>
  <c r="I806" i="3"/>
  <c r="H806" i="3"/>
  <c r="AB802" i="3"/>
  <c r="AC801" i="3"/>
  <c r="AC737" i="3"/>
  <c r="AB738" i="3"/>
  <c r="Y654" i="3"/>
  <c r="H654" i="3"/>
  <c r="I654" i="3"/>
  <c r="Y817" i="3"/>
  <c r="H817" i="3"/>
  <c r="I817" i="3"/>
  <c r="AB813" i="3"/>
  <c r="AC812" i="3"/>
  <c r="Y753" i="3"/>
  <c r="I753" i="3"/>
  <c r="H753" i="3"/>
  <c r="AC748" i="3"/>
  <c r="AB749" i="3"/>
  <c r="Y689" i="3"/>
  <c r="I689" i="3"/>
  <c r="H689" i="3"/>
  <c r="Y585" i="3"/>
  <c r="H585" i="3"/>
  <c r="I585" i="3"/>
  <c r="H444" i="3"/>
  <c r="Y444" i="3"/>
  <c r="I444" i="3"/>
  <c r="Y839" i="3"/>
  <c r="I839" i="3"/>
  <c r="H839" i="3"/>
  <c r="AC834" i="3"/>
  <c r="AB835" i="3"/>
  <c r="Y775" i="3"/>
  <c r="H775" i="3"/>
  <c r="I775" i="3"/>
  <c r="AC770" i="3"/>
  <c r="AB771" i="3"/>
  <c r="Y711" i="3"/>
  <c r="H711" i="3"/>
  <c r="I711" i="3"/>
  <c r="AC706" i="3"/>
  <c r="AB707" i="3"/>
  <c r="Y842" i="3"/>
  <c r="I842" i="3"/>
  <c r="H842" i="3"/>
  <c r="AB838" i="3"/>
  <c r="AC837" i="3"/>
  <c r="Y778" i="3"/>
  <c r="H778" i="3"/>
  <c r="I778" i="3"/>
  <c r="AB774" i="3"/>
  <c r="AC773" i="3"/>
  <c r="Y714" i="3"/>
  <c r="H714" i="3"/>
  <c r="I714" i="3"/>
  <c r="AB710" i="3"/>
  <c r="AC709" i="3"/>
  <c r="Y845" i="3"/>
  <c r="I845" i="3"/>
  <c r="H845" i="3"/>
  <c r="AB841" i="3"/>
  <c r="AC840" i="3"/>
  <c r="Y781" i="3"/>
  <c r="H781" i="3"/>
  <c r="I781" i="3"/>
  <c r="AB777" i="3"/>
  <c r="AC776" i="3"/>
  <c r="Y717" i="3"/>
  <c r="H717" i="3"/>
  <c r="I717" i="3"/>
  <c r="AB713" i="3"/>
  <c r="AC712" i="3"/>
  <c r="AC613" i="3"/>
  <c r="AB614" i="3"/>
  <c r="Y633" i="3"/>
  <c r="H633" i="3"/>
  <c r="I633" i="3"/>
  <c r="AC628" i="3"/>
  <c r="AB629" i="3"/>
  <c r="Y581" i="3"/>
  <c r="H581" i="3"/>
  <c r="I581" i="3"/>
  <c r="H380" i="3"/>
  <c r="I380" i="3"/>
  <c r="Y380" i="3"/>
  <c r="Y668" i="3"/>
  <c r="I668" i="3"/>
  <c r="H668" i="3"/>
  <c r="AB664" i="3"/>
  <c r="AC663" i="3"/>
  <c r="Y655" i="3"/>
  <c r="I655" i="3"/>
  <c r="H655" i="3"/>
  <c r="AB651" i="3"/>
  <c r="AC650" i="3"/>
  <c r="Y685" i="3"/>
  <c r="H685" i="3"/>
  <c r="I685" i="3"/>
  <c r="AC680" i="3"/>
  <c r="AB681" i="3"/>
  <c r="Y621" i="3"/>
  <c r="H621" i="3"/>
  <c r="I621" i="3"/>
  <c r="AC616" i="3"/>
  <c r="AB617" i="3"/>
  <c r="AC592" i="3"/>
  <c r="AB593" i="3"/>
  <c r="Y533" i="3"/>
  <c r="H533" i="3"/>
  <c r="I533" i="3"/>
  <c r="I477" i="3"/>
  <c r="H477" i="3"/>
  <c r="Y477" i="3"/>
  <c r="Y632" i="3"/>
  <c r="H632" i="3"/>
  <c r="I632" i="3"/>
  <c r="AB628" i="3"/>
  <c r="AC627" i="3"/>
  <c r="Y577" i="3"/>
  <c r="H577" i="3"/>
  <c r="I577" i="3"/>
  <c r="Y667" i="3"/>
  <c r="H667" i="3"/>
  <c r="I667" i="3"/>
  <c r="AC662" i="3"/>
  <c r="AB663" i="3"/>
  <c r="AC504" i="3"/>
  <c r="AB505" i="3"/>
  <c r="AC599" i="3"/>
  <c r="AB600" i="3"/>
  <c r="Y540" i="3"/>
  <c r="I540" i="3"/>
  <c r="H540" i="3"/>
  <c r="AC535" i="3"/>
  <c r="AB536" i="3"/>
  <c r="Y505" i="3"/>
  <c r="H505" i="3"/>
  <c r="I505" i="3"/>
  <c r="Y575" i="3"/>
  <c r="I575" i="3"/>
  <c r="H575" i="3"/>
  <c r="AC570" i="3"/>
  <c r="AB571" i="3"/>
  <c r="Y546" i="3"/>
  <c r="H546" i="3"/>
  <c r="I546" i="3"/>
  <c r="AB542" i="3"/>
  <c r="AC541" i="3"/>
  <c r="AC524" i="3"/>
  <c r="AB525" i="3"/>
  <c r="AC370" i="3"/>
  <c r="AB371" i="3"/>
  <c r="Y552" i="3"/>
  <c r="H552" i="3"/>
  <c r="I552" i="3"/>
  <c r="AB548" i="3"/>
  <c r="AC547" i="3"/>
  <c r="Y603" i="3"/>
  <c r="I603" i="3"/>
  <c r="H603" i="3"/>
  <c r="AB599" i="3"/>
  <c r="AC598" i="3"/>
  <c r="Y539" i="3"/>
  <c r="H539" i="3"/>
  <c r="I539" i="3"/>
  <c r="AC534" i="3"/>
  <c r="AB535" i="3"/>
  <c r="Y501" i="3"/>
  <c r="H501" i="3"/>
  <c r="I501" i="3"/>
  <c r="Y550" i="3"/>
  <c r="I550" i="3"/>
  <c r="H550" i="3"/>
  <c r="AC545" i="3"/>
  <c r="AB546" i="3"/>
  <c r="AC515" i="3"/>
  <c r="AB516" i="3"/>
  <c r="Y456" i="3"/>
  <c r="H456" i="3"/>
  <c r="I456" i="3"/>
  <c r="AB452" i="3"/>
  <c r="AC451" i="3"/>
  <c r="AC526" i="3"/>
  <c r="AB527" i="3"/>
  <c r="H467" i="3"/>
  <c r="Y467" i="3"/>
  <c r="I467" i="3"/>
  <c r="AC462" i="3"/>
  <c r="AB463" i="3"/>
  <c r="AC399" i="3"/>
  <c r="AB400" i="3"/>
  <c r="Y478" i="3"/>
  <c r="I478" i="3"/>
  <c r="H478" i="3"/>
  <c r="AB474" i="3"/>
  <c r="AC473" i="3"/>
  <c r="AC443" i="3"/>
  <c r="AB444" i="3"/>
  <c r="I384" i="3"/>
  <c r="H384" i="3"/>
  <c r="Y384" i="3"/>
  <c r="AB344" i="3"/>
  <c r="AC343" i="3"/>
  <c r="I484" i="3"/>
  <c r="Y484" i="3"/>
  <c r="H484" i="3"/>
  <c r="AC479" i="3"/>
  <c r="AB480" i="3"/>
  <c r="Y408" i="3"/>
  <c r="I408" i="3"/>
  <c r="H408" i="3"/>
  <c r="AC247" i="3"/>
  <c r="AB248" i="3"/>
  <c r="I495" i="3"/>
  <c r="H495" i="3"/>
  <c r="Y495" i="3"/>
  <c r="AC490" i="3"/>
  <c r="AB491" i="3"/>
  <c r="Y300" i="3"/>
  <c r="I300" i="3"/>
  <c r="H300" i="3"/>
  <c r="Y506" i="3"/>
  <c r="H506" i="3"/>
  <c r="I506" i="3"/>
  <c r="AB502" i="3"/>
  <c r="AC501" i="3"/>
  <c r="H439" i="3"/>
  <c r="Y439" i="3"/>
  <c r="I439" i="3"/>
  <c r="AB435" i="3"/>
  <c r="AC434" i="3"/>
  <c r="H375" i="3"/>
  <c r="Y375" i="3"/>
  <c r="I375" i="3"/>
  <c r="AB308" i="3"/>
  <c r="AC307" i="3"/>
  <c r="I450" i="3"/>
  <c r="Y450" i="3"/>
  <c r="H450" i="3"/>
  <c r="AB446" i="3"/>
  <c r="AC445" i="3"/>
  <c r="H386" i="3"/>
  <c r="Y386" i="3"/>
  <c r="I386" i="3"/>
  <c r="AB382" i="3"/>
  <c r="AC381" i="3"/>
  <c r="AC351" i="3"/>
  <c r="AB352" i="3"/>
  <c r="H397" i="3"/>
  <c r="I397" i="3"/>
  <c r="Y397" i="3"/>
  <c r="AC392" i="3"/>
  <c r="AD392" i="3" s="1"/>
  <c r="AB393" i="3"/>
  <c r="H372" i="3"/>
  <c r="I372" i="3"/>
  <c r="Y372" i="3"/>
  <c r="Y336" i="3"/>
  <c r="H336" i="3"/>
  <c r="I336" i="3"/>
  <c r="I403" i="3"/>
  <c r="H403" i="3"/>
  <c r="Y403" i="3"/>
  <c r="AC398" i="3"/>
  <c r="AB399" i="3"/>
  <c r="I360" i="3"/>
  <c r="H360" i="3"/>
  <c r="Y360" i="3"/>
  <c r="I414" i="3"/>
  <c r="Y414" i="3"/>
  <c r="H414" i="3"/>
  <c r="AC409" i="3"/>
  <c r="AB410" i="3"/>
  <c r="I401" i="3"/>
  <c r="Y401" i="3"/>
  <c r="H401" i="3"/>
  <c r="AC396" i="3"/>
  <c r="AB397" i="3"/>
  <c r="H352" i="3"/>
  <c r="Y352" i="3"/>
  <c r="I352" i="3"/>
  <c r="H351" i="3"/>
  <c r="I351" i="3"/>
  <c r="Y351" i="3"/>
  <c r="AB347" i="3"/>
  <c r="AC346" i="3"/>
  <c r="H362" i="3"/>
  <c r="I362" i="3"/>
  <c r="Y362" i="3"/>
  <c r="AC357" i="3"/>
  <c r="AB358" i="3"/>
  <c r="Y298" i="3"/>
  <c r="I298" i="3"/>
  <c r="H298" i="3"/>
  <c r="I349" i="3"/>
  <c r="H349" i="3"/>
  <c r="Y349" i="3"/>
  <c r="AC344" i="3"/>
  <c r="AB345" i="3"/>
  <c r="I355" i="3"/>
  <c r="H355" i="3"/>
  <c r="Y355" i="3"/>
  <c r="AB351" i="3"/>
  <c r="AC350" i="3"/>
  <c r="Y295" i="3"/>
  <c r="H295" i="3"/>
  <c r="I295" i="3"/>
  <c r="Y366" i="3"/>
  <c r="I366" i="3"/>
  <c r="H366" i="3"/>
  <c r="AC361" i="3"/>
  <c r="AB362" i="3"/>
  <c r="H302" i="3"/>
  <c r="Y302" i="3"/>
  <c r="I302" i="3"/>
  <c r="H353" i="3"/>
  <c r="Y353" i="3"/>
  <c r="I353" i="3"/>
  <c r="AC348" i="3"/>
  <c r="AB349" i="3"/>
  <c r="H263" i="3"/>
  <c r="I263" i="3"/>
  <c r="Y263" i="3"/>
  <c r="AB259" i="3"/>
  <c r="AC258" i="3"/>
  <c r="I172" i="3"/>
  <c r="H172" i="3"/>
  <c r="Y172" i="3"/>
  <c r="I290" i="3"/>
  <c r="H290" i="3"/>
  <c r="Y290" i="3"/>
  <c r="AB286" i="3"/>
  <c r="AC285" i="3"/>
  <c r="I226" i="3"/>
  <c r="Y226" i="3"/>
  <c r="H226" i="3"/>
  <c r="AB222" i="3"/>
  <c r="AC221" i="3"/>
  <c r="Y245" i="3"/>
  <c r="H245" i="3"/>
  <c r="I245" i="3"/>
  <c r="AC240" i="3"/>
  <c r="AB241" i="3"/>
  <c r="H251" i="3"/>
  <c r="Y251" i="3"/>
  <c r="I251" i="3"/>
  <c r="AB247" i="3"/>
  <c r="AC246" i="3"/>
  <c r="AC183" i="3"/>
  <c r="AB184" i="3"/>
  <c r="H262" i="3"/>
  <c r="I262" i="3"/>
  <c r="Y262" i="3"/>
  <c r="AC257" i="3"/>
  <c r="AB258" i="3"/>
  <c r="H168" i="3"/>
  <c r="Y168" i="3"/>
  <c r="I168" i="3"/>
  <c r="Y273" i="3"/>
  <c r="I273" i="3"/>
  <c r="H273" i="3"/>
  <c r="AC268" i="3"/>
  <c r="AB269" i="3"/>
  <c r="AC206" i="3"/>
  <c r="AB207" i="3"/>
  <c r="H187" i="3"/>
  <c r="Y187" i="3"/>
  <c r="I187" i="3"/>
  <c r="AC182" i="3"/>
  <c r="AB183" i="3"/>
  <c r="AC127" i="3"/>
  <c r="AB128" i="3"/>
  <c r="H206" i="3"/>
  <c r="I206" i="3"/>
  <c r="Y206" i="3"/>
  <c r="AC201" i="3"/>
  <c r="AB202" i="3"/>
  <c r="Y144" i="3"/>
  <c r="I144" i="3"/>
  <c r="H144" i="3"/>
  <c r="H175" i="3"/>
  <c r="Y175" i="3"/>
  <c r="I175" i="3"/>
  <c r="AB171" i="3"/>
  <c r="AC170" i="3"/>
  <c r="I210" i="3"/>
  <c r="H210" i="3"/>
  <c r="Y210" i="3"/>
  <c r="AB206" i="3"/>
  <c r="AC205" i="3"/>
  <c r="I181" i="3"/>
  <c r="Y181" i="3"/>
  <c r="H181" i="3"/>
  <c r="AC176" i="3"/>
  <c r="AB177" i="3"/>
  <c r="Y139" i="3"/>
  <c r="H139" i="3"/>
  <c r="I139" i="3"/>
  <c r="AB135" i="3"/>
  <c r="AC134" i="3"/>
  <c r="H142" i="3"/>
  <c r="I142" i="3"/>
  <c r="Y142" i="3"/>
  <c r="AB138" i="3"/>
  <c r="AC137" i="3"/>
  <c r="I143" i="3"/>
  <c r="Y143" i="3"/>
  <c r="H143" i="3"/>
  <c r="AB139" i="3"/>
  <c r="AC138" i="3"/>
  <c r="AC122" i="3"/>
  <c r="AB123" i="3"/>
  <c r="AB38" i="3"/>
  <c r="AC37" i="3"/>
  <c r="Y162" i="3"/>
  <c r="I162" i="3"/>
  <c r="H162" i="3"/>
  <c r="AB158" i="3"/>
  <c r="AC157" i="3"/>
  <c r="Y111" i="3"/>
  <c r="H111" i="3"/>
  <c r="I111" i="3"/>
  <c r="H141" i="3"/>
  <c r="Y141" i="3"/>
  <c r="I141" i="3"/>
  <c r="AB137" i="3"/>
  <c r="AC136" i="3"/>
  <c r="AC109" i="3"/>
  <c r="AB110" i="3"/>
  <c r="I63" i="3"/>
  <c r="Y63" i="3"/>
  <c r="H63" i="3"/>
  <c r="H58" i="3"/>
  <c r="I58" i="3"/>
  <c r="Y58" i="3"/>
  <c r="AC28" i="3"/>
  <c r="AB29" i="3"/>
  <c r="AC12" i="3"/>
  <c r="AB13" i="3"/>
  <c r="Y121" i="3"/>
  <c r="H121" i="3"/>
  <c r="I121" i="3"/>
  <c r="AB117" i="3"/>
  <c r="AC116" i="3"/>
  <c r="Y124" i="3"/>
  <c r="H124" i="3"/>
  <c r="I124" i="3"/>
  <c r="AC119" i="3"/>
  <c r="AB120" i="3"/>
  <c r="I76" i="3"/>
  <c r="Y76" i="3"/>
  <c r="H76" i="3"/>
  <c r="AC71" i="3"/>
  <c r="AB72" i="3"/>
  <c r="H74" i="3"/>
  <c r="Y74" i="3"/>
  <c r="I74" i="3"/>
  <c r="AC69" i="3"/>
  <c r="AB70" i="3"/>
  <c r="H77" i="3"/>
  <c r="Y77" i="3"/>
  <c r="I77" i="3"/>
  <c r="AC72" i="3"/>
  <c r="AB73" i="3"/>
  <c r="AC13" i="3"/>
  <c r="AB14" i="3"/>
  <c r="I80" i="3"/>
  <c r="Y80" i="3"/>
  <c r="H80" i="3"/>
  <c r="AC75" i="3"/>
  <c r="AB76" i="3"/>
  <c r="AC19" i="3"/>
  <c r="AB20" i="3"/>
  <c r="H83" i="3"/>
  <c r="Y83" i="3"/>
  <c r="I83" i="3"/>
  <c r="AB79" i="3"/>
  <c r="AC78" i="3"/>
  <c r="I25" i="3"/>
  <c r="H25" i="3"/>
  <c r="Y25" i="3"/>
  <c r="H86" i="3"/>
  <c r="Y86" i="3"/>
  <c r="I86" i="3"/>
  <c r="AC81" i="3"/>
  <c r="AB82" i="3"/>
  <c r="AC31" i="3"/>
  <c r="AB32" i="3"/>
  <c r="I19" i="3"/>
  <c r="H19" i="3"/>
  <c r="Y19" i="3"/>
  <c r="AB15" i="3"/>
  <c r="AC14" i="3"/>
  <c r="Y22" i="3"/>
  <c r="H22" i="3"/>
  <c r="I22" i="3"/>
  <c r="AC17" i="3"/>
  <c r="AB18" i="3"/>
  <c r="Y15" i="3"/>
  <c r="H15" i="3"/>
  <c r="I15" i="3"/>
  <c r="I13" i="3"/>
  <c r="Y13" i="3"/>
  <c r="H13" i="3"/>
  <c r="AC959" i="3"/>
  <c r="AB960" i="3"/>
  <c r="AB972" i="3"/>
  <c r="AC971" i="3"/>
  <c r="Y956" i="3"/>
  <c r="H956" i="3"/>
  <c r="I956" i="3"/>
  <c r="Y1004" i="3"/>
  <c r="I1004" i="3"/>
  <c r="H1004" i="3"/>
  <c r="Y963" i="3"/>
  <c r="I963" i="3"/>
  <c r="H963" i="3"/>
  <c r="AC958" i="3"/>
  <c r="AB959" i="3"/>
  <c r="Y899" i="3"/>
  <c r="I899" i="3"/>
  <c r="H899" i="3"/>
  <c r="AC894" i="3"/>
  <c r="AB895" i="3"/>
  <c r="AC715" i="3"/>
  <c r="AB716" i="3"/>
  <c r="Y950" i="3"/>
  <c r="H950" i="3"/>
  <c r="I950" i="3"/>
  <c r="AC945" i="3"/>
  <c r="AB946" i="3"/>
  <c r="Y886" i="3"/>
  <c r="H886" i="3"/>
  <c r="I886" i="3"/>
  <c r="AC881" i="3"/>
  <c r="AB882" i="3"/>
  <c r="Y860" i="3"/>
  <c r="H860" i="3"/>
  <c r="I860" i="3"/>
  <c r="AC673" i="3"/>
  <c r="AB674" i="3"/>
  <c r="Y953" i="3"/>
  <c r="H953" i="3"/>
  <c r="I953" i="3"/>
  <c r="AB949" i="3"/>
  <c r="AC948" i="3"/>
  <c r="Y889" i="3"/>
  <c r="I889" i="3"/>
  <c r="H889" i="3"/>
  <c r="AC884" i="3"/>
  <c r="AB885" i="3"/>
  <c r="AB784" i="3"/>
  <c r="AC783" i="3"/>
  <c r="Y756" i="3"/>
  <c r="I756" i="3"/>
  <c r="H756" i="3"/>
  <c r="AC911" i="3"/>
  <c r="AB912" i="3"/>
  <c r="Y951" i="3"/>
  <c r="I951" i="3"/>
  <c r="H951" i="3"/>
  <c r="AC946" i="3"/>
  <c r="AB947" i="3"/>
  <c r="Y887" i="3"/>
  <c r="I887" i="3"/>
  <c r="H887" i="3"/>
  <c r="AC882" i="3"/>
  <c r="AB883" i="3"/>
  <c r="Y864" i="3"/>
  <c r="H864" i="3"/>
  <c r="I864" i="3"/>
  <c r="Y1002" i="3"/>
  <c r="H1002" i="3"/>
  <c r="I1002" i="3"/>
  <c r="AC997" i="3"/>
  <c r="AB998" i="3"/>
  <c r="Y938" i="3"/>
  <c r="I938" i="3"/>
  <c r="H938" i="3"/>
  <c r="AC933" i="3"/>
  <c r="AB934" i="3"/>
  <c r="Y874" i="3"/>
  <c r="I874" i="3"/>
  <c r="H874" i="3"/>
  <c r="AC869" i="3"/>
  <c r="AB870" i="3"/>
  <c r="Y812" i="3"/>
  <c r="H812" i="3"/>
  <c r="I812" i="3"/>
  <c r="Y989" i="3"/>
  <c r="H989" i="3"/>
  <c r="I989" i="3"/>
  <c r="AC984" i="3"/>
  <c r="AB985" i="3"/>
  <c r="Y925" i="3"/>
  <c r="H925" i="3"/>
  <c r="I925" i="3"/>
  <c r="AC920" i="3"/>
  <c r="AB921" i="3"/>
  <c r="AB820" i="3"/>
  <c r="AC819" i="3"/>
  <c r="Y760" i="3"/>
  <c r="H760" i="3"/>
  <c r="I760" i="3"/>
  <c r="Y772" i="3"/>
  <c r="I772" i="3"/>
  <c r="H772" i="3"/>
  <c r="Y827" i="3"/>
  <c r="H827" i="3"/>
  <c r="I827" i="3"/>
  <c r="AC822" i="3"/>
  <c r="AB823" i="3"/>
  <c r="Y763" i="3"/>
  <c r="H763" i="3"/>
  <c r="I763" i="3"/>
  <c r="AB759" i="3"/>
  <c r="AC758" i="3"/>
  <c r="Y699" i="3"/>
  <c r="H699" i="3"/>
  <c r="I699" i="3"/>
  <c r="AB695" i="3"/>
  <c r="AC694" i="3"/>
  <c r="Y830" i="3"/>
  <c r="H830" i="3"/>
  <c r="I830" i="3"/>
  <c r="AC825" i="3"/>
  <c r="AB826" i="3"/>
  <c r="Y766" i="3"/>
  <c r="H766" i="3"/>
  <c r="I766" i="3"/>
  <c r="AB762" i="3"/>
  <c r="AC761" i="3"/>
  <c r="Y702" i="3"/>
  <c r="H702" i="3"/>
  <c r="I702" i="3"/>
  <c r="AC697" i="3"/>
  <c r="AB698" i="3"/>
  <c r="Y841" i="3"/>
  <c r="I841" i="3"/>
  <c r="H841" i="3"/>
  <c r="AB837" i="3"/>
  <c r="AC836" i="3"/>
  <c r="Y777" i="3"/>
  <c r="H777" i="3"/>
  <c r="I777" i="3"/>
  <c r="AB773" i="3"/>
  <c r="AC772" i="3"/>
  <c r="Y713" i="3"/>
  <c r="H713" i="3"/>
  <c r="I713" i="3"/>
  <c r="AC708" i="3"/>
  <c r="AB709" i="3"/>
  <c r="Y614" i="3"/>
  <c r="I614" i="3"/>
  <c r="H614" i="3"/>
  <c r="AB565" i="3"/>
  <c r="AC564" i="3"/>
  <c r="Y863" i="3"/>
  <c r="H863" i="3"/>
  <c r="I863" i="3"/>
  <c r="AC858" i="3"/>
  <c r="AB859" i="3"/>
  <c r="Y799" i="3"/>
  <c r="H799" i="3"/>
  <c r="I799" i="3"/>
  <c r="AC794" i="3"/>
  <c r="AB795" i="3"/>
  <c r="Y735" i="3"/>
  <c r="H735" i="3"/>
  <c r="I735" i="3"/>
  <c r="AC730" i="3"/>
  <c r="AB731" i="3"/>
  <c r="Y626" i="3"/>
  <c r="I626" i="3"/>
  <c r="H626" i="3"/>
  <c r="Y866" i="3"/>
  <c r="H866" i="3"/>
  <c r="I866" i="3"/>
  <c r="AC861" i="3"/>
  <c r="AB862" i="3"/>
  <c r="Y802" i="3"/>
  <c r="I802" i="3"/>
  <c r="H802" i="3"/>
  <c r="AB798" i="3"/>
  <c r="AC797" i="3"/>
  <c r="Y738" i="3"/>
  <c r="I738" i="3"/>
  <c r="H738" i="3"/>
  <c r="AC733" i="3"/>
  <c r="AB734" i="3"/>
  <c r="Y638" i="3"/>
  <c r="I638" i="3"/>
  <c r="H638" i="3"/>
  <c r="AC864" i="3"/>
  <c r="AB865" i="3"/>
  <c r="Y805" i="3"/>
  <c r="H805" i="3"/>
  <c r="I805" i="3"/>
  <c r="AC800" i="3"/>
  <c r="AD800" i="3" s="1"/>
  <c r="AB801" i="3"/>
  <c r="Y741" i="3"/>
  <c r="H741" i="3"/>
  <c r="I741" i="3"/>
  <c r="AC736" i="3"/>
  <c r="AB737" i="3"/>
  <c r="Y650" i="3"/>
  <c r="I650" i="3"/>
  <c r="H650" i="3"/>
  <c r="Y630" i="3"/>
  <c r="H630" i="3"/>
  <c r="I630" i="3"/>
  <c r="Y657" i="3"/>
  <c r="H657" i="3"/>
  <c r="I657" i="3"/>
  <c r="AC652" i="3"/>
  <c r="AB653" i="3"/>
  <c r="AD653" i="3" s="1"/>
  <c r="AB688" i="3"/>
  <c r="AC687" i="3"/>
  <c r="Y628" i="3"/>
  <c r="I628" i="3"/>
  <c r="H628" i="3"/>
  <c r="AC623" i="3"/>
  <c r="AB624" i="3"/>
  <c r="Y561" i="3"/>
  <c r="H561" i="3"/>
  <c r="I561" i="3"/>
  <c r="AC375" i="3"/>
  <c r="AD375" i="3" s="1"/>
  <c r="AB376" i="3"/>
  <c r="Y679" i="3"/>
  <c r="H679" i="3"/>
  <c r="I679" i="3"/>
  <c r="AB675" i="3"/>
  <c r="AC674" i="3"/>
  <c r="Y615" i="3"/>
  <c r="I615" i="3"/>
  <c r="H615" i="3"/>
  <c r="AB611" i="3"/>
  <c r="AC610" i="3"/>
  <c r="AC568" i="3"/>
  <c r="AB569" i="3"/>
  <c r="Y645" i="3"/>
  <c r="H645" i="3"/>
  <c r="I645" i="3"/>
  <c r="AC640" i="3"/>
  <c r="AB641" i="3"/>
  <c r="Y656" i="3"/>
  <c r="I656" i="3"/>
  <c r="H656" i="3"/>
  <c r="AC651" i="3"/>
  <c r="AB652" i="3"/>
  <c r="AC686" i="3"/>
  <c r="AB687" i="3"/>
  <c r="Y627" i="3"/>
  <c r="I627" i="3"/>
  <c r="H627" i="3"/>
  <c r="AC622" i="3"/>
  <c r="AB623" i="3"/>
  <c r="Y557" i="3"/>
  <c r="I557" i="3"/>
  <c r="H557" i="3"/>
  <c r="Y564" i="3"/>
  <c r="I564" i="3"/>
  <c r="H564" i="3"/>
  <c r="AB560" i="3"/>
  <c r="AC559" i="3"/>
  <c r="AC423" i="3"/>
  <c r="AB424" i="3"/>
  <c r="Y599" i="3"/>
  <c r="I599" i="3"/>
  <c r="H599" i="3"/>
  <c r="AB595" i="3"/>
  <c r="AC594" i="3"/>
  <c r="Y535" i="3"/>
  <c r="H535" i="3"/>
  <c r="I535" i="3"/>
  <c r="AC530" i="3"/>
  <c r="AB531" i="3"/>
  <c r="Y485" i="3"/>
  <c r="H485" i="3"/>
  <c r="I485" i="3"/>
  <c r="Y570" i="3"/>
  <c r="H570" i="3"/>
  <c r="I570" i="3"/>
  <c r="AC565" i="3"/>
  <c r="AD565" i="3" s="1"/>
  <c r="AB566" i="3"/>
  <c r="I332" i="3"/>
  <c r="H332" i="3"/>
  <c r="Y332" i="3"/>
  <c r="Y576" i="3"/>
  <c r="I576" i="3"/>
  <c r="H576" i="3"/>
  <c r="AC571" i="3"/>
  <c r="AD571" i="3" s="1"/>
  <c r="AB572" i="3"/>
  <c r="AB453" i="3"/>
  <c r="AC452" i="3"/>
  <c r="Y563" i="3"/>
  <c r="I563" i="3"/>
  <c r="H563" i="3"/>
  <c r="AB559" i="3"/>
  <c r="AC558" i="3"/>
  <c r="AC407" i="3"/>
  <c r="AB408" i="3"/>
  <c r="Y574" i="3"/>
  <c r="I574" i="3"/>
  <c r="H574" i="3"/>
  <c r="AB570" i="3"/>
  <c r="AC569" i="3"/>
  <c r="Y521" i="3"/>
  <c r="H521" i="3"/>
  <c r="I521" i="3"/>
  <c r="Y480" i="3"/>
  <c r="I480" i="3"/>
  <c r="H480" i="3"/>
  <c r="AC475" i="3"/>
  <c r="AB476" i="3"/>
  <c r="Y392" i="3"/>
  <c r="H392" i="3"/>
  <c r="I392" i="3"/>
  <c r="H491" i="3"/>
  <c r="I491" i="3"/>
  <c r="Y491" i="3"/>
  <c r="AC486" i="3"/>
  <c r="AB487" i="3"/>
  <c r="Y436" i="3"/>
  <c r="I436" i="3"/>
  <c r="H436" i="3"/>
  <c r="Y502" i="3"/>
  <c r="I502" i="3"/>
  <c r="H502" i="3"/>
  <c r="AB498" i="3"/>
  <c r="AC497" i="3"/>
  <c r="Y508" i="3"/>
  <c r="I508" i="3"/>
  <c r="H508" i="3"/>
  <c r="AB504" i="3"/>
  <c r="AC503" i="3"/>
  <c r="AD503" i="3" s="1"/>
  <c r="Y519" i="3"/>
  <c r="I519" i="3"/>
  <c r="H519" i="3"/>
  <c r="AB515" i="3"/>
  <c r="AC514" i="3"/>
  <c r="AD514" i="3" s="1"/>
  <c r="H455" i="3"/>
  <c r="I455" i="3"/>
  <c r="Y455" i="3"/>
  <c r="AC525" i="3"/>
  <c r="AB526" i="3"/>
  <c r="I466" i="3"/>
  <c r="H466" i="3"/>
  <c r="Y466" i="3"/>
  <c r="AB462" i="3"/>
  <c r="AC461" i="3"/>
  <c r="AC395" i="3"/>
  <c r="AB396" i="3"/>
  <c r="Y399" i="3"/>
  <c r="H399" i="3"/>
  <c r="I399" i="3"/>
  <c r="AC394" i="3"/>
  <c r="AB395" i="3"/>
  <c r="H344" i="3"/>
  <c r="Y344" i="3"/>
  <c r="I344" i="3"/>
  <c r="Y410" i="3"/>
  <c r="H410" i="3"/>
  <c r="I410" i="3"/>
  <c r="AC405" i="3"/>
  <c r="AB406" i="3"/>
  <c r="AB280" i="3"/>
  <c r="AC279" i="3"/>
  <c r="H421" i="3"/>
  <c r="I421" i="3"/>
  <c r="Y421" i="3"/>
  <c r="AC416" i="3"/>
  <c r="AB417" i="3"/>
  <c r="H427" i="3"/>
  <c r="I427" i="3"/>
  <c r="Y427" i="3"/>
  <c r="AC422" i="3"/>
  <c r="AB423" i="3"/>
  <c r="Y236" i="3"/>
  <c r="H236" i="3"/>
  <c r="I236" i="3"/>
  <c r="Y438" i="3"/>
  <c r="H438" i="3"/>
  <c r="I438" i="3"/>
  <c r="AC433" i="3"/>
  <c r="AB434" i="3"/>
  <c r="I374" i="3"/>
  <c r="H374" i="3"/>
  <c r="Y374" i="3"/>
  <c r="AB304" i="3"/>
  <c r="AC303" i="3"/>
  <c r="H425" i="3"/>
  <c r="Y425" i="3"/>
  <c r="I425" i="3"/>
  <c r="AC420" i="3"/>
  <c r="AB421" i="3"/>
  <c r="I192" i="3"/>
  <c r="Y192" i="3"/>
  <c r="H192" i="3"/>
  <c r="H311" i="3"/>
  <c r="I311" i="3"/>
  <c r="Y311" i="3"/>
  <c r="AB307" i="3"/>
  <c r="AC306" i="3"/>
  <c r="AC227" i="3"/>
  <c r="AB228" i="3"/>
  <c r="H322" i="3"/>
  <c r="Y322" i="3"/>
  <c r="I322" i="3"/>
  <c r="AB318" i="3"/>
  <c r="AC317" i="3"/>
  <c r="AC271" i="3"/>
  <c r="AB272" i="3"/>
  <c r="H212" i="3"/>
  <c r="Y212" i="3"/>
  <c r="I212" i="3"/>
  <c r="AB369" i="3"/>
  <c r="AC368" i="3"/>
  <c r="H309" i="3"/>
  <c r="Y309" i="3"/>
  <c r="I309" i="3"/>
  <c r="AB305" i="3"/>
  <c r="AC304" i="3"/>
  <c r="AB220" i="3"/>
  <c r="AC219" i="3"/>
  <c r="I315" i="3"/>
  <c r="H315" i="3"/>
  <c r="Y315" i="3"/>
  <c r="AB311" i="3"/>
  <c r="AC310" i="3"/>
  <c r="AC243" i="3"/>
  <c r="AB244" i="3"/>
  <c r="H326" i="3"/>
  <c r="I326" i="3"/>
  <c r="Y326" i="3"/>
  <c r="AC321" i="3"/>
  <c r="AB322" i="3"/>
  <c r="H296" i="3"/>
  <c r="I296" i="3"/>
  <c r="Y296" i="3"/>
  <c r="I228" i="3"/>
  <c r="Y228" i="3"/>
  <c r="H228" i="3"/>
  <c r="AC372" i="3"/>
  <c r="AD372" i="3" s="1"/>
  <c r="AB373" i="3"/>
  <c r="H313" i="3"/>
  <c r="Y313" i="3"/>
  <c r="I313" i="3"/>
  <c r="AC308" i="3"/>
  <c r="AB309" i="3"/>
  <c r="AC290" i="3"/>
  <c r="AB291" i="3"/>
  <c r="AB236" i="3"/>
  <c r="AC235" i="3"/>
  <c r="H152" i="3"/>
  <c r="I152" i="3"/>
  <c r="Y152" i="3"/>
  <c r="AC282" i="3"/>
  <c r="AB283" i="3"/>
  <c r="Y223" i="3"/>
  <c r="H223" i="3"/>
  <c r="I223" i="3"/>
  <c r="AB219" i="3"/>
  <c r="AC218" i="3"/>
  <c r="I250" i="3"/>
  <c r="Y250" i="3"/>
  <c r="H250" i="3"/>
  <c r="AC245" i="3"/>
  <c r="AB246" i="3"/>
  <c r="AB180" i="3"/>
  <c r="AC179" i="3"/>
  <c r="Y269" i="3"/>
  <c r="H269" i="3"/>
  <c r="I269" i="3"/>
  <c r="AC264" i="3"/>
  <c r="AB265" i="3"/>
  <c r="I196" i="3"/>
  <c r="H196" i="3"/>
  <c r="Y196" i="3"/>
  <c r="H275" i="3"/>
  <c r="I275" i="3"/>
  <c r="Y275" i="3"/>
  <c r="AB271" i="3"/>
  <c r="AC270" i="3"/>
  <c r="H286" i="3"/>
  <c r="Y286" i="3"/>
  <c r="I286" i="3"/>
  <c r="AB282" i="3"/>
  <c r="AC281" i="3"/>
  <c r="H222" i="3"/>
  <c r="Y222" i="3"/>
  <c r="I222" i="3"/>
  <c r="AB218" i="3"/>
  <c r="AC217" i="3"/>
  <c r="H297" i="3"/>
  <c r="Y297" i="3"/>
  <c r="I297" i="3"/>
  <c r="AB293" i="3"/>
  <c r="AC292" i="3"/>
  <c r="I233" i="3"/>
  <c r="Y233" i="3"/>
  <c r="H233" i="3"/>
  <c r="AB229" i="3"/>
  <c r="AC228" i="3"/>
  <c r="I166" i="3"/>
  <c r="Y166" i="3"/>
  <c r="H166" i="3"/>
  <c r="Y169" i="3"/>
  <c r="H169" i="3"/>
  <c r="I169" i="3"/>
  <c r="AC163" i="3"/>
  <c r="AB164" i="3"/>
  <c r="Y199" i="3"/>
  <c r="H199" i="3"/>
  <c r="I199" i="3"/>
  <c r="AB195" i="3"/>
  <c r="AC194" i="3"/>
  <c r="H164" i="3"/>
  <c r="Y164" i="3"/>
  <c r="I164" i="3"/>
  <c r="I155" i="3"/>
  <c r="Y155" i="3"/>
  <c r="H155" i="3"/>
  <c r="AC106" i="3"/>
  <c r="AB107" i="3"/>
  <c r="H170" i="3"/>
  <c r="I170" i="3"/>
  <c r="Y170" i="3"/>
  <c r="AC156" i="3"/>
  <c r="AB157" i="3"/>
  <c r="Y112" i="3"/>
  <c r="H112" i="3"/>
  <c r="I112" i="3"/>
  <c r="H205" i="3"/>
  <c r="Y205" i="3"/>
  <c r="I205" i="3"/>
  <c r="AC200" i="3"/>
  <c r="AB201" i="3"/>
  <c r="H140" i="3"/>
  <c r="I140" i="3"/>
  <c r="Y140" i="3"/>
  <c r="H119" i="3"/>
  <c r="I119" i="3"/>
  <c r="Y119" i="3"/>
  <c r="H129" i="3"/>
  <c r="Y129" i="3"/>
  <c r="I129" i="3"/>
  <c r="I114" i="3"/>
  <c r="H114" i="3"/>
  <c r="Y114" i="3"/>
  <c r="I99" i="3"/>
  <c r="Y99" i="3"/>
  <c r="H99" i="3"/>
  <c r="AC162" i="3"/>
  <c r="AB163" i="3"/>
  <c r="I165" i="3"/>
  <c r="Y165" i="3"/>
  <c r="H165" i="3"/>
  <c r="AB161" i="3"/>
  <c r="AC160" i="3"/>
  <c r="AC117" i="3"/>
  <c r="AB118" i="3"/>
  <c r="I93" i="3"/>
  <c r="Y93" i="3"/>
  <c r="H93" i="3"/>
  <c r="AC53" i="3"/>
  <c r="AB54" i="3"/>
  <c r="I104" i="3"/>
  <c r="Y104" i="3"/>
  <c r="H104" i="3"/>
  <c r="AC99" i="3"/>
  <c r="AD99" i="3" s="1"/>
  <c r="AB100" i="3"/>
  <c r="I102" i="3"/>
  <c r="Y102" i="3"/>
  <c r="H102" i="3"/>
  <c r="AC97" i="3"/>
  <c r="AB98" i="3"/>
  <c r="AB75" i="3"/>
  <c r="AC74" i="3"/>
  <c r="AC60" i="3"/>
  <c r="AB61" i="3"/>
  <c r="AC59" i="3"/>
  <c r="AB60" i="3"/>
  <c r="AC55" i="3"/>
  <c r="AD55" i="3" s="1"/>
  <c r="AB56" i="3"/>
  <c r="AC61" i="3"/>
  <c r="AB62" i="3"/>
  <c r="Y20" i="3"/>
  <c r="H20" i="3"/>
  <c r="I20" i="3"/>
  <c r="H43" i="3"/>
  <c r="I43" i="3"/>
  <c r="Y43" i="3"/>
  <c r="AC38" i="3"/>
  <c r="AB39" i="3"/>
  <c r="H46" i="3"/>
  <c r="Y46" i="3"/>
  <c r="I46" i="3"/>
  <c r="AC41" i="3"/>
  <c r="AB42" i="3"/>
  <c r="Y39" i="3"/>
  <c r="H39" i="3"/>
  <c r="I39" i="3"/>
  <c r="AC34" i="3"/>
  <c r="AD34" i="3" s="1"/>
  <c r="AB35" i="3"/>
  <c r="Y37" i="3"/>
  <c r="H37" i="3"/>
  <c r="I37" i="3"/>
  <c r="AC32" i="3"/>
  <c r="AB33" i="3"/>
  <c r="Y928" i="3"/>
  <c r="I928" i="3"/>
  <c r="H928" i="3"/>
  <c r="AC998" i="3"/>
  <c r="AB999" i="3"/>
  <c r="Y939" i="3"/>
  <c r="I939" i="3"/>
  <c r="H939" i="3"/>
  <c r="AC985" i="3"/>
  <c r="AB986" i="3"/>
  <c r="AB922" i="3"/>
  <c r="AC921" i="3"/>
  <c r="AC988" i="3"/>
  <c r="AB989" i="3"/>
  <c r="AC924" i="3"/>
  <c r="AB925" i="3"/>
  <c r="AB836" i="3"/>
  <c r="AC835" i="3"/>
  <c r="Y776" i="3"/>
  <c r="H776" i="3"/>
  <c r="I776" i="3"/>
  <c r="AC986" i="3"/>
  <c r="AB987" i="3"/>
  <c r="Y927" i="3"/>
  <c r="H927" i="3"/>
  <c r="I927" i="3"/>
  <c r="Y742" i="3"/>
  <c r="I742" i="3"/>
  <c r="H742" i="3"/>
  <c r="Y923" i="3"/>
  <c r="H923" i="3"/>
  <c r="I923" i="3"/>
  <c r="AB812" i="3"/>
  <c r="AC811" i="3"/>
  <c r="AC969" i="3"/>
  <c r="AB970" i="3"/>
  <c r="AB906" i="3"/>
  <c r="AC905" i="3"/>
  <c r="AC759" i="3"/>
  <c r="AB760" i="3"/>
  <c r="Y700" i="3"/>
  <c r="I700" i="3"/>
  <c r="H700" i="3"/>
  <c r="Y912" i="3"/>
  <c r="I912" i="3"/>
  <c r="H912" i="3"/>
  <c r="Y977" i="3"/>
  <c r="I977" i="3"/>
  <c r="H977" i="3"/>
  <c r="AC972" i="3"/>
  <c r="AB973" i="3"/>
  <c r="Y913" i="3"/>
  <c r="H913" i="3"/>
  <c r="I913" i="3"/>
  <c r="AC908" i="3"/>
  <c r="AB909" i="3"/>
  <c r="Y712" i="3"/>
  <c r="H712" i="3"/>
  <c r="I712" i="3"/>
  <c r="Y820" i="3"/>
  <c r="H820" i="3"/>
  <c r="I820" i="3"/>
  <c r="Y924" i="3"/>
  <c r="I924" i="3"/>
  <c r="H924" i="3"/>
  <c r="Y975" i="3"/>
  <c r="H975" i="3"/>
  <c r="I975" i="3"/>
  <c r="AC970" i="3"/>
  <c r="AB971" i="3"/>
  <c r="Y911" i="3"/>
  <c r="I911" i="3"/>
  <c r="H911" i="3"/>
  <c r="AB907" i="3"/>
  <c r="AC906" i="3"/>
  <c r="AC763" i="3"/>
  <c r="AB764" i="3"/>
  <c r="Y704" i="3"/>
  <c r="I704" i="3"/>
  <c r="H704" i="3"/>
  <c r="Y916" i="3"/>
  <c r="H916" i="3"/>
  <c r="I916" i="3"/>
  <c r="AB880" i="3"/>
  <c r="AC879" i="3"/>
  <c r="Y962" i="3"/>
  <c r="I962" i="3"/>
  <c r="H962" i="3"/>
  <c r="AC957" i="3"/>
  <c r="AB958" i="3"/>
  <c r="Y898" i="3"/>
  <c r="I898" i="3"/>
  <c r="H898" i="3"/>
  <c r="AB894" i="3"/>
  <c r="AC893" i="3"/>
  <c r="AB869" i="3"/>
  <c r="AC868" i="3"/>
  <c r="AB712" i="3"/>
  <c r="AC711" i="3"/>
  <c r="Y949" i="3"/>
  <c r="I949" i="3"/>
  <c r="H949" i="3"/>
  <c r="AB945" i="3"/>
  <c r="AC944" i="3"/>
  <c r="Y885" i="3"/>
  <c r="I885" i="3"/>
  <c r="H885" i="3"/>
  <c r="AB881" i="3"/>
  <c r="AC880" i="3"/>
  <c r="Y856" i="3"/>
  <c r="H856" i="3"/>
  <c r="I856" i="3"/>
  <c r="AB658" i="3"/>
  <c r="AC657" i="3"/>
  <c r="AD657" i="3" s="1"/>
  <c r="AC831" i="3"/>
  <c r="AB832" i="3"/>
  <c r="Y708" i="3"/>
  <c r="I708" i="3"/>
  <c r="H708" i="3"/>
  <c r="Y851" i="3"/>
  <c r="I851" i="3"/>
  <c r="H851" i="3"/>
  <c r="AC846" i="3"/>
  <c r="AB847" i="3"/>
  <c r="Y787" i="3"/>
  <c r="H787" i="3"/>
  <c r="I787" i="3"/>
  <c r="AB783" i="3"/>
  <c r="AC782" i="3"/>
  <c r="Y723" i="3"/>
  <c r="H723" i="3"/>
  <c r="I723" i="3"/>
  <c r="AC718" i="3"/>
  <c r="AB719" i="3"/>
  <c r="AC637" i="3"/>
  <c r="AB638" i="3"/>
  <c r="Y854" i="3"/>
  <c r="I854" i="3"/>
  <c r="H854" i="3"/>
  <c r="AC849" i="3"/>
  <c r="AB850" i="3"/>
  <c r="Y790" i="3"/>
  <c r="I790" i="3"/>
  <c r="H790" i="3"/>
  <c r="AC785" i="3"/>
  <c r="AB786" i="3"/>
  <c r="Y726" i="3"/>
  <c r="I726" i="3"/>
  <c r="H726" i="3"/>
  <c r="AB722" i="3"/>
  <c r="AC721" i="3"/>
  <c r="AB650" i="3"/>
  <c r="AC649" i="3"/>
  <c r="Y865" i="3"/>
  <c r="I865" i="3"/>
  <c r="H865" i="3"/>
  <c r="AB861" i="3"/>
  <c r="AC860" i="3"/>
  <c r="Y801" i="3"/>
  <c r="H801" i="3"/>
  <c r="I801" i="3"/>
  <c r="AC796" i="3"/>
  <c r="AB797" i="3"/>
  <c r="Y737" i="3"/>
  <c r="H737" i="3"/>
  <c r="I737" i="3"/>
  <c r="AB733" i="3"/>
  <c r="AC732" i="3"/>
  <c r="Y634" i="3"/>
  <c r="H634" i="3"/>
  <c r="I634" i="3"/>
  <c r="Y823" i="3"/>
  <c r="H823" i="3"/>
  <c r="I823" i="3"/>
  <c r="AB819" i="3"/>
  <c r="AC818" i="3"/>
  <c r="Y759" i="3"/>
  <c r="I759" i="3"/>
  <c r="H759" i="3"/>
  <c r="AC754" i="3"/>
  <c r="AB755" i="3"/>
  <c r="Y695" i="3"/>
  <c r="I695" i="3"/>
  <c r="H695" i="3"/>
  <c r="AB691" i="3"/>
  <c r="AC690" i="3"/>
  <c r="Y826" i="3"/>
  <c r="I826" i="3"/>
  <c r="H826" i="3"/>
  <c r="AB822" i="3"/>
  <c r="AC821" i="3"/>
  <c r="Y762" i="3"/>
  <c r="H762" i="3"/>
  <c r="I762" i="3"/>
  <c r="AB758" i="3"/>
  <c r="AC757" i="3"/>
  <c r="Y698" i="3"/>
  <c r="H698" i="3"/>
  <c r="I698" i="3"/>
  <c r="AB694" i="3"/>
  <c r="AC693" i="3"/>
  <c r="Y829" i="3"/>
  <c r="H829" i="3"/>
  <c r="I829" i="3"/>
  <c r="AC824" i="3"/>
  <c r="AB825" i="3"/>
  <c r="Y765" i="3"/>
  <c r="H765" i="3"/>
  <c r="I765" i="3"/>
  <c r="AB761" i="3"/>
  <c r="AC760" i="3"/>
  <c r="Y701" i="3"/>
  <c r="H701" i="3"/>
  <c r="I701" i="3"/>
  <c r="AB697" i="3"/>
  <c r="AC696" i="3"/>
  <c r="Y681" i="3"/>
  <c r="H681" i="3"/>
  <c r="I681" i="3"/>
  <c r="AC676" i="3"/>
  <c r="AB677" i="3"/>
  <c r="Y617" i="3"/>
  <c r="H617" i="3"/>
  <c r="I617" i="3"/>
  <c r="AC612" i="3"/>
  <c r="AB613" i="3"/>
  <c r="AB577" i="3"/>
  <c r="AC576" i="3"/>
  <c r="Y652" i="3"/>
  <c r="H652" i="3"/>
  <c r="I652" i="3"/>
  <c r="AC647" i="3"/>
  <c r="AB648" i="3"/>
  <c r="Y639" i="3"/>
  <c r="I639" i="3"/>
  <c r="H639" i="3"/>
  <c r="AC634" i="3"/>
  <c r="AB635" i="3"/>
  <c r="Y669" i="3"/>
  <c r="H669" i="3"/>
  <c r="I669" i="3"/>
  <c r="AC664" i="3"/>
  <c r="AB665" i="3"/>
  <c r="Y605" i="3"/>
  <c r="H605" i="3"/>
  <c r="I605" i="3"/>
  <c r="Y680" i="3"/>
  <c r="I680" i="3"/>
  <c r="H680" i="3"/>
  <c r="AC675" i="3"/>
  <c r="AB676" i="3"/>
  <c r="Y616" i="3"/>
  <c r="I616" i="3"/>
  <c r="H616" i="3"/>
  <c r="AC611" i="3"/>
  <c r="AB612" i="3"/>
  <c r="AC572" i="3"/>
  <c r="AB573" i="3"/>
  <c r="Y651" i="3"/>
  <c r="I651" i="3"/>
  <c r="H651" i="3"/>
  <c r="AC646" i="3"/>
  <c r="AB647" i="3"/>
  <c r="Y588" i="3"/>
  <c r="I588" i="3"/>
  <c r="H588" i="3"/>
  <c r="AC583" i="3"/>
  <c r="AB584" i="3"/>
  <c r="AB501" i="3"/>
  <c r="AC500" i="3"/>
  <c r="Y559" i="3"/>
  <c r="H559" i="3"/>
  <c r="I559" i="3"/>
  <c r="AB555" i="3"/>
  <c r="AC554" i="3"/>
  <c r="Y594" i="3"/>
  <c r="H594" i="3"/>
  <c r="I594" i="3"/>
  <c r="AC589" i="3"/>
  <c r="AB590" i="3"/>
  <c r="Y530" i="3"/>
  <c r="H530" i="3"/>
  <c r="I530" i="3"/>
  <c r="H465" i="3"/>
  <c r="Y465" i="3"/>
  <c r="I465" i="3"/>
  <c r="Y600" i="3"/>
  <c r="H600" i="3"/>
  <c r="I600" i="3"/>
  <c r="AC595" i="3"/>
  <c r="AB596" i="3"/>
  <c r="Y536" i="3"/>
  <c r="H536" i="3"/>
  <c r="I536" i="3"/>
  <c r="AC531" i="3"/>
  <c r="AB532" i="3"/>
  <c r="Y489" i="3"/>
  <c r="I489" i="3"/>
  <c r="H489" i="3"/>
  <c r="Y587" i="3"/>
  <c r="H587" i="3"/>
  <c r="I587" i="3"/>
  <c r="AC582" i="3"/>
  <c r="AB583" i="3"/>
  <c r="AC496" i="3"/>
  <c r="AB497" i="3"/>
  <c r="Y598" i="3"/>
  <c r="I598" i="3"/>
  <c r="H598" i="3"/>
  <c r="AB594" i="3"/>
  <c r="AC593" i="3"/>
  <c r="Y534" i="3"/>
  <c r="I534" i="3"/>
  <c r="H534" i="3"/>
  <c r="AB530" i="3"/>
  <c r="AC529" i="3"/>
  <c r="Y481" i="3"/>
  <c r="I481" i="3"/>
  <c r="H481" i="3"/>
  <c r="Y504" i="3"/>
  <c r="H504" i="3"/>
  <c r="I504" i="3"/>
  <c r="AB500" i="3"/>
  <c r="AC499" i="3"/>
  <c r="Y515" i="3"/>
  <c r="H515" i="3"/>
  <c r="I515" i="3"/>
  <c r="AB511" i="3"/>
  <c r="AC510" i="3"/>
  <c r="I451" i="3"/>
  <c r="H451" i="3"/>
  <c r="Y451" i="3"/>
  <c r="H462" i="3"/>
  <c r="I462" i="3"/>
  <c r="Y462" i="3"/>
  <c r="AC457" i="3"/>
  <c r="AB458" i="3"/>
  <c r="AC379" i="3"/>
  <c r="AB380" i="3"/>
  <c r="AB528" i="3"/>
  <c r="AC527" i="3"/>
  <c r="I468" i="3"/>
  <c r="Y468" i="3"/>
  <c r="H468" i="3"/>
  <c r="AC463" i="3"/>
  <c r="AB464" i="3"/>
  <c r="AB404" i="3"/>
  <c r="AC403" i="3"/>
  <c r="Y479" i="3"/>
  <c r="H479" i="3"/>
  <c r="I479" i="3"/>
  <c r="AC474" i="3"/>
  <c r="AB475" i="3"/>
  <c r="AB448" i="3"/>
  <c r="AC447" i="3"/>
  <c r="Y388" i="3"/>
  <c r="H388" i="3"/>
  <c r="I388" i="3"/>
  <c r="AC359" i="3"/>
  <c r="AB360" i="3"/>
  <c r="Y490" i="3"/>
  <c r="I490" i="3"/>
  <c r="H490" i="3"/>
  <c r="AC485" i="3"/>
  <c r="AB486" i="3"/>
  <c r="I432" i="3"/>
  <c r="H432" i="3"/>
  <c r="Y432" i="3"/>
  <c r="H423" i="3"/>
  <c r="I423" i="3"/>
  <c r="Y423" i="3"/>
  <c r="AB419" i="3"/>
  <c r="AC418" i="3"/>
  <c r="I434" i="3"/>
  <c r="Y434" i="3"/>
  <c r="H434" i="3"/>
  <c r="AB430" i="3"/>
  <c r="AC429" i="3"/>
  <c r="Y445" i="3"/>
  <c r="I445" i="3"/>
  <c r="H445" i="3"/>
  <c r="AB441" i="3"/>
  <c r="AC440" i="3"/>
  <c r="H381" i="3"/>
  <c r="I381" i="3"/>
  <c r="Y381" i="3"/>
  <c r="AC376" i="3"/>
  <c r="AB377" i="3"/>
  <c r="AC331" i="3"/>
  <c r="AB332" i="3"/>
  <c r="AC446" i="3"/>
  <c r="AB447" i="3"/>
  <c r="H387" i="3"/>
  <c r="Y387" i="3"/>
  <c r="I387" i="3"/>
  <c r="AB383" i="3"/>
  <c r="AC382" i="3"/>
  <c r="AB356" i="3"/>
  <c r="AC355" i="3"/>
  <c r="AB296" i="3"/>
  <c r="AC295" i="3"/>
  <c r="H398" i="3"/>
  <c r="I398" i="3"/>
  <c r="Y398" i="3"/>
  <c r="AC393" i="3"/>
  <c r="AB394" i="3"/>
  <c r="H340" i="3"/>
  <c r="I340" i="3"/>
  <c r="Y340" i="3"/>
  <c r="H449" i="3"/>
  <c r="Y449" i="3"/>
  <c r="I449" i="3"/>
  <c r="AB445" i="3"/>
  <c r="AC444" i="3"/>
  <c r="H385" i="3"/>
  <c r="I385" i="3"/>
  <c r="Y385" i="3"/>
  <c r="AC380" i="3"/>
  <c r="AB381" i="3"/>
  <c r="AB348" i="3"/>
  <c r="AC347" i="3"/>
  <c r="I335" i="3"/>
  <c r="H335" i="3"/>
  <c r="Y335" i="3"/>
  <c r="AC330" i="3"/>
  <c r="AB331" i="3"/>
  <c r="Y264" i="3"/>
  <c r="I264" i="3"/>
  <c r="H264" i="3"/>
  <c r="Y346" i="3"/>
  <c r="I346" i="3"/>
  <c r="H346" i="3"/>
  <c r="AB342" i="3"/>
  <c r="AC341" i="3"/>
  <c r="AB288" i="3"/>
  <c r="AC287" i="3"/>
  <c r="H333" i="3"/>
  <c r="Y333" i="3"/>
  <c r="I333" i="3"/>
  <c r="AB329" i="3"/>
  <c r="AC328" i="3"/>
  <c r="H256" i="3"/>
  <c r="Y256" i="3"/>
  <c r="I256" i="3"/>
  <c r="H339" i="3"/>
  <c r="Y339" i="3"/>
  <c r="I339" i="3"/>
  <c r="AC334" i="3"/>
  <c r="AB335" i="3"/>
  <c r="I280" i="3"/>
  <c r="Y280" i="3"/>
  <c r="H280" i="3"/>
  <c r="H350" i="3"/>
  <c r="I350" i="3"/>
  <c r="Y350" i="3"/>
  <c r="AB346" i="3"/>
  <c r="AC345" i="3"/>
  <c r="Y337" i="3"/>
  <c r="H337" i="3"/>
  <c r="I337" i="3"/>
  <c r="AC332" i="3"/>
  <c r="AB333" i="3"/>
  <c r="Y272" i="3"/>
  <c r="H272" i="3"/>
  <c r="I272" i="3"/>
  <c r="H247" i="3"/>
  <c r="I247" i="3"/>
  <c r="Y247" i="3"/>
  <c r="AB243" i="3"/>
  <c r="AC242" i="3"/>
  <c r="AC167" i="3"/>
  <c r="AB168" i="3"/>
  <c r="I274" i="3"/>
  <c r="H274" i="3"/>
  <c r="Y274" i="3"/>
  <c r="AB270" i="3"/>
  <c r="AC269" i="3"/>
  <c r="Y208" i="3"/>
  <c r="H208" i="3"/>
  <c r="I208" i="3"/>
  <c r="H229" i="3"/>
  <c r="I229" i="3"/>
  <c r="Y229" i="3"/>
  <c r="AC224" i="3"/>
  <c r="AB225" i="3"/>
  <c r="AB295" i="3"/>
  <c r="AC294" i="3"/>
  <c r="Y235" i="3"/>
  <c r="H235" i="3"/>
  <c r="I235" i="3"/>
  <c r="AC230" i="3"/>
  <c r="AB231" i="3"/>
  <c r="H246" i="3"/>
  <c r="I246" i="3"/>
  <c r="Y246" i="3"/>
  <c r="AC241" i="3"/>
  <c r="AB242" i="3"/>
  <c r="AC211" i="3"/>
  <c r="AB212" i="3"/>
  <c r="Y257" i="3"/>
  <c r="H257" i="3"/>
  <c r="I257" i="3"/>
  <c r="AB253" i="3"/>
  <c r="AC252" i="3"/>
  <c r="H171" i="3"/>
  <c r="I171" i="3"/>
  <c r="Y171" i="3"/>
  <c r="AC166" i="3"/>
  <c r="AB167" i="3"/>
  <c r="AC158" i="3"/>
  <c r="AB159" i="3"/>
  <c r="Y120" i="3"/>
  <c r="H120" i="3"/>
  <c r="I120" i="3"/>
  <c r="I190" i="3"/>
  <c r="H190" i="3"/>
  <c r="Y190" i="3"/>
  <c r="AC185" i="3"/>
  <c r="AB186" i="3"/>
  <c r="AB140" i="3"/>
  <c r="AC139" i="3"/>
  <c r="I193" i="3"/>
  <c r="Y193" i="3"/>
  <c r="H193" i="3"/>
  <c r="AC188" i="3"/>
  <c r="AB189" i="3"/>
  <c r="AB152" i="3"/>
  <c r="AC151" i="3"/>
  <c r="H194" i="3"/>
  <c r="Y194" i="3"/>
  <c r="I194" i="3"/>
  <c r="AC189" i="3"/>
  <c r="AB190" i="3"/>
  <c r="H156" i="3"/>
  <c r="I156" i="3"/>
  <c r="Y156" i="3"/>
  <c r="I126" i="3"/>
  <c r="Y126" i="3"/>
  <c r="H126" i="3"/>
  <c r="I153" i="3"/>
  <c r="H153" i="3"/>
  <c r="Y153" i="3"/>
  <c r="AC148" i="3"/>
  <c r="AB149" i="3"/>
  <c r="Y42" i="3"/>
  <c r="H42" i="3"/>
  <c r="I42" i="3"/>
  <c r="H127" i="3"/>
  <c r="I127" i="3"/>
  <c r="Y127" i="3"/>
  <c r="AB111" i="3"/>
  <c r="AC110" i="3"/>
  <c r="I91" i="3"/>
  <c r="Y91" i="3"/>
  <c r="H91" i="3"/>
  <c r="I146" i="3"/>
  <c r="Y146" i="3"/>
  <c r="H146" i="3"/>
  <c r="AC141" i="3"/>
  <c r="AB142" i="3"/>
  <c r="H98" i="3"/>
  <c r="Y98" i="3"/>
  <c r="I98" i="3"/>
  <c r="AB94" i="3"/>
  <c r="AC93" i="3"/>
  <c r="AB89" i="3"/>
  <c r="AC88" i="3"/>
  <c r="H117" i="3"/>
  <c r="Y117" i="3"/>
  <c r="I117" i="3"/>
  <c r="AC112" i="3"/>
  <c r="AB113" i="3"/>
  <c r="AB80" i="3"/>
  <c r="AC79" i="3"/>
  <c r="AC121" i="3"/>
  <c r="AB122" i="3"/>
  <c r="I85" i="3"/>
  <c r="Y85" i="3"/>
  <c r="H85" i="3"/>
  <c r="I105" i="3"/>
  <c r="H105" i="3"/>
  <c r="Y105" i="3"/>
  <c r="AC100" i="3"/>
  <c r="AB101" i="3"/>
  <c r="Y108" i="3"/>
  <c r="I108" i="3"/>
  <c r="H108" i="3"/>
  <c r="AB104" i="3"/>
  <c r="AC103" i="3"/>
  <c r="I48" i="3"/>
  <c r="Y48" i="3"/>
  <c r="H48" i="3"/>
  <c r="Y44" i="3"/>
  <c r="H44" i="3"/>
  <c r="I44" i="3"/>
  <c r="Y50" i="3"/>
  <c r="H50" i="3"/>
  <c r="I50" i="3"/>
  <c r="H64" i="3"/>
  <c r="I64" i="3"/>
  <c r="Y64" i="3"/>
  <c r="I56" i="3"/>
  <c r="H56" i="3"/>
  <c r="Y56" i="3"/>
  <c r="I67" i="3"/>
  <c r="Y67" i="3"/>
  <c r="H67" i="3"/>
  <c r="AB53" i="3"/>
  <c r="AC52" i="3"/>
  <c r="Y70" i="3"/>
  <c r="H70" i="3"/>
  <c r="I70" i="3"/>
  <c r="AC65" i="3"/>
  <c r="AB66" i="3"/>
  <c r="AB63" i="3"/>
  <c r="AC62" i="3"/>
  <c r="AB59" i="3"/>
  <c r="AC58" i="3"/>
  <c r="AD58" i="3" s="1"/>
  <c r="Y61" i="3"/>
  <c r="I61" i="3"/>
  <c r="H61" i="3"/>
  <c r="AB57" i="3"/>
  <c r="AC56" i="3"/>
  <c r="AD56" i="3" s="1"/>
  <c r="Y875" i="3"/>
  <c r="H875" i="3"/>
  <c r="I875" i="3"/>
  <c r="Y910" i="3"/>
  <c r="H910" i="3"/>
  <c r="I910" i="3"/>
  <c r="AC951" i="3"/>
  <c r="AB952" i="3"/>
  <c r="Y960" i="3"/>
  <c r="I960" i="3"/>
  <c r="H960" i="3"/>
  <c r="Y940" i="3"/>
  <c r="I940" i="3"/>
  <c r="H940" i="3"/>
  <c r="Y947" i="3"/>
  <c r="I947" i="3"/>
  <c r="H947" i="3"/>
  <c r="Y883" i="3"/>
  <c r="H883" i="3"/>
  <c r="I883" i="3"/>
  <c r="AB879" i="3"/>
  <c r="AC878" i="3"/>
  <c r="Y848" i="3"/>
  <c r="H848" i="3"/>
  <c r="I848" i="3"/>
  <c r="Y998" i="3"/>
  <c r="I998" i="3"/>
  <c r="H998" i="3"/>
  <c r="AB930" i="3"/>
  <c r="AC929" i="3"/>
  <c r="Y870" i="3"/>
  <c r="I870" i="3"/>
  <c r="H870" i="3"/>
  <c r="AC855" i="3"/>
  <c r="AB856" i="3"/>
  <c r="Y796" i="3"/>
  <c r="I796" i="3"/>
  <c r="H796" i="3"/>
  <c r="Y920" i="3"/>
  <c r="H920" i="3"/>
  <c r="I920" i="3"/>
  <c r="Y1001" i="3"/>
  <c r="I1001" i="3"/>
  <c r="H1001" i="3"/>
  <c r="AC996" i="3"/>
  <c r="AB997" i="3"/>
  <c r="Y937" i="3"/>
  <c r="I937" i="3"/>
  <c r="H937" i="3"/>
  <c r="AC932" i="3"/>
  <c r="AB933" i="3"/>
  <c r="Y873" i="3"/>
  <c r="I873" i="3"/>
  <c r="H873" i="3"/>
  <c r="AC867" i="3"/>
  <c r="AB868" i="3"/>
  <c r="Y808" i="3"/>
  <c r="I808" i="3"/>
  <c r="H808" i="3"/>
  <c r="AC751" i="3"/>
  <c r="AB752" i="3"/>
  <c r="Y692" i="3"/>
  <c r="I692" i="3"/>
  <c r="H692" i="3"/>
  <c r="Y908" i="3"/>
  <c r="H908" i="3"/>
  <c r="I908" i="3"/>
  <c r="H999" i="3"/>
  <c r="Y999" i="3"/>
  <c r="I999" i="3"/>
  <c r="AC994" i="3"/>
  <c r="AB995" i="3"/>
  <c r="Y935" i="3"/>
  <c r="H935" i="3"/>
  <c r="I935" i="3"/>
  <c r="AC930" i="3"/>
  <c r="AB931" i="3"/>
  <c r="Y871" i="3"/>
  <c r="I871" i="3"/>
  <c r="H871" i="3"/>
  <c r="AC859" i="3"/>
  <c r="AD859" i="3" s="1"/>
  <c r="AB860" i="3"/>
  <c r="Y800" i="3"/>
  <c r="I800" i="3"/>
  <c r="H800" i="3"/>
  <c r="Y900" i="3"/>
  <c r="I900" i="3"/>
  <c r="H900" i="3"/>
  <c r="Y986" i="3"/>
  <c r="I986" i="3"/>
  <c r="H986" i="3"/>
  <c r="AC981" i="3"/>
  <c r="AB982" i="3"/>
  <c r="Y922" i="3"/>
  <c r="H922" i="3"/>
  <c r="I922" i="3"/>
  <c r="AC917" i="3"/>
  <c r="AB918" i="3"/>
  <c r="AB808" i="3"/>
  <c r="AC807" i="3"/>
  <c r="Y748" i="3"/>
  <c r="I748" i="3"/>
  <c r="H748" i="3"/>
  <c r="AC919" i="3"/>
  <c r="AB920" i="3"/>
  <c r="Y973" i="3"/>
  <c r="H973" i="3"/>
  <c r="I973" i="3"/>
  <c r="AB969" i="3"/>
  <c r="AC968" i="3"/>
  <c r="Y909" i="3"/>
  <c r="I909" i="3"/>
  <c r="H909" i="3"/>
  <c r="AC904" i="3"/>
  <c r="AB905" i="3"/>
  <c r="AB756" i="3"/>
  <c r="AC755" i="3"/>
  <c r="Y696" i="3"/>
  <c r="H696" i="3"/>
  <c r="I696" i="3"/>
  <c r="AB892" i="3"/>
  <c r="AC891" i="3"/>
  <c r="Y811" i="3"/>
  <c r="I811" i="3"/>
  <c r="H811" i="3"/>
  <c r="AB807" i="3"/>
  <c r="AC806" i="3"/>
  <c r="Y747" i="3"/>
  <c r="H747" i="3"/>
  <c r="I747" i="3"/>
  <c r="AC742" i="3"/>
  <c r="AB743" i="3"/>
  <c r="Y674" i="3"/>
  <c r="H674" i="3"/>
  <c r="I674" i="3"/>
  <c r="Y814" i="3"/>
  <c r="H814" i="3"/>
  <c r="I814" i="3"/>
  <c r="AC809" i="3"/>
  <c r="AB810" i="3"/>
  <c r="Y750" i="3"/>
  <c r="I750" i="3"/>
  <c r="H750" i="3"/>
  <c r="AB746" i="3"/>
  <c r="AC745" i="3"/>
  <c r="Y537" i="3"/>
  <c r="H537" i="3"/>
  <c r="I537" i="3"/>
  <c r="Y825" i="3"/>
  <c r="H825" i="3"/>
  <c r="I825" i="3"/>
  <c r="AB821" i="3"/>
  <c r="AC820" i="3"/>
  <c r="Y761" i="3"/>
  <c r="H761" i="3"/>
  <c r="I761" i="3"/>
  <c r="AB757" i="3"/>
  <c r="AC756" i="3"/>
  <c r="Y697" i="3"/>
  <c r="H697" i="3"/>
  <c r="I697" i="3"/>
  <c r="AB693" i="3"/>
  <c r="AD693" i="3" s="1"/>
  <c r="AC692" i="3"/>
  <c r="Y687" i="3"/>
  <c r="H687" i="3"/>
  <c r="I687" i="3"/>
  <c r="AB610" i="3"/>
  <c r="AC609" i="3"/>
  <c r="Y847" i="3"/>
  <c r="I847" i="3"/>
  <c r="H847" i="3"/>
  <c r="AC842" i="3"/>
  <c r="AB843" i="3"/>
  <c r="Y783" i="3"/>
  <c r="I783" i="3"/>
  <c r="H783" i="3"/>
  <c r="AC778" i="3"/>
  <c r="AB779" i="3"/>
  <c r="Y719" i="3"/>
  <c r="H719" i="3"/>
  <c r="I719" i="3"/>
  <c r="AB715" i="3"/>
  <c r="AC714" i="3"/>
  <c r="AC621" i="3"/>
  <c r="AB622" i="3"/>
  <c r="Y850" i="3"/>
  <c r="H850" i="3"/>
  <c r="I850" i="3"/>
  <c r="AB846" i="3"/>
  <c r="AC845" i="3"/>
  <c r="Y786" i="3"/>
  <c r="H786" i="3"/>
  <c r="I786" i="3"/>
  <c r="AB782" i="3"/>
  <c r="AC781" i="3"/>
  <c r="Y722" i="3"/>
  <c r="I722" i="3"/>
  <c r="H722" i="3"/>
  <c r="AB718" i="3"/>
  <c r="AC717" i="3"/>
  <c r="AB634" i="3"/>
  <c r="AC633" i="3"/>
  <c r="Y853" i="3"/>
  <c r="I853" i="3"/>
  <c r="H853" i="3"/>
  <c r="AB849" i="3"/>
  <c r="AC848" i="3"/>
  <c r="Y789" i="3"/>
  <c r="H789" i="3"/>
  <c r="I789" i="3"/>
  <c r="AB785" i="3"/>
  <c r="AC784" i="3"/>
  <c r="Y725" i="3"/>
  <c r="I725" i="3"/>
  <c r="H725" i="3"/>
  <c r="AB721" i="3"/>
  <c r="AC720" i="3"/>
  <c r="AD720" i="3" s="1"/>
  <c r="AB646" i="3"/>
  <c r="AC645" i="3"/>
  <c r="AC625" i="3"/>
  <c r="AB626" i="3"/>
  <c r="Y641" i="3"/>
  <c r="H641" i="3"/>
  <c r="I641" i="3"/>
  <c r="AC636" i="3"/>
  <c r="AB637" i="3"/>
  <c r="Y676" i="3"/>
  <c r="H676" i="3"/>
  <c r="I676" i="3"/>
  <c r="AC671" i="3"/>
  <c r="AB672" i="3"/>
  <c r="Y612" i="3"/>
  <c r="I612" i="3"/>
  <c r="H612" i="3"/>
  <c r="AC607" i="3"/>
  <c r="AB608" i="3"/>
  <c r="AC556" i="3"/>
  <c r="AB557" i="3"/>
  <c r="Y663" i="3"/>
  <c r="I663" i="3"/>
  <c r="H663" i="3"/>
  <c r="AC658" i="3"/>
  <c r="AB659" i="3"/>
  <c r="Y629" i="3"/>
  <c r="I629" i="3"/>
  <c r="H629" i="3"/>
  <c r="AB625" i="3"/>
  <c r="AC624" i="3"/>
  <c r="AC604" i="3"/>
  <c r="AB605" i="3"/>
  <c r="Y565" i="3"/>
  <c r="H565" i="3"/>
  <c r="I565" i="3"/>
  <c r="AC439" i="3"/>
  <c r="AB440" i="3"/>
  <c r="Y640" i="3"/>
  <c r="I640" i="3"/>
  <c r="H640" i="3"/>
  <c r="AB636" i="3"/>
  <c r="AC635" i="3"/>
  <c r="Y675" i="3"/>
  <c r="I675" i="3"/>
  <c r="H675" i="3"/>
  <c r="AB671" i="3"/>
  <c r="AC670" i="3"/>
  <c r="Y611" i="3"/>
  <c r="I611" i="3"/>
  <c r="H611" i="3"/>
  <c r="AC606" i="3"/>
  <c r="AB607" i="3"/>
  <c r="AC552" i="3"/>
  <c r="AD552" i="3" s="1"/>
  <c r="AB553" i="3"/>
  <c r="Y548" i="3"/>
  <c r="I548" i="3"/>
  <c r="H548" i="3"/>
  <c r="AB544" i="3"/>
  <c r="AC543" i="3"/>
  <c r="Y528" i="3"/>
  <c r="I528" i="3"/>
  <c r="H528" i="3"/>
  <c r="Y583" i="3"/>
  <c r="H583" i="3"/>
  <c r="I583" i="3"/>
  <c r="AB579" i="3"/>
  <c r="AC578" i="3"/>
  <c r="AB481" i="3"/>
  <c r="AC480" i="3"/>
  <c r="H412" i="3"/>
  <c r="Y412" i="3"/>
  <c r="I412" i="3"/>
  <c r="Y554" i="3"/>
  <c r="I554" i="3"/>
  <c r="H554" i="3"/>
  <c r="AB550" i="3"/>
  <c r="AC549" i="3"/>
  <c r="Y560" i="3"/>
  <c r="I560" i="3"/>
  <c r="H560" i="3"/>
  <c r="AB556" i="3"/>
  <c r="AC555" i="3"/>
  <c r="Y547" i="3"/>
  <c r="H547" i="3"/>
  <c r="I547" i="3"/>
  <c r="AB543" i="3"/>
  <c r="AC542" i="3"/>
  <c r="Y526" i="3"/>
  <c r="H526" i="3"/>
  <c r="I526" i="3"/>
  <c r="Y558" i="3"/>
  <c r="H558" i="3"/>
  <c r="I558" i="3"/>
  <c r="AB554" i="3"/>
  <c r="AC553" i="3"/>
  <c r="I464" i="3"/>
  <c r="H464" i="3"/>
  <c r="Y464" i="3"/>
  <c r="AC459" i="3"/>
  <c r="AB460" i="3"/>
  <c r="AB388" i="3"/>
  <c r="AC387" i="3"/>
  <c r="H475" i="3"/>
  <c r="I475" i="3"/>
  <c r="Y475" i="3"/>
  <c r="AC470" i="3"/>
  <c r="AB471" i="3"/>
  <c r="AC431" i="3"/>
  <c r="AB432" i="3"/>
  <c r="I486" i="3"/>
  <c r="Y486" i="3"/>
  <c r="H486" i="3"/>
  <c r="AC481" i="3"/>
  <c r="AB482" i="3"/>
  <c r="H416" i="3"/>
  <c r="Y416" i="3"/>
  <c r="I416" i="3"/>
  <c r="H492" i="3"/>
  <c r="I492" i="3"/>
  <c r="Y492" i="3"/>
  <c r="AC487" i="3"/>
  <c r="AB488" i="3"/>
  <c r="I440" i="3"/>
  <c r="H440" i="3"/>
  <c r="Y440" i="3"/>
  <c r="Y503" i="3"/>
  <c r="H503" i="3"/>
  <c r="I503" i="3"/>
  <c r="AB499" i="3"/>
  <c r="AC498" i="3"/>
  <c r="AC187" i="3"/>
  <c r="AB188" i="3"/>
  <c r="Y514" i="3"/>
  <c r="H514" i="3"/>
  <c r="I514" i="3"/>
  <c r="AC509" i="3"/>
  <c r="AD509" i="3" s="1"/>
  <c r="AB510" i="3"/>
  <c r="H447" i="3"/>
  <c r="I447" i="3"/>
  <c r="Y447" i="3"/>
  <c r="AC442" i="3"/>
  <c r="AB443" i="3"/>
  <c r="Y383" i="3"/>
  <c r="H383" i="3"/>
  <c r="I383" i="3"/>
  <c r="AB379" i="3"/>
  <c r="AC378" i="3"/>
  <c r="AB340" i="3"/>
  <c r="AC339" i="3"/>
  <c r="H394" i="3"/>
  <c r="Y394" i="3"/>
  <c r="I394" i="3"/>
  <c r="AB390" i="3"/>
  <c r="AC389" i="3"/>
  <c r="H324" i="3"/>
  <c r="I324" i="3"/>
  <c r="Y324" i="3"/>
  <c r="Y405" i="3"/>
  <c r="I405" i="3"/>
  <c r="H405" i="3"/>
  <c r="AC400" i="3"/>
  <c r="AD400" i="3" s="1"/>
  <c r="AB401" i="3"/>
  <c r="H368" i="3"/>
  <c r="I368" i="3"/>
  <c r="Y368" i="3"/>
  <c r="H411" i="3"/>
  <c r="I411" i="3"/>
  <c r="Y411" i="3"/>
  <c r="AB407" i="3"/>
  <c r="AC406" i="3"/>
  <c r="Y422" i="3"/>
  <c r="H422" i="3"/>
  <c r="I422" i="3"/>
  <c r="AB418" i="3"/>
  <c r="AC417" i="3"/>
  <c r="I409" i="3"/>
  <c r="H409" i="3"/>
  <c r="Y409" i="3"/>
  <c r="AB405" i="3"/>
  <c r="AC404" i="3"/>
  <c r="AB264" i="3"/>
  <c r="AC263" i="3"/>
  <c r="I359" i="3"/>
  <c r="H359" i="3"/>
  <c r="Y359" i="3"/>
  <c r="AB355" i="3"/>
  <c r="AC354" i="3"/>
  <c r="I370" i="3"/>
  <c r="H370" i="3"/>
  <c r="Y370" i="3"/>
  <c r="AB366" i="3"/>
  <c r="AC365" i="3"/>
  <c r="I306" i="3"/>
  <c r="Y306" i="3"/>
  <c r="H306" i="3"/>
  <c r="AC301" i="3"/>
  <c r="AB302" i="3"/>
  <c r="H357" i="3"/>
  <c r="I357" i="3"/>
  <c r="Y357" i="3"/>
  <c r="AC352" i="3"/>
  <c r="AB353" i="3"/>
  <c r="I363" i="3"/>
  <c r="Y363" i="3"/>
  <c r="H363" i="3"/>
  <c r="AC358" i="3"/>
  <c r="AB359" i="3"/>
  <c r="I299" i="3"/>
  <c r="H299" i="3"/>
  <c r="Y299" i="3"/>
  <c r="AC171" i="3"/>
  <c r="AB172" i="3"/>
  <c r="AC369" i="3"/>
  <c r="AB370" i="3"/>
  <c r="H310" i="3"/>
  <c r="I310" i="3"/>
  <c r="Y310" i="3"/>
  <c r="AC305" i="3"/>
  <c r="AB306" i="3"/>
  <c r="AC223" i="3"/>
  <c r="AB224" i="3"/>
  <c r="I361" i="3"/>
  <c r="Y361" i="3"/>
  <c r="H361" i="3"/>
  <c r="AC356" i="3"/>
  <c r="AB357" i="3"/>
  <c r="I209" i="3"/>
  <c r="Y209" i="3"/>
  <c r="H209" i="3"/>
  <c r="Y271" i="3"/>
  <c r="I271" i="3"/>
  <c r="H271" i="3"/>
  <c r="AC266" i="3"/>
  <c r="AB267" i="3"/>
  <c r="AC164" i="3"/>
  <c r="AB165" i="3"/>
  <c r="AB294" i="3"/>
  <c r="AC293" i="3"/>
  <c r="Y234" i="3"/>
  <c r="H234" i="3"/>
  <c r="I234" i="3"/>
  <c r="AC229" i="3"/>
  <c r="AB230" i="3"/>
  <c r="I253" i="3"/>
  <c r="H253" i="3"/>
  <c r="Y253" i="3"/>
  <c r="AB249" i="3"/>
  <c r="AC248" i="3"/>
  <c r="AB192" i="3"/>
  <c r="AC191" i="3"/>
  <c r="H259" i="3"/>
  <c r="Y259" i="3"/>
  <c r="I259" i="3"/>
  <c r="AB255" i="3"/>
  <c r="AC254" i="3"/>
  <c r="Y270" i="3"/>
  <c r="I270" i="3"/>
  <c r="H270" i="3"/>
  <c r="AB266" i="3"/>
  <c r="AC265" i="3"/>
  <c r="H200" i="3"/>
  <c r="Y200" i="3"/>
  <c r="I200" i="3"/>
  <c r="H281" i="3"/>
  <c r="I281" i="3"/>
  <c r="Y281" i="3"/>
  <c r="AB277" i="3"/>
  <c r="AC276" i="3"/>
  <c r="Y217" i="3"/>
  <c r="I217" i="3"/>
  <c r="H217" i="3"/>
  <c r="AC212" i="3"/>
  <c r="AB213" i="3"/>
  <c r="I195" i="3"/>
  <c r="H195" i="3"/>
  <c r="Y195" i="3"/>
  <c r="AB191" i="3"/>
  <c r="AC190" i="3"/>
  <c r="AC115" i="3"/>
  <c r="AB116" i="3"/>
  <c r="AC209" i="3"/>
  <c r="AB210" i="3"/>
  <c r="Y183" i="3"/>
  <c r="H183" i="3"/>
  <c r="I183" i="3"/>
  <c r="AB179" i="3"/>
  <c r="AC178" i="3"/>
  <c r="H95" i="3"/>
  <c r="I95" i="3"/>
  <c r="Y95" i="3"/>
  <c r="H189" i="3"/>
  <c r="I189" i="3"/>
  <c r="Y189" i="3"/>
  <c r="AC184" i="3"/>
  <c r="AB185" i="3"/>
  <c r="AC135" i="3"/>
  <c r="AD135" i="3" s="1"/>
  <c r="AB136" i="3"/>
  <c r="Y147" i="3"/>
  <c r="H147" i="3"/>
  <c r="I147" i="3"/>
  <c r="AC142" i="3"/>
  <c r="AB143" i="3"/>
  <c r="H150" i="3"/>
  <c r="Y150" i="3"/>
  <c r="I150" i="3"/>
  <c r="AC145" i="3"/>
  <c r="AB146" i="3"/>
  <c r="AC94" i="3"/>
  <c r="AB95" i="3"/>
  <c r="H151" i="3"/>
  <c r="I151" i="3"/>
  <c r="Y151" i="3"/>
  <c r="AC146" i="3"/>
  <c r="AB147" i="3"/>
  <c r="AC165" i="3"/>
  <c r="AB166" i="3"/>
  <c r="Y149" i="3"/>
  <c r="H149" i="3"/>
  <c r="I149" i="3"/>
  <c r="AC144" i="3"/>
  <c r="AB145" i="3"/>
  <c r="Y49" i="3"/>
  <c r="H49" i="3"/>
  <c r="AC124" i="3"/>
  <c r="AB125" i="3"/>
  <c r="I81" i="3"/>
  <c r="Y81" i="3"/>
  <c r="H81" i="3"/>
  <c r="H26" i="3"/>
  <c r="Y26" i="3"/>
  <c r="I26" i="3"/>
  <c r="AB88" i="3"/>
  <c r="AC87" i="3"/>
  <c r="AC27" i="3"/>
  <c r="AB28" i="3"/>
  <c r="Y82" i="3"/>
  <c r="H82" i="3"/>
  <c r="I82" i="3"/>
  <c r="AB78" i="3"/>
  <c r="AC77" i="3"/>
  <c r="AC23" i="3"/>
  <c r="AB24" i="3"/>
  <c r="AC29" i="3"/>
  <c r="AB30" i="3"/>
  <c r="Y88" i="3"/>
  <c r="H88" i="3"/>
  <c r="I88" i="3"/>
  <c r="AC83" i="3"/>
  <c r="AB84" i="3"/>
  <c r="AB36" i="3"/>
  <c r="AC35" i="3"/>
  <c r="AB87" i="3"/>
  <c r="AC86" i="3"/>
  <c r="Y41" i="3"/>
  <c r="H41" i="3"/>
  <c r="I41" i="3"/>
  <c r="AB48" i="3"/>
  <c r="AC47" i="3"/>
  <c r="H27" i="3"/>
  <c r="I27" i="3"/>
  <c r="Y27" i="3"/>
  <c r="AC22" i="3"/>
  <c r="AB23" i="3"/>
  <c r="H30" i="3"/>
  <c r="Y30" i="3"/>
  <c r="I30" i="3"/>
  <c r="AC25" i="3"/>
  <c r="AB26" i="3"/>
  <c r="I23" i="3"/>
  <c r="Y23" i="3"/>
  <c r="H23" i="3"/>
  <c r="AB19" i="3"/>
  <c r="AC18" i="3"/>
  <c r="H21" i="3"/>
  <c r="Y21" i="3"/>
  <c r="I21" i="3"/>
  <c r="AC16" i="3"/>
  <c r="AB17" i="3"/>
  <c r="AC987" i="3"/>
  <c r="AB988" i="3"/>
  <c r="AC995" i="3"/>
  <c r="AB996" i="3"/>
  <c r="AC982" i="3"/>
  <c r="AB983" i="3"/>
  <c r="Y752" i="3"/>
  <c r="I752" i="3"/>
  <c r="H752" i="3"/>
  <c r="Y948" i="3"/>
  <c r="I948" i="3"/>
  <c r="H948" i="3"/>
  <c r="AB1000" i="3"/>
  <c r="AC999" i="3"/>
  <c r="AB994" i="3"/>
  <c r="AC993" i="3"/>
  <c r="Y952" i="3"/>
  <c r="I952" i="3"/>
  <c r="H952" i="3"/>
  <c r="Y888" i="3"/>
  <c r="H888" i="3"/>
  <c r="I888" i="3"/>
  <c r="AB768" i="3"/>
  <c r="AC767" i="3"/>
  <c r="Y971" i="3"/>
  <c r="I971" i="3"/>
  <c r="H971" i="3"/>
  <c r="AC966" i="3"/>
  <c r="AB967" i="3"/>
  <c r="Y907" i="3"/>
  <c r="H907" i="3"/>
  <c r="I907" i="3"/>
  <c r="AB903" i="3"/>
  <c r="AC902" i="3"/>
  <c r="AD902" i="3" s="1"/>
  <c r="AB748" i="3"/>
  <c r="AC747" i="3"/>
  <c r="Y688" i="3"/>
  <c r="I688" i="3"/>
  <c r="H688" i="3"/>
  <c r="Y958" i="3"/>
  <c r="I958" i="3"/>
  <c r="H958" i="3"/>
  <c r="AB954" i="3"/>
  <c r="AC953" i="3"/>
  <c r="Y894" i="3"/>
  <c r="I894" i="3"/>
  <c r="H894" i="3"/>
  <c r="AB890" i="3"/>
  <c r="AC889" i="3"/>
  <c r="AC695" i="3"/>
  <c r="AB696" i="3"/>
  <c r="Y961" i="3"/>
  <c r="I961" i="3"/>
  <c r="H961" i="3"/>
  <c r="AC956" i="3"/>
  <c r="AB957" i="3"/>
  <c r="Y897" i="3"/>
  <c r="I897" i="3"/>
  <c r="H897" i="3"/>
  <c r="AC892" i="3"/>
  <c r="AB893" i="3"/>
  <c r="AC707" i="3"/>
  <c r="AB708" i="3"/>
  <c r="AC815" i="3"/>
  <c r="AB816" i="3"/>
  <c r="Y959" i="3"/>
  <c r="I959" i="3"/>
  <c r="H959" i="3"/>
  <c r="AC954" i="3"/>
  <c r="AB955" i="3"/>
  <c r="Y895" i="3"/>
  <c r="I895" i="3"/>
  <c r="H895" i="3"/>
  <c r="AC890" i="3"/>
  <c r="AB891" i="3"/>
  <c r="AC699" i="3"/>
  <c r="AB700" i="3"/>
  <c r="AC887" i="3"/>
  <c r="AB888" i="3"/>
  <c r="Y876" i="3"/>
  <c r="H876" i="3"/>
  <c r="I876" i="3"/>
  <c r="Y946" i="3"/>
  <c r="H946" i="3"/>
  <c r="I946" i="3"/>
  <c r="AC941" i="3"/>
  <c r="AB942" i="3"/>
  <c r="Y882" i="3"/>
  <c r="H882" i="3"/>
  <c r="I882" i="3"/>
  <c r="AC877" i="3"/>
  <c r="AB878" i="3"/>
  <c r="Y844" i="3"/>
  <c r="I844" i="3"/>
  <c r="H844" i="3"/>
  <c r="Y997" i="3"/>
  <c r="I997" i="3"/>
  <c r="H997" i="3"/>
  <c r="AB993" i="3"/>
  <c r="AC992" i="3"/>
  <c r="Y933" i="3"/>
  <c r="I933" i="3"/>
  <c r="H933" i="3"/>
  <c r="AB929" i="3"/>
  <c r="AC928" i="3"/>
  <c r="Y869" i="3"/>
  <c r="I869" i="3"/>
  <c r="H869" i="3"/>
  <c r="AC851" i="3"/>
  <c r="AB852" i="3"/>
  <c r="Y792" i="3"/>
  <c r="I792" i="3"/>
  <c r="H792" i="3"/>
  <c r="AC703" i="3"/>
  <c r="AB704" i="3"/>
  <c r="Y835" i="3"/>
  <c r="H835" i="3"/>
  <c r="I835" i="3"/>
  <c r="AC830" i="3"/>
  <c r="AB831" i="3"/>
  <c r="Y771" i="3"/>
  <c r="H771" i="3"/>
  <c r="I771" i="3"/>
  <c r="AC766" i="3"/>
  <c r="AB767" i="3"/>
  <c r="Y707" i="3"/>
  <c r="I707" i="3"/>
  <c r="H707" i="3"/>
  <c r="AB703" i="3"/>
  <c r="AC702" i="3"/>
  <c r="Y838" i="3"/>
  <c r="H838" i="3"/>
  <c r="I838" i="3"/>
  <c r="AB834" i="3"/>
  <c r="AC833" i="3"/>
  <c r="Y774" i="3"/>
  <c r="H774" i="3"/>
  <c r="I774" i="3"/>
  <c r="AB770" i="3"/>
  <c r="AC769" i="3"/>
  <c r="Y710" i="3"/>
  <c r="I710" i="3"/>
  <c r="H710" i="3"/>
  <c r="AC705" i="3"/>
  <c r="AB706" i="3"/>
  <c r="Y849" i="3"/>
  <c r="H849" i="3"/>
  <c r="I849" i="3"/>
  <c r="AC844" i="3"/>
  <c r="AB845" i="3"/>
  <c r="Y785" i="3"/>
  <c r="I785" i="3"/>
  <c r="H785" i="3"/>
  <c r="AC780" i="3"/>
  <c r="AB781" i="3"/>
  <c r="Y721" i="3"/>
  <c r="I721" i="3"/>
  <c r="H721" i="3"/>
  <c r="AC716" i="3"/>
  <c r="AB717" i="3"/>
  <c r="AB630" i="3"/>
  <c r="AC629" i="3"/>
  <c r="Y646" i="3"/>
  <c r="I646" i="3"/>
  <c r="H646" i="3"/>
  <c r="AC866" i="3"/>
  <c r="AB867" i="3"/>
  <c r="Y807" i="3"/>
  <c r="H807" i="3"/>
  <c r="I807" i="3"/>
  <c r="AC802" i="3"/>
  <c r="AB803" i="3"/>
  <c r="Y743" i="3"/>
  <c r="H743" i="3"/>
  <c r="I743" i="3"/>
  <c r="AC738" i="3"/>
  <c r="AB739" i="3"/>
  <c r="Y658" i="3"/>
  <c r="I658" i="3"/>
  <c r="H658" i="3"/>
  <c r="Y810" i="3"/>
  <c r="H810" i="3"/>
  <c r="I810" i="3"/>
  <c r="AB806" i="3"/>
  <c r="AC805" i="3"/>
  <c r="Y746" i="3"/>
  <c r="I746" i="3"/>
  <c r="H746" i="3"/>
  <c r="AC741" i="3"/>
  <c r="AB742" i="3"/>
  <c r="Y670" i="3"/>
  <c r="I670" i="3"/>
  <c r="H670" i="3"/>
  <c r="Y813" i="3"/>
  <c r="I813" i="3"/>
  <c r="H813" i="3"/>
  <c r="AC808" i="3"/>
  <c r="AB809" i="3"/>
  <c r="Y749" i="3"/>
  <c r="I749" i="3"/>
  <c r="H749" i="3"/>
  <c r="AB745" i="3"/>
  <c r="AC744" i="3"/>
  <c r="Y682" i="3"/>
  <c r="H682" i="3"/>
  <c r="I682" i="3"/>
  <c r="Y665" i="3"/>
  <c r="H665" i="3"/>
  <c r="I665" i="3"/>
  <c r="AC660" i="3"/>
  <c r="AB661" i="3"/>
  <c r="AC472" i="3"/>
  <c r="AB473" i="3"/>
  <c r="Y636" i="3"/>
  <c r="I636" i="3"/>
  <c r="H636" i="3"/>
  <c r="AB632" i="3"/>
  <c r="AC631" i="3"/>
  <c r="Y593" i="3"/>
  <c r="I593" i="3"/>
  <c r="H593" i="3"/>
  <c r="AB683" i="3"/>
  <c r="AC682" i="3"/>
  <c r="Y623" i="3"/>
  <c r="H623" i="3"/>
  <c r="I623" i="3"/>
  <c r="AC618" i="3"/>
  <c r="AB619" i="3"/>
  <c r="AC600" i="3"/>
  <c r="AB601" i="3"/>
  <c r="Y541" i="3"/>
  <c r="I541" i="3"/>
  <c r="H541" i="3"/>
  <c r="Y509" i="3"/>
  <c r="H509" i="3"/>
  <c r="I509" i="3"/>
  <c r="Y653" i="3"/>
  <c r="H653" i="3"/>
  <c r="I653" i="3"/>
  <c r="AC648" i="3"/>
  <c r="AB649" i="3"/>
  <c r="Y664" i="3"/>
  <c r="H664" i="3"/>
  <c r="I664" i="3"/>
  <c r="AC659" i="3"/>
  <c r="AB660" i="3"/>
  <c r="AC456" i="3"/>
  <c r="AB457" i="3"/>
  <c r="Y635" i="3"/>
  <c r="I635" i="3"/>
  <c r="H635" i="3"/>
  <c r="AC630" i="3"/>
  <c r="AB631" i="3"/>
  <c r="Y589" i="3"/>
  <c r="I589" i="3"/>
  <c r="H589" i="3"/>
  <c r="Y572" i="3"/>
  <c r="I572" i="3"/>
  <c r="H572" i="3"/>
  <c r="AC567" i="3"/>
  <c r="AB568" i="3"/>
  <c r="AC602" i="3"/>
  <c r="AB603" i="3"/>
  <c r="Y543" i="3"/>
  <c r="H543" i="3"/>
  <c r="I543" i="3"/>
  <c r="AC538" i="3"/>
  <c r="AB539" i="3"/>
  <c r="Y517" i="3"/>
  <c r="H517" i="3"/>
  <c r="I517" i="3"/>
  <c r="Y578" i="3"/>
  <c r="H578" i="3"/>
  <c r="I578" i="3"/>
  <c r="AC573" i="3"/>
  <c r="AB574" i="3"/>
  <c r="AB461" i="3"/>
  <c r="AC460" i="3"/>
  <c r="Y584" i="3"/>
  <c r="H584" i="3"/>
  <c r="I584" i="3"/>
  <c r="AC579" i="3"/>
  <c r="AB580" i="3"/>
  <c r="AB485" i="3"/>
  <c r="AC484" i="3"/>
  <c r="H428" i="3"/>
  <c r="I428" i="3"/>
  <c r="Y428" i="3"/>
  <c r="H252" i="3"/>
  <c r="I252" i="3"/>
  <c r="Y252" i="3"/>
  <c r="Y571" i="3"/>
  <c r="I571" i="3"/>
  <c r="H571" i="3"/>
  <c r="AB567" i="3"/>
  <c r="AC566" i="3"/>
  <c r="Y582" i="3"/>
  <c r="I582" i="3"/>
  <c r="H582" i="3"/>
  <c r="AB578" i="3"/>
  <c r="AC577" i="3"/>
  <c r="AB477" i="3"/>
  <c r="AC476" i="3"/>
  <c r="I396" i="3"/>
  <c r="H396" i="3"/>
  <c r="Y396" i="3"/>
  <c r="Y488" i="3"/>
  <c r="I488" i="3"/>
  <c r="H488" i="3"/>
  <c r="AC483" i="3"/>
  <c r="AB484" i="3"/>
  <c r="I424" i="3"/>
  <c r="H424" i="3"/>
  <c r="Y424" i="3"/>
  <c r="H499" i="3"/>
  <c r="I499" i="3"/>
  <c r="Y499" i="3"/>
  <c r="AC494" i="3"/>
  <c r="AB495" i="3"/>
  <c r="Y364" i="3"/>
  <c r="I364" i="3"/>
  <c r="H364" i="3"/>
  <c r="I510" i="3"/>
  <c r="Y510" i="3"/>
  <c r="H510" i="3"/>
  <c r="AC505" i="3"/>
  <c r="AB506" i="3"/>
  <c r="Y516" i="3"/>
  <c r="I516" i="3"/>
  <c r="H516" i="3"/>
  <c r="AC511" i="3"/>
  <c r="AB512" i="3"/>
  <c r="Y452" i="3"/>
  <c r="H452" i="3"/>
  <c r="I452" i="3"/>
  <c r="Y527" i="3"/>
  <c r="I527" i="3"/>
  <c r="H527" i="3"/>
  <c r="AB523" i="3"/>
  <c r="AC522" i="3"/>
  <c r="I463" i="3"/>
  <c r="H463" i="3"/>
  <c r="Y463" i="3"/>
  <c r="AC458" i="3"/>
  <c r="AB459" i="3"/>
  <c r="AB384" i="3"/>
  <c r="AC383" i="3"/>
  <c r="H474" i="3"/>
  <c r="I474" i="3"/>
  <c r="Y474" i="3"/>
  <c r="AC469" i="3"/>
  <c r="AB470" i="3"/>
  <c r="AC427" i="3"/>
  <c r="AB428" i="3"/>
  <c r="I407" i="3"/>
  <c r="H407" i="3"/>
  <c r="Y407" i="3"/>
  <c r="AB403" i="3"/>
  <c r="AC402" i="3"/>
  <c r="AC231" i="3"/>
  <c r="AB232" i="3"/>
  <c r="I418" i="3"/>
  <c r="H418" i="3"/>
  <c r="Y418" i="3"/>
  <c r="AC413" i="3"/>
  <c r="AB414" i="3"/>
  <c r="I429" i="3"/>
  <c r="Y429" i="3"/>
  <c r="H429" i="3"/>
  <c r="AB425" i="3"/>
  <c r="AC424" i="3"/>
  <c r="I268" i="3"/>
  <c r="Y268" i="3"/>
  <c r="H268" i="3"/>
  <c r="H435" i="3"/>
  <c r="Y435" i="3"/>
  <c r="I435" i="3"/>
  <c r="AC430" i="3"/>
  <c r="AB431" i="3"/>
  <c r="I201" i="3"/>
  <c r="H201" i="3"/>
  <c r="Y201" i="3"/>
  <c r="Y446" i="3"/>
  <c r="I446" i="3"/>
  <c r="H446" i="3"/>
  <c r="AC441" i="3"/>
  <c r="AB442" i="3"/>
  <c r="I382" i="3"/>
  <c r="H382" i="3"/>
  <c r="Y382" i="3"/>
  <c r="AC377" i="3"/>
  <c r="AB378" i="3"/>
  <c r="AB336" i="3"/>
  <c r="AC335" i="3"/>
  <c r="Y433" i="3"/>
  <c r="H433" i="3"/>
  <c r="I433" i="3"/>
  <c r="AB429" i="3"/>
  <c r="AC428" i="3"/>
  <c r="H319" i="3"/>
  <c r="Y319" i="3"/>
  <c r="I319" i="3"/>
  <c r="AC314" i="3"/>
  <c r="AB315" i="3"/>
  <c r="AC259" i="3"/>
  <c r="AB260" i="3"/>
  <c r="H176" i="3"/>
  <c r="I176" i="3"/>
  <c r="Y176" i="3"/>
  <c r="I330" i="3"/>
  <c r="H330" i="3"/>
  <c r="Y330" i="3"/>
  <c r="AC325" i="3"/>
  <c r="AB326" i="3"/>
  <c r="I244" i="3"/>
  <c r="H244" i="3"/>
  <c r="Y244" i="3"/>
  <c r="I317" i="3"/>
  <c r="H317" i="3"/>
  <c r="Y317" i="3"/>
  <c r="AC312" i="3"/>
  <c r="AB313" i="3"/>
  <c r="AC251" i="3"/>
  <c r="AB252" i="3"/>
  <c r="H323" i="3"/>
  <c r="I323" i="3"/>
  <c r="Y323" i="3"/>
  <c r="AC318" i="3"/>
  <c r="AB319" i="3"/>
  <c r="AC275" i="3"/>
  <c r="AB276" i="3"/>
  <c r="H216" i="3"/>
  <c r="Y216" i="3"/>
  <c r="I216" i="3"/>
  <c r="H334" i="3"/>
  <c r="I334" i="3"/>
  <c r="Y334" i="3"/>
  <c r="AC329" i="3"/>
  <c r="AB330" i="3"/>
  <c r="H260" i="3"/>
  <c r="Y260" i="3"/>
  <c r="I260" i="3"/>
  <c r="Y321" i="3"/>
  <c r="I321" i="3"/>
  <c r="H321" i="3"/>
  <c r="AB317" i="3"/>
  <c r="AC316" i="3"/>
  <c r="AB268" i="3"/>
  <c r="AC267" i="3"/>
  <c r="AB205" i="3"/>
  <c r="AC204" i="3"/>
  <c r="H231" i="3"/>
  <c r="I231" i="3"/>
  <c r="Y231" i="3"/>
  <c r="AC226" i="3"/>
  <c r="AB227" i="3"/>
  <c r="Y160" i="3"/>
  <c r="I160" i="3"/>
  <c r="H160" i="3"/>
  <c r="H258" i="3"/>
  <c r="I258" i="3"/>
  <c r="Y258" i="3"/>
  <c r="AB254" i="3"/>
  <c r="AC253" i="3"/>
  <c r="Y277" i="3"/>
  <c r="I277" i="3"/>
  <c r="H277" i="3"/>
  <c r="AB273" i="3"/>
  <c r="AC272" i="3"/>
  <c r="H213" i="3"/>
  <c r="I213" i="3"/>
  <c r="Y213" i="3"/>
  <c r="H283" i="3"/>
  <c r="I283" i="3"/>
  <c r="Y283" i="3"/>
  <c r="AB279" i="3"/>
  <c r="AC278" i="3"/>
  <c r="H219" i="3"/>
  <c r="I219" i="3"/>
  <c r="Y219" i="3"/>
  <c r="AB215" i="3"/>
  <c r="AC214" i="3"/>
  <c r="AB132" i="3"/>
  <c r="AC131" i="3"/>
  <c r="H294" i="3"/>
  <c r="Y294" i="3"/>
  <c r="I294" i="3"/>
  <c r="AC289" i="3"/>
  <c r="AB290" i="3"/>
  <c r="Y230" i="3"/>
  <c r="H230" i="3"/>
  <c r="I230" i="3"/>
  <c r="AC225" i="3"/>
  <c r="AB226" i="3"/>
  <c r="I241" i="3"/>
  <c r="Y241" i="3"/>
  <c r="H241" i="3"/>
  <c r="AB237" i="3"/>
  <c r="AC236" i="3"/>
  <c r="Y211" i="3"/>
  <c r="I211" i="3"/>
  <c r="H211" i="3"/>
  <c r="AB162" i="3"/>
  <c r="AC161" i="3"/>
  <c r="H174" i="3"/>
  <c r="Y174" i="3"/>
  <c r="I174" i="3"/>
  <c r="AB170" i="3"/>
  <c r="AC169" i="3"/>
  <c r="H177" i="3"/>
  <c r="I177" i="3"/>
  <c r="Y177" i="3"/>
  <c r="AB173" i="3"/>
  <c r="AC172" i="3"/>
  <c r="H207" i="3"/>
  <c r="I207" i="3"/>
  <c r="Y207" i="3"/>
  <c r="AB203" i="3"/>
  <c r="AC202" i="3"/>
  <c r="H161" i="3"/>
  <c r="I161" i="3"/>
  <c r="Y161" i="3"/>
  <c r="H148" i="3"/>
  <c r="Y148" i="3"/>
  <c r="I148" i="3"/>
  <c r="I178" i="3"/>
  <c r="Y178" i="3"/>
  <c r="H178" i="3"/>
  <c r="AC173" i="3"/>
  <c r="AB174" i="3"/>
  <c r="AB83" i="3"/>
  <c r="AC82" i="3"/>
  <c r="AB209" i="3"/>
  <c r="AC208" i="3"/>
  <c r="H73" i="3"/>
  <c r="I73" i="3"/>
  <c r="Y73" i="3"/>
  <c r="Y137" i="3"/>
  <c r="H137" i="3"/>
  <c r="I137" i="3"/>
  <c r="AC132" i="3"/>
  <c r="AB133" i="3"/>
  <c r="Y130" i="3"/>
  <c r="H130" i="3"/>
  <c r="I130" i="3"/>
  <c r="H125" i="3"/>
  <c r="I125" i="3"/>
  <c r="Y125" i="3"/>
  <c r="Y103" i="3"/>
  <c r="H103" i="3"/>
  <c r="I103" i="3"/>
  <c r="H123" i="3"/>
  <c r="I123" i="3"/>
  <c r="Y123" i="3"/>
  <c r="AB45" i="3"/>
  <c r="AC44" i="3"/>
  <c r="Y101" i="3"/>
  <c r="I101" i="3"/>
  <c r="H101" i="3"/>
  <c r="AC96" i="3"/>
  <c r="AB97" i="3"/>
  <c r="AC84" i="3"/>
  <c r="AB85" i="3"/>
  <c r="AC107" i="3"/>
  <c r="AB108" i="3"/>
  <c r="H110" i="3"/>
  <c r="Y110" i="3"/>
  <c r="I110" i="3"/>
  <c r="AB106" i="3"/>
  <c r="AC105" i="3"/>
  <c r="I89" i="3"/>
  <c r="H89" i="3"/>
  <c r="Y89" i="3"/>
  <c r="AC21" i="3"/>
  <c r="AB22" i="3"/>
  <c r="I92" i="3"/>
  <c r="Y92" i="3"/>
  <c r="H92" i="3"/>
  <c r="H16" i="3"/>
  <c r="I16" i="3"/>
  <c r="Y16" i="3"/>
  <c r="I12" i="3"/>
  <c r="H12" i="3"/>
  <c r="Y12" i="3"/>
  <c r="Y18" i="3"/>
  <c r="H18" i="3"/>
  <c r="I18" i="3"/>
  <c r="I24" i="3"/>
  <c r="H24" i="3"/>
  <c r="Y24" i="3"/>
  <c r="AB21" i="3"/>
  <c r="AC20" i="3"/>
  <c r="Y36" i="3"/>
  <c r="I36" i="3"/>
  <c r="H36" i="3"/>
  <c r="I51" i="3"/>
  <c r="Y51" i="3"/>
  <c r="H51" i="3"/>
  <c r="AB47" i="3"/>
  <c r="AC46" i="3"/>
  <c r="H54" i="3"/>
  <c r="Y54" i="3"/>
  <c r="I54" i="3"/>
  <c r="AB50" i="3"/>
  <c r="AC49" i="3"/>
  <c r="I47" i="3"/>
  <c r="Y47" i="3"/>
  <c r="H47" i="3"/>
  <c r="AC42" i="3"/>
  <c r="AB43" i="3"/>
  <c r="Y45" i="3"/>
  <c r="H45" i="3"/>
  <c r="I45" i="3"/>
  <c r="AC40" i="3"/>
  <c r="AB41" i="3"/>
  <c r="AK9" i="3" a="1"/>
  <c r="AM9" i="3" a="1"/>
  <c r="AM11" i="3" a="1"/>
  <c r="AN10" i="3" a="1"/>
  <c r="AP11" i="3" a="1"/>
  <c r="AL10" i="3" a="1"/>
  <c r="AL11" i="3" a="1"/>
  <c r="AL9" i="3" a="1"/>
  <c r="AO11" i="3" a="1"/>
  <c r="AO9" i="3" a="1"/>
  <c r="AO10" i="3" a="1"/>
  <c r="AM10" i="3" a="1"/>
  <c r="AP10" i="3" a="1"/>
  <c r="AN11" i="3" a="1"/>
  <c r="AP9" i="3" a="1"/>
  <c r="AK10" i="3" a="1"/>
  <c r="AK11" i="3" a="1"/>
  <c r="AN9" i="3" a="1"/>
  <c r="AP11" i="3" l="1"/>
  <c r="AM9" i="3"/>
  <c r="AL9" i="3"/>
  <c r="AK9" i="3"/>
  <c r="AK11" i="3"/>
  <c r="AL11" i="3"/>
  <c r="AO11" i="3"/>
  <c r="AN11" i="3"/>
  <c r="AM11" i="3"/>
  <c r="AM10" i="3"/>
  <c r="AP10" i="3"/>
  <c r="AP9" i="3"/>
  <c r="AL10" i="3"/>
  <c r="AK10" i="3"/>
  <c r="AN9" i="3"/>
  <c r="AO10" i="3"/>
  <c r="AO9" i="3"/>
  <c r="AN10" i="3"/>
  <c r="AD12" i="3"/>
  <c r="AD325" i="3"/>
  <c r="AD699" i="3"/>
  <c r="AD156" i="3"/>
  <c r="AD915" i="3"/>
  <c r="AD169" i="3"/>
  <c r="AD278" i="3"/>
  <c r="AD202" i="3"/>
  <c r="AD469" i="3"/>
  <c r="AD398" i="3"/>
  <c r="AD941" i="3"/>
  <c r="AD561" i="3"/>
  <c r="AD683" i="3"/>
  <c r="AD466" i="3"/>
  <c r="AD231" i="3"/>
  <c r="AD194" i="3"/>
  <c r="AD385" i="3"/>
  <c r="AD727" i="3"/>
  <c r="AD341" i="3"/>
  <c r="AD883" i="3"/>
  <c r="AD350" i="3"/>
  <c r="AD374" i="3"/>
  <c r="AD948" i="3"/>
  <c r="AD742" i="3"/>
  <c r="AD74" i="3"/>
  <c r="AD805" i="3"/>
  <c r="AD884" i="3"/>
  <c r="AD537" i="3"/>
  <c r="AD792" i="3"/>
  <c r="AD684" i="3"/>
  <c r="AD69" i="3"/>
  <c r="AD65" i="3"/>
  <c r="AD427" i="3"/>
  <c r="O7" i="3"/>
  <c r="R8" i="3"/>
  <c r="Y8" i="3" s="1"/>
  <c r="M7" i="3"/>
  <c r="N7" i="3"/>
  <c r="F19" i="1" s="1"/>
  <c r="AD82" i="3"/>
  <c r="AD131" i="3"/>
  <c r="AD522" i="3"/>
  <c r="AD892" i="3"/>
  <c r="AD441" i="3"/>
  <c r="AD877" i="3"/>
  <c r="AD670" i="3"/>
  <c r="AD917" i="3"/>
  <c r="AD702" i="3"/>
  <c r="AD705" i="3"/>
  <c r="AD769" i="3"/>
  <c r="AD508" i="3"/>
  <c r="AD538" i="3"/>
  <c r="AD744" i="3"/>
  <c r="AD608" i="3"/>
  <c r="AD981" i="3"/>
  <c r="AD596" i="3"/>
  <c r="AD858" i="3"/>
  <c r="AD160" i="3"/>
  <c r="AD233" i="3"/>
  <c r="AD730" i="3"/>
  <c r="AD472" i="3"/>
  <c r="AD115" i="3"/>
  <c r="AD604" i="3"/>
  <c r="AD818" i="3"/>
  <c r="AD150" i="3"/>
  <c r="AD239" i="3"/>
  <c r="AD927" i="3"/>
  <c r="AD112" i="3"/>
  <c r="AD964" i="3"/>
  <c r="AD855" i="3"/>
  <c r="AD778" i="3"/>
  <c r="AD214" i="3"/>
  <c r="AD780" i="3"/>
  <c r="AD339" i="3"/>
  <c r="AD549" i="3"/>
  <c r="AD547" i="3"/>
  <c r="AD171" i="3"/>
  <c r="AD529" i="3"/>
  <c r="AD490" i="3"/>
  <c r="AD936" i="3"/>
  <c r="AD822" i="3"/>
  <c r="AD109" i="3"/>
  <c r="AD436" i="3"/>
  <c r="AD73" i="3"/>
  <c r="AD534" i="3"/>
  <c r="AD263" i="3"/>
  <c r="AD77" i="3"/>
  <c r="AD46" i="3"/>
  <c r="AD275" i="3"/>
  <c r="AD272" i="3"/>
  <c r="AD577" i="3"/>
  <c r="AD851" i="3"/>
  <c r="AD25" i="3"/>
  <c r="AD35" i="3"/>
  <c r="AD212" i="3"/>
  <c r="AD139" i="3"/>
  <c r="AD496" i="3"/>
  <c r="AD848" i="3"/>
  <c r="AD989" i="3"/>
  <c r="AD979" i="3"/>
  <c r="AD592" i="3"/>
  <c r="AD794" i="3"/>
  <c r="AD251" i="3"/>
  <c r="AD456" i="3"/>
  <c r="AD682" i="3"/>
  <c r="AD86" i="3"/>
  <c r="AD842" i="3"/>
  <c r="AD692" i="3"/>
  <c r="AD198" i="3"/>
  <c r="AD572" i="3"/>
  <c r="R18" i="1" a="1"/>
  <c r="AD573" i="3"/>
  <c r="AD618" i="3"/>
  <c r="AD100" i="3"/>
  <c r="AD759" i="3"/>
  <c r="AD32" i="3"/>
  <c r="AD433" i="3"/>
  <c r="AD911" i="3"/>
  <c r="AD585" i="3"/>
  <c r="AD629" i="3"/>
  <c r="AD265" i="3"/>
  <c r="AD303" i="3"/>
  <c r="AF18" i="1" a="1"/>
  <c r="AD555" i="3"/>
  <c r="AD784" i="3"/>
  <c r="AD810" i="3"/>
  <c r="AD376" i="3"/>
  <c r="AD182" i="3"/>
  <c r="AD808" i="3"/>
  <c r="AD144" i="3"/>
  <c r="AD365" i="3"/>
  <c r="AD627" i="3"/>
  <c r="AD236" i="3"/>
  <c r="AD424" i="3"/>
  <c r="AD387" i="3"/>
  <c r="AD148" i="3"/>
  <c r="AD446" i="3"/>
  <c r="AD531" i="3"/>
  <c r="AD611" i="3"/>
  <c r="AD924" i="3"/>
  <c r="AD200" i="3"/>
  <c r="AD667" i="3"/>
  <c r="AD107" i="3"/>
  <c r="AD334" i="3"/>
  <c r="AD579" i="3"/>
  <c r="AD480" i="3"/>
  <c r="AD714" i="3"/>
  <c r="AD444" i="3"/>
  <c r="AD417" i="3"/>
  <c r="AD739" i="3"/>
  <c r="AD928" i="3"/>
  <c r="AD404" i="3"/>
  <c r="AD527" i="3"/>
  <c r="AD824" i="3"/>
  <c r="AD151" i="3"/>
  <c r="AD20" i="3"/>
  <c r="AD566" i="3"/>
  <c r="AD831" i="3"/>
  <c r="AD471" i="3"/>
  <c r="AD310" i="3"/>
  <c r="AD257" i="3"/>
  <c r="AD40" i="3"/>
  <c r="AD208" i="3"/>
  <c r="AD352" i="3"/>
  <c r="AD645" i="3"/>
  <c r="AD380" i="3"/>
  <c r="AD811" i="3"/>
  <c r="AD835" i="3"/>
  <c r="AD119" i="3"/>
  <c r="AD409" i="3"/>
  <c r="AD479" i="3"/>
  <c r="AD468" i="3"/>
  <c r="AD53" i="3"/>
  <c r="AD925" i="3"/>
  <c r="AD368" i="3"/>
  <c r="AD662" i="3"/>
  <c r="AD383" i="3"/>
  <c r="AD18" i="3"/>
  <c r="AD582" i="3"/>
  <c r="AD281" i="3"/>
  <c r="AD541" i="3"/>
  <c r="AD962" i="3"/>
  <c r="AD158" i="3"/>
  <c r="AD94" i="3"/>
  <c r="AD439" i="3"/>
  <c r="AD849" i="3"/>
  <c r="AD968" i="3"/>
  <c r="AD103" i="3"/>
  <c r="A29" i="1" a="1"/>
  <c r="A36" i="1" s="1"/>
  <c r="AD316" i="3"/>
  <c r="AD377" i="3"/>
  <c r="AD305" i="3"/>
  <c r="AD406" i="3"/>
  <c r="AD984" i="3"/>
  <c r="AD587" i="3"/>
  <c r="AD887" i="3"/>
  <c r="AD211" i="3"/>
  <c r="AD664" i="3"/>
  <c r="AD779" i="3"/>
  <c r="AD52" i="3"/>
  <c r="AD451" i="3"/>
  <c r="M9" i="3"/>
  <c r="D56" i="1" s="1"/>
  <c r="AD895" i="3"/>
  <c r="AD449" i="3"/>
  <c r="AD540" i="3"/>
  <c r="L9" i="3"/>
  <c r="AD172" i="3"/>
  <c r="AD124" i="3"/>
  <c r="AD951" i="3"/>
  <c r="AD673" i="3"/>
  <c r="AD343" i="3"/>
  <c r="AD827" i="3"/>
  <c r="AD336" i="3"/>
  <c r="AD312" i="3"/>
  <c r="AD741" i="3"/>
  <c r="AD228" i="3"/>
  <c r="AD982" i="3"/>
  <c r="AD985" i="3"/>
  <c r="AD110" i="3"/>
  <c r="AD695" i="3"/>
  <c r="AD369" i="3"/>
  <c r="AD79" i="3"/>
  <c r="AD880" i="3"/>
  <c r="AD970" i="3"/>
  <c r="AD304" i="3"/>
  <c r="AD29" i="3"/>
  <c r="AD173" i="3"/>
  <c r="AD413" i="3"/>
  <c r="AD633" i="3"/>
  <c r="AD992" i="3"/>
  <c r="AD953" i="3"/>
  <c r="AD966" i="3"/>
  <c r="AD36" i="3"/>
  <c r="AD178" i="3"/>
  <c r="AD542" i="3"/>
  <c r="AD241" i="3"/>
  <c r="AD360" i="3"/>
  <c r="AD474" i="3"/>
  <c r="AD732" i="3"/>
  <c r="AD944" i="3"/>
  <c r="AD157" i="3"/>
  <c r="AD37" i="3"/>
  <c r="AD240" i="3"/>
  <c r="AD524" i="3"/>
  <c r="AD175" i="3"/>
  <c r="AD455" i="3"/>
  <c r="AD668" i="3"/>
  <c r="AD900" i="3"/>
  <c r="AD49" i="3"/>
  <c r="AD802" i="3"/>
  <c r="AD609" i="3"/>
  <c r="AD422" i="3"/>
  <c r="AD525" i="3"/>
  <c r="AD651" i="3"/>
  <c r="AD81" i="3"/>
  <c r="AD285" i="3"/>
  <c r="AD91" i="3"/>
  <c r="AD787" i="3"/>
  <c r="AD130" i="3"/>
  <c r="AD196" i="3"/>
  <c r="AD161" i="3"/>
  <c r="AD815" i="3"/>
  <c r="AD354" i="3"/>
  <c r="AD337" i="3"/>
  <c r="AD412" i="3"/>
  <c r="AD914" i="3"/>
  <c r="AD389" i="3"/>
  <c r="AD564" i="3"/>
  <c r="AD656" i="3"/>
  <c r="AD690" i="3"/>
  <c r="AD558" i="3"/>
  <c r="AD513" i="3"/>
  <c r="AD225" i="3"/>
  <c r="AD600" i="3"/>
  <c r="AD420" i="3"/>
  <c r="AD320" i="3"/>
  <c r="AD364" i="3"/>
  <c r="AD391" i="3"/>
  <c r="AD204" i="3"/>
  <c r="AD184" i="3"/>
  <c r="AD190" i="3"/>
  <c r="AD358" i="3"/>
  <c r="AD624" i="3"/>
  <c r="AD621" i="3"/>
  <c r="AD919" i="3"/>
  <c r="AD141" i="3"/>
  <c r="AD593" i="3"/>
  <c r="AD589" i="3"/>
  <c r="AD908" i="3"/>
  <c r="AD117" i="3"/>
  <c r="AD308" i="3"/>
  <c r="AD71" i="3"/>
  <c r="AD299" i="3"/>
  <c r="AD127" i="3"/>
  <c r="AD598" i="3"/>
  <c r="AD438" i="3"/>
  <c r="AD1004" i="3"/>
  <c r="AD287" i="3"/>
  <c r="AD576" i="3"/>
  <c r="AD754" i="3"/>
  <c r="AD847" i="3"/>
  <c r="AD763" i="3"/>
  <c r="AD946" i="3"/>
  <c r="AD221" i="3"/>
  <c r="AD344" i="3"/>
  <c r="AD516" i="3"/>
  <c r="AD297" i="3"/>
  <c r="AD301" i="3"/>
  <c r="AD755" i="3"/>
  <c r="AD402" i="3"/>
  <c r="AD833" i="3"/>
  <c r="AD830" i="3"/>
  <c r="AD708" i="3"/>
  <c r="AD956" i="3"/>
  <c r="AD16" i="3"/>
  <c r="AD229" i="3"/>
  <c r="AD544" i="3"/>
  <c r="AD930" i="3"/>
  <c r="AD711" i="3"/>
  <c r="AD906" i="3"/>
  <c r="AD102" i="3"/>
  <c r="AD261" i="3"/>
  <c r="AD93" i="3"/>
  <c r="AD96" i="3"/>
  <c r="AD289" i="3"/>
  <c r="AD187" i="3"/>
  <c r="AD494" i="3"/>
  <c r="AD483" i="3"/>
  <c r="AD999" i="3"/>
  <c r="AD146" i="3"/>
  <c r="AD448" i="3"/>
  <c r="AD595" i="3"/>
  <c r="AD60" i="3"/>
  <c r="AD731" i="3"/>
  <c r="AD324" i="3"/>
  <c r="AD519" i="3"/>
  <c r="AD256" i="3"/>
  <c r="AD259" i="3"/>
  <c r="AD248" i="3"/>
  <c r="AD904" i="3"/>
  <c r="AD932" i="3"/>
  <c r="AD345" i="3"/>
  <c r="AD328" i="3"/>
  <c r="AD463" i="3"/>
  <c r="AD292" i="3"/>
  <c r="AD686" i="3"/>
  <c r="AD772" i="3"/>
  <c r="AD31" i="3"/>
  <c r="AD361" i="3"/>
  <c r="AD840" i="3"/>
  <c r="AD92" i="3"/>
  <c r="AD216" i="3"/>
  <c r="AD335" i="3"/>
  <c r="AD42" i="3"/>
  <c r="AD987" i="3"/>
  <c r="AD347" i="3"/>
  <c r="AD393" i="3"/>
  <c r="AD382" i="3"/>
  <c r="AD452" i="3"/>
  <c r="AD788" i="3"/>
  <c r="AD511" i="3"/>
  <c r="AD142" i="3"/>
  <c r="AD253" i="3"/>
  <c r="AD458" i="3"/>
  <c r="AD648" i="3"/>
  <c r="AD738" i="3"/>
  <c r="AD164" i="3"/>
  <c r="AD348" i="3"/>
  <c r="AD921" i="3"/>
  <c r="AD217" i="3"/>
  <c r="AD235" i="3"/>
  <c r="AD870" i="3"/>
  <c r="AD176" i="3"/>
  <c r="AD898" i="3"/>
  <c r="AD666" i="3"/>
  <c r="AD84" i="3"/>
  <c r="AD430" i="3"/>
  <c r="AD476" i="3"/>
  <c r="AD867" i="3"/>
  <c r="AD498" i="3"/>
  <c r="AD13" i="3"/>
  <c r="AD1003" i="3"/>
  <c r="AD293" i="3"/>
  <c r="AD329" i="3"/>
  <c r="AD866" i="3"/>
  <c r="AD87" i="3"/>
  <c r="AD356" i="3"/>
  <c r="AD636" i="3"/>
  <c r="AD675" i="3"/>
  <c r="AD245" i="3"/>
  <c r="AD321" i="3"/>
  <c r="AD416" i="3"/>
  <c r="AD687" i="3"/>
  <c r="AD640" i="3"/>
  <c r="AD134" i="3"/>
  <c r="AD546" i="3"/>
  <c r="AD535" i="3"/>
  <c r="AD713" i="3"/>
  <c r="AD154" i="3"/>
  <c r="AD644" i="3"/>
  <c r="AD876" i="3"/>
  <c r="AD939" i="3"/>
  <c r="AD597" i="3"/>
  <c r="AD791" i="3"/>
  <c r="AD776" i="3"/>
  <c r="AD978" i="3"/>
  <c r="AD750" i="3"/>
  <c r="AD976" i="3"/>
  <c r="AD643" i="3"/>
  <c r="AD138" i="3"/>
  <c r="AD64" i="3"/>
  <c r="AD804" i="3"/>
  <c r="AD75" i="3"/>
  <c r="AD284" i="3"/>
  <c r="AD23" i="3"/>
  <c r="AD167" i="3"/>
  <c r="AD359" i="3"/>
  <c r="AD219" i="3"/>
  <c r="AD137" i="3"/>
  <c r="AD183" i="3"/>
  <c r="AD258" i="3"/>
  <c r="AD247" i="3"/>
  <c r="AD773" i="3"/>
  <c r="AD492" i="3"/>
  <c r="AD575" i="3"/>
  <c r="AD551" i="3"/>
  <c r="AD126" i="3"/>
  <c r="AD631" i="3"/>
  <c r="AD185" i="3"/>
  <c r="AD242" i="3"/>
  <c r="AD500" i="3"/>
  <c r="AD218" i="3"/>
  <c r="AD395" i="3"/>
  <c r="AD655" i="3"/>
  <c r="AD652" i="3"/>
  <c r="AD663" i="3"/>
  <c r="AD165" i="3"/>
  <c r="AD807" i="3"/>
  <c r="AD447" i="3"/>
  <c r="AD583" i="3"/>
  <c r="AD323" i="3"/>
  <c r="AD68" i="3"/>
  <c r="AD21" i="3"/>
  <c r="AD460" i="3"/>
  <c r="AD209" i="3"/>
  <c r="AD266" i="3"/>
  <c r="AD481" i="3"/>
  <c r="AD607" i="3"/>
  <c r="AD270" i="3"/>
  <c r="AD271" i="3"/>
  <c r="AD530" i="3"/>
  <c r="AD201" i="3"/>
  <c r="AD351" i="3"/>
  <c r="AD612" i="3"/>
  <c r="AD567" i="3"/>
  <c r="AD630" i="3"/>
  <c r="AD47" i="3"/>
  <c r="AD254" i="3"/>
  <c r="AD553" i="3"/>
  <c r="AD820" i="3"/>
  <c r="AD745" i="3"/>
  <c r="AD62" i="3"/>
  <c r="AD252" i="3"/>
  <c r="AD457" i="3"/>
  <c r="AD647" i="3"/>
  <c r="AD696" i="3"/>
  <c r="AD760" i="3"/>
  <c r="AD38" i="3"/>
  <c r="AD61" i="3"/>
  <c r="AD162" i="3"/>
  <c r="AD282" i="3"/>
  <c r="AD318" i="3"/>
  <c r="AD486" i="3"/>
  <c r="AD475" i="3"/>
  <c r="AD423" i="3"/>
  <c r="AD694" i="3"/>
  <c r="AD920" i="3"/>
  <c r="AD716" i="3"/>
  <c r="AD958" i="3"/>
  <c r="AD72" i="3"/>
  <c r="AD381" i="3"/>
  <c r="AD399" i="3"/>
  <c r="AD545" i="3"/>
  <c r="AD570" i="3"/>
  <c r="AD628" i="3"/>
  <c r="AD865" i="3"/>
  <c r="AD909" i="3"/>
  <c r="AD105" i="3"/>
  <c r="AD140" i="3"/>
  <c r="AD181" i="3"/>
  <c r="AD639" i="3"/>
  <c r="AD520" i="3"/>
  <c r="AD688" i="3"/>
  <c r="AD724" i="3"/>
  <c r="AD528" i="3"/>
  <c r="AD775" i="3"/>
  <c r="AD685" i="3"/>
  <c r="AD1000" i="3"/>
  <c r="AD918" i="3"/>
  <c r="AD33" i="3"/>
  <c r="AD143" i="3"/>
  <c r="AD273" i="3"/>
  <c r="AD362" i="3"/>
  <c r="AD453" i="3"/>
  <c r="AD584" i="3"/>
  <c r="AD536" i="3"/>
  <c r="AD588" i="3"/>
  <c r="AD679" i="3"/>
  <c r="AD789" i="3"/>
  <c r="AD828" i="3"/>
  <c r="AD940" i="3"/>
  <c r="AD873" i="3"/>
  <c r="AD67" i="3"/>
  <c r="AD63" i="3"/>
  <c r="AD111" i="3"/>
  <c r="AD128" i="3"/>
  <c r="AD149" i="3"/>
  <c r="AD125" i="3"/>
  <c r="AD197" i="3"/>
  <c r="AD159" i="3"/>
  <c r="AD342" i="3"/>
  <c r="AD311" i="3"/>
  <c r="AD518" i="3"/>
  <c r="AD603" i="3"/>
  <c r="AD327" i="3"/>
  <c r="AD826" i="3"/>
  <c r="AD740" i="3"/>
  <c r="AD854" i="3"/>
  <c r="AD888" i="3"/>
  <c r="AD926" i="3"/>
  <c r="AD963" i="3"/>
  <c r="AD717" i="3"/>
  <c r="AD995" i="3"/>
  <c r="AD88" i="3"/>
  <c r="AD294" i="3"/>
  <c r="AD355" i="3"/>
  <c r="AD440" i="3"/>
  <c r="AD821" i="3"/>
  <c r="AD721" i="3"/>
  <c r="AD637" i="3"/>
  <c r="AD893" i="3"/>
  <c r="AD797" i="3"/>
  <c r="AD674" i="3"/>
  <c r="AD715" i="3"/>
  <c r="AD78" i="3"/>
  <c r="AD205" i="3"/>
  <c r="AD346" i="3"/>
  <c r="AD443" i="3"/>
  <c r="AD812" i="3"/>
  <c r="AD50" i="3"/>
  <c r="AD113" i="3"/>
  <c r="AD104" i="3"/>
  <c r="AD333" i="3"/>
  <c r="AD322" i="3"/>
  <c r="AD421" i="3"/>
  <c r="AD523" i="3"/>
  <c r="AD816" i="3"/>
  <c r="AD747" i="3"/>
  <c r="AD852" i="3"/>
  <c r="AD605" i="3"/>
  <c r="AD774" i="3"/>
  <c r="AD923" i="3"/>
  <c r="AD39" i="3"/>
  <c r="AD80" i="3"/>
  <c r="AD386" i="3"/>
  <c r="AD786" i="3"/>
  <c r="AD121" i="3"/>
  <c r="AD129" i="3"/>
  <c r="AD118" i="3"/>
  <c r="AD249" i="3"/>
  <c r="AD277" i="3"/>
  <c r="AD250" i="3"/>
  <c r="AD591" i="3"/>
  <c r="AD704" i="3"/>
  <c r="AD793" i="3"/>
  <c r="AD669" i="3"/>
  <c r="AD913" i="3"/>
  <c r="AD935" i="3"/>
  <c r="AD942" i="3"/>
  <c r="AD660" i="3"/>
  <c r="AD83" i="3"/>
  <c r="AD442" i="3"/>
  <c r="AD806" i="3"/>
  <c r="AD994" i="3"/>
  <c r="AD646" i="3"/>
  <c r="AD635" i="3"/>
  <c r="AD860" i="3"/>
  <c r="AD905" i="3"/>
  <c r="AD986" i="3"/>
  <c r="AD97" i="3"/>
  <c r="AD279" i="3"/>
  <c r="AD594" i="3"/>
  <c r="AD622" i="3"/>
  <c r="AD697" i="3"/>
  <c r="AD933" i="3"/>
  <c r="AD971" i="3"/>
  <c r="AD396" i="3"/>
  <c r="AD307" i="3"/>
  <c r="AD473" i="3"/>
  <c r="AD462" i="3"/>
  <c r="AD770" i="3"/>
  <c r="AD737" i="3"/>
  <c r="AD798" i="3"/>
  <c r="AD871" i="3"/>
  <c r="AD719" i="3"/>
  <c r="AD66" i="3"/>
  <c r="AD521" i="3"/>
  <c r="AD813" i="3"/>
  <c r="AD746" i="3"/>
  <c r="AD606" i="3"/>
  <c r="AD736" i="3"/>
  <c r="AD885" i="3"/>
  <c r="AD26" i="3"/>
  <c r="AD123" i="3"/>
  <c r="AD192" i="3"/>
  <c r="AD186" i="3"/>
  <c r="AD300" i="3"/>
  <c r="AD298" i="3"/>
  <c r="AD414" i="3"/>
  <c r="AD506" i="3"/>
  <c r="AD614" i="3"/>
  <c r="AD616" i="3"/>
  <c r="AD677" i="3"/>
  <c r="AD764" i="3"/>
  <c r="AD753" i="3"/>
  <c r="AD839" i="3"/>
  <c r="AD903" i="3"/>
  <c r="AD1002" i="3"/>
  <c r="AD950" i="3"/>
  <c r="AD771" i="3"/>
  <c r="AD70" i="3"/>
  <c r="AD120" i="3"/>
  <c r="AD174" i="3"/>
  <c r="AD291" i="3"/>
  <c r="AD215" i="3"/>
  <c r="AD601" i="3"/>
  <c r="AD619" i="3"/>
  <c r="AD672" i="3"/>
  <c r="AD832" i="3"/>
  <c r="AD829" i="3"/>
  <c r="AD907" i="3"/>
  <c r="AD955" i="3"/>
  <c r="AD703" i="3"/>
  <c r="AD276" i="3"/>
  <c r="AD431" i="3"/>
  <c r="AD671" i="3"/>
  <c r="AD845" i="3"/>
  <c r="AD756" i="3"/>
  <c r="AD929" i="3"/>
  <c r="AD878" i="3"/>
  <c r="AD188" i="3"/>
  <c r="AD332" i="3"/>
  <c r="AD331" i="3"/>
  <c r="AD418" i="3"/>
  <c r="AD634" i="3"/>
  <c r="AD718" i="3"/>
  <c r="AD879" i="3"/>
  <c r="AD988" i="3"/>
  <c r="AD41" i="3"/>
  <c r="AD163" i="3"/>
  <c r="AD179" i="3"/>
  <c r="AD243" i="3"/>
  <c r="AD461" i="3"/>
  <c r="AD568" i="3"/>
  <c r="AD894" i="3"/>
  <c r="AD972" i="3"/>
  <c r="AD116" i="3"/>
  <c r="AD28" i="3"/>
  <c r="AD206" i="3"/>
  <c r="AD246" i="3"/>
  <c r="AD801" i="3"/>
  <c r="AD244" i="3"/>
  <c r="AD415" i="3"/>
  <c r="AD491" i="3"/>
  <c r="AD841" i="3"/>
  <c r="AD735" i="3"/>
  <c r="AD974" i="3"/>
  <c r="AD975" i="3"/>
  <c r="AD27" i="3"/>
  <c r="AD85" i="3"/>
  <c r="AD89" i="3"/>
  <c r="AD152" i="3"/>
  <c r="AD220" i="3"/>
  <c r="AD366" i="3"/>
  <c r="AD419" i="3"/>
  <c r="AD557" i="3"/>
  <c r="AD512" i="3"/>
  <c r="AD632" i="3"/>
  <c r="AD615" i="3"/>
  <c r="AD728" i="3"/>
  <c r="AD532" i="3"/>
  <c r="AD641" i="3"/>
  <c r="AD814" i="3"/>
  <c r="AD1001" i="3"/>
  <c r="AD90" i="3"/>
  <c r="AD260" i="3"/>
  <c r="AD213" i="3"/>
  <c r="AD353" i="3"/>
  <c r="AD363" i="3"/>
  <c r="AD426" i="3"/>
  <c r="AD454" i="3"/>
  <c r="AD602" i="3"/>
  <c r="AD590" i="3"/>
  <c r="AD539" i="3"/>
  <c r="AD560" i="3"/>
  <c r="AD681" i="3"/>
  <c r="AD548" i="3"/>
  <c r="AD790" i="3"/>
  <c r="AD691" i="3"/>
  <c r="AD965" i="3"/>
  <c r="AD795" i="3"/>
  <c r="AD943" i="3"/>
  <c r="AD899" i="3"/>
  <c r="AD890" i="3"/>
  <c r="AD767" i="3"/>
  <c r="AD993" i="3"/>
  <c r="AD22" i="3"/>
  <c r="AD378" i="3"/>
  <c r="AD459" i="3"/>
  <c r="AD578" i="3"/>
  <c r="AD543" i="3"/>
  <c r="AD556" i="3"/>
  <c r="AD996" i="3"/>
  <c r="AD189" i="3"/>
  <c r="AD166" i="3"/>
  <c r="AD224" i="3"/>
  <c r="AD485" i="3"/>
  <c r="AD403" i="3"/>
  <c r="AD499" i="3"/>
  <c r="AD676" i="3"/>
  <c r="AD757" i="3"/>
  <c r="AD998" i="3"/>
  <c r="AD59" i="3"/>
  <c r="AD610" i="3"/>
  <c r="AD623" i="3"/>
  <c r="AD836" i="3"/>
  <c r="AD825" i="3"/>
  <c r="AD945" i="3"/>
  <c r="AD136" i="3"/>
  <c r="AD122" i="3"/>
  <c r="AD269" i="3"/>
  <c r="AD501" i="3"/>
  <c r="AD707" i="3"/>
  <c r="AD934" i="3"/>
  <c r="AD54" i="3"/>
  <c r="AD95" i="3"/>
  <c r="AD133" i="3"/>
  <c r="AD210" i="3"/>
  <c r="AD177" i="3"/>
  <c r="AD286" i="3"/>
  <c r="AD502" i="3"/>
  <c r="AD574" i="3"/>
  <c r="AD488" i="3"/>
  <c r="AD710" i="3"/>
  <c r="AD961" i="3"/>
  <c r="AD931" i="3"/>
  <c r="AD51" i="3"/>
  <c r="AD44" i="3"/>
  <c r="AD153" i="3"/>
  <c r="AD203" i="3"/>
  <c r="AD288" i="3"/>
  <c r="AD725" i="3"/>
  <c r="AD723" i="3"/>
  <c r="AD938" i="3"/>
  <c r="AD886" i="3"/>
  <c r="AD983" i="3"/>
  <c r="AD15" i="3"/>
  <c r="AD108" i="3"/>
  <c r="AD101" i="3"/>
  <c r="AD401" i="3"/>
  <c r="AD390" i="3"/>
  <c r="AD437" i="3"/>
  <c r="AD493" i="3"/>
  <c r="AD482" i="3"/>
  <c r="AD533" i="3"/>
  <c r="AD620" i="3"/>
  <c r="AD766" i="3"/>
  <c r="AD762" i="3"/>
  <c r="AD729" i="3"/>
  <c r="AD743" i="3"/>
  <c r="AD796" i="3"/>
  <c r="AD980" i="3"/>
  <c r="AD226" i="3"/>
  <c r="AD428" i="3"/>
  <c r="AD145" i="3"/>
  <c r="AD191" i="3"/>
  <c r="AD267" i="3"/>
  <c r="AD470" i="3"/>
  <c r="AD625" i="3"/>
  <c r="AD230" i="3"/>
  <c r="AD554" i="3"/>
  <c r="AD846" i="3"/>
  <c r="AD969" i="3"/>
  <c r="AD227" i="3"/>
  <c r="AD405" i="3"/>
  <c r="AD394" i="3"/>
  <c r="AD407" i="3"/>
  <c r="AD733" i="3"/>
  <c r="AD758" i="3"/>
  <c r="AD819" i="3"/>
  <c r="AD869" i="3"/>
  <c r="AD783" i="3"/>
  <c r="AD959" i="3"/>
  <c r="AD17" i="3"/>
  <c r="AD14" i="3"/>
  <c r="AD268" i="3"/>
  <c r="AD357" i="3"/>
  <c r="AD445" i="3"/>
  <c r="AD599" i="3"/>
  <c r="AD613" i="3"/>
  <c r="AD709" i="3"/>
  <c r="AD706" i="3"/>
  <c r="AD748" i="3"/>
  <c r="AD734" i="3"/>
  <c r="AD922" i="3"/>
  <c r="AD48" i="3"/>
  <c r="AD207" i="3"/>
  <c r="AD296" i="3"/>
  <c r="AD410" i="3"/>
  <c r="AD752" i="3"/>
  <c r="AD749" i="3"/>
  <c r="AD777" i="3"/>
  <c r="AD799" i="3"/>
  <c r="AD872" i="3"/>
  <c r="AD24" i="3"/>
  <c r="AD30" i="3"/>
  <c r="AD43" i="3"/>
  <c r="AD274" i="3"/>
  <c r="AD255" i="3"/>
  <c r="AD309" i="3"/>
  <c r="AD425" i="3"/>
  <c r="AD517" i="3"/>
  <c r="AD467" i="3"/>
  <c r="AD580" i="3"/>
  <c r="AD856" i="3"/>
  <c r="AD853" i="3"/>
  <c r="AD722" i="3"/>
  <c r="AD700" i="3"/>
  <c r="AD689" i="3"/>
  <c r="AD937" i="3"/>
  <c r="AD193" i="3"/>
  <c r="AD155" i="3"/>
  <c r="AD349" i="3"/>
  <c r="AD338" i="3"/>
  <c r="AD388" i="3"/>
  <c r="AD384" i="3"/>
  <c r="AD319" i="3"/>
  <c r="AD411" i="3"/>
  <c r="AD765" i="3"/>
  <c r="AD726" i="3"/>
  <c r="AD952" i="3"/>
  <c r="AD803" i="3"/>
  <c r="AD977" i="3"/>
  <c r="AD844" i="3"/>
  <c r="AD990" i="3"/>
  <c r="AD947" i="3"/>
  <c r="AD991" i="3"/>
  <c r="AD781" i="3"/>
  <c r="AD809" i="3"/>
  <c r="AD429" i="3"/>
  <c r="AD379" i="3"/>
  <c r="AD106" i="3"/>
  <c r="AD306" i="3"/>
  <c r="AD761" i="3"/>
  <c r="AD170" i="3"/>
  <c r="AD515" i="3"/>
  <c r="AD505" i="3"/>
  <c r="AD712" i="3"/>
  <c r="AD960" i="3"/>
  <c r="AD973" i="3"/>
  <c r="AD967" i="3"/>
  <c r="AD57" i="3"/>
  <c r="AD222" i="3"/>
  <c r="AD280" i="3"/>
  <c r="AD326" i="3"/>
  <c r="AD315" i="3"/>
  <c r="AD432" i="3"/>
  <c r="AD371" i="3"/>
  <c r="AD477" i="3"/>
  <c r="AD626" i="3"/>
  <c r="AD661" i="3"/>
  <c r="AD617" i="3"/>
  <c r="AD838" i="3"/>
  <c r="AD864" i="3"/>
  <c r="AD949" i="3"/>
  <c r="AD910" i="3"/>
  <c r="AD237" i="3"/>
  <c r="AD313" i="3"/>
  <c r="AD302" i="3"/>
  <c r="AD397" i="3"/>
  <c r="AD450" i="3"/>
  <c r="AD489" i="3"/>
  <c r="AD586" i="3"/>
  <c r="AD817" i="3"/>
  <c r="AD751" i="3"/>
  <c r="AD912" i="3"/>
  <c r="AD874" i="3"/>
  <c r="AD875" i="3"/>
  <c r="AD114" i="3"/>
  <c r="AD238" i="3"/>
  <c r="AD435" i="3"/>
  <c r="AD507" i="3"/>
  <c r="AD563" i="3"/>
  <c r="AD654" i="3"/>
  <c r="AD768" i="3"/>
  <c r="AD857" i="3"/>
  <c r="AD843" i="3"/>
  <c r="AD132" i="3"/>
  <c r="AD484" i="3"/>
  <c r="AD659" i="3"/>
  <c r="AD954" i="3"/>
  <c r="AD891" i="3"/>
  <c r="AD330" i="3"/>
  <c r="AD295" i="3"/>
  <c r="AD510" i="3"/>
  <c r="AD649" i="3"/>
  <c r="AD785" i="3"/>
  <c r="AD782" i="3"/>
  <c r="AD658" i="3"/>
  <c r="AD868" i="3"/>
  <c r="AD957" i="3"/>
  <c r="AD264" i="3"/>
  <c r="AD290" i="3"/>
  <c r="AD317" i="3"/>
  <c r="AD497" i="3"/>
  <c r="AD487" i="3"/>
  <c r="AD569" i="3"/>
  <c r="AD559" i="3"/>
  <c r="AD861" i="3"/>
  <c r="AD997" i="3"/>
  <c r="AD882" i="3"/>
  <c r="AD881" i="3"/>
  <c r="AD19" i="3"/>
  <c r="AD434" i="3"/>
  <c r="AD526" i="3"/>
  <c r="AD370" i="3"/>
  <c r="AD504" i="3"/>
  <c r="AD650" i="3"/>
  <c r="AD837" i="3"/>
  <c r="AD834" i="3"/>
  <c r="AD862" i="3"/>
  <c r="AD823" i="3"/>
  <c r="AD180" i="3"/>
  <c r="AD223" i="3"/>
  <c r="AD234" i="3"/>
  <c r="AD283" i="3"/>
  <c r="AD147" i="3"/>
  <c r="AD464" i="3"/>
  <c r="AD638" i="3"/>
  <c r="AD863" i="3"/>
  <c r="AD897" i="3"/>
  <c r="AD45" i="3"/>
  <c r="AD76" i="3"/>
  <c r="AD98" i="3"/>
  <c r="AD262" i="3"/>
  <c r="AD314" i="3"/>
  <c r="AD408" i="3"/>
  <c r="AD495" i="3"/>
  <c r="AD478" i="3"/>
  <c r="AD550" i="3"/>
  <c r="AD678" i="3"/>
  <c r="AD680" i="3"/>
  <c r="AD665" i="3"/>
  <c r="AD850" i="3"/>
  <c r="AD168" i="3"/>
  <c r="AD195" i="3"/>
  <c r="AD232" i="3"/>
  <c r="AD199" i="3"/>
  <c r="AD340" i="3"/>
  <c r="AD373" i="3"/>
  <c r="AD465" i="3"/>
  <c r="AD562" i="3"/>
  <c r="AD642" i="3"/>
  <c r="AD701" i="3"/>
  <c r="AD698" i="3"/>
  <c r="AD889" i="3"/>
  <c r="AD901" i="3"/>
  <c r="AD916" i="3"/>
  <c r="D67" i="1" l="1"/>
  <c r="R18" i="1"/>
  <c r="S18" i="1" s="1"/>
  <c r="AB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F18" i="1"/>
  <c r="AG18" i="1" s="1"/>
  <c r="AK18" i="1" s="1"/>
  <c r="AF26" i="1"/>
  <c r="AG26" i="1" s="1"/>
  <c r="AF34" i="1"/>
  <c r="AG34" i="1" s="1"/>
  <c r="AF42" i="1"/>
  <c r="AG42" i="1" s="1"/>
  <c r="AF50" i="1"/>
  <c r="AG50" i="1" s="1"/>
  <c r="AF58" i="1"/>
  <c r="AG58" i="1" s="1"/>
  <c r="AF66" i="1"/>
  <c r="AG66" i="1" s="1"/>
  <c r="AF74" i="1"/>
  <c r="AG74" i="1" s="1"/>
  <c r="AF82" i="1"/>
  <c r="AG82" i="1" s="1"/>
  <c r="AF90" i="1"/>
  <c r="AG90" i="1" s="1"/>
  <c r="AF98" i="1"/>
  <c r="AG98" i="1" s="1"/>
  <c r="AF106" i="1"/>
  <c r="AG106" i="1" s="1"/>
  <c r="AF114" i="1"/>
  <c r="AG114" i="1" s="1"/>
  <c r="AF122" i="1"/>
  <c r="AG122" i="1" s="1"/>
  <c r="AF130" i="1"/>
  <c r="AG130" i="1" s="1"/>
  <c r="AF138" i="1"/>
  <c r="AG138" i="1" s="1"/>
  <c r="AF146" i="1"/>
  <c r="AG146" i="1" s="1"/>
  <c r="AF154" i="1"/>
  <c r="AG154" i="1" s="1"/>
  <c r="AF162" i="1"/>
  <c r="AG162" i="1" s="1"/>
  <c r="AF170" i="1"/>
  <c r="AG170" i="1" s="1"/>
  <c r="AF178" i="1"/>
  <c r="AG178" i="1" s="1"/>
  <c r="AF186" i="1"/>
  <c r="AG186" i="1" s="1"/>
  <c r="AF194" i="1"/>
  <c r="AG194" i="1" s="1"/>
  <c r="AF202" i="1"/>
  <c r="AG202" i="1" s="1"/>
  <c r="AF210" i="1"/>
  <c r="AG210" i="1" s="1"/>
  <c r="AF218" i="1"/>
  <c r="AG218" i="1" s="1"/>
  <c r="AF226" i="1"/>
  <c r="AG226" i="1" s="1"/>
  <c r="AF234" i="1"/>
  <c r="AG234" i="1" s="1"/>
  <c r="AF242" i="1"/>
  <c r="AG242" i="1" s="1"/>
  <c r="AF250" i="1"/>
  <c r="AG250" i="1" s="1"/>
  <c r="AF258" i="1"/>
  <c r="AG258" i="1" s="1"/>
  <c r="AF266" i="1"/>
  <c r="AG266" i="1" s="1"/>
  <c r="AF274" i="1"/>
  <c r="AG274" i="1" s="1"/>
  <c r="AF282" i="1"/>
  <c r="AG282" i="1" s="1"/>
  <c r="AF290" i="1"/>
  <c r="AG290" i="1" s="1"/>
  <c r="AF298" i="1"/>
  <c r="AG298" i="1" s="1"/>
  <c r="AF306" i="1"/>
  <c r="AG306" i="1" s="1"/>
  <c r="AF314" i="1"/>
  <c r="AG314" i="1" s="1"/>
  <c r="AF322" i="1"/>
  <c r="AG322" i="1" s="1"/>
  <c r="AF330" i="1"/>
  <c r="AG330" i="1" s="1"/>
  <c r="AF338" i="1"/>
  <c r="AG338" i="1" s="1"/>
  <c r="AF346" i="1"/>
  <c r="AG346" i="1" s="1"/>
  <c r="AF354" i="1"/>
  <c r="AG354" i="1" s="1"/>
  <c r="AF362" i="1"/>
  <c r="AG362" i="1" s="1"/>
  <c r="AF370" i="1"/>
  <c r="AG370" i="1" s="1"/>
  <c r="AF378" i="1"/>
  <c r="AG378" i="1" s="1"/>
  <c r="AF386" i="1"/>
  <c r="AG386" i="1" s="1"/>
  <c r="AF394" i="1"/>
  <c r="AG394" i="1" s="1"/>
  <c r="AF402" i="1"/>
  <c r="AG402" i="1" s="1"/>
  <c r="AF410" i="1"/>
  <c r="AG410" i="1" s="1"/>
  <c r="AF418" i="1"/>
  <c r="AG418" i="1" s="1"/>
  <c r="AF426" i="1"/>
  <c r="AG426" i="1" s="1"/>
  <c r="AF434" i="1"/>
  <c r="AG434" i="1" s="1"/>
  <c r="AF442" i="1"/>
  <c r="AG442" i="1" s="1"/>
  <c r="AF450" i="1"/>
  <c r="AG450" i="1" s="1"/>
  <c r="AF458" i="1"/>
  <c r="AG458" i="1" s="1"/>
  <c r="AF466" i="1"/>
  <c r="AG466" i="1" s="1"/>
  <c r="AF474" i="1"/>
  <c r="AG474" i="1" s="1"/>
  <c r="AF482" i="1"/>
  <c r="AG482" i="1" s="1"/>
  <c r="AF490" i="1"/>
  <c r="AG490" i="1" s="1"/>
  <c r="AF498" i="1"/>
  <c r="AG498" i="1" s="1"/>
  <c r="AF506" i="1"/>
  <c r="AG506" i="1" s="1"/>
  <c r="AF514" i="1"/>
  <c r="AG514" i="1" s="1"/>
  <c r="AF522" i="1"/>
  <c r="AG522" i="1" s="1"/>
  <c r="AF530" i="1"/>
  <c r="AG530" i="1" s="1"/>
  <c r="AF538" i="1"/>
  <c r="AG538" i="1" s="1"/>
  <c r="AF546" i="1"/>
  <c r="AG546" i="1" s="1"/>
  <c r="AF554" i="1"/>
  <c r="AG554" i="1" s="1"/>
  <c r="AF562" i="1"/>
  <c r="AG562" i="1" s="1"/>
  <c r="AF570" i="1"/>
  <c r="AG570" i="1" s="1"/>
  <c r="AF578" i="1"/>
  <c r="AG578" i="1" s="1"/>
  <c r="AF586" i="1"/>
  <c r="AG586" i="1" s="1"/>
  <c r="AF594" i="1"/>
  <c r="AG594" i="1" s="1"/>
  <c r="AF602" i="1"/>
  <c r="AG602" i="1" s="1"/>
  <c r="AF610" i="1"/>
  <c r="AG610" i="1" s="1"/>
  <c r="AF618" i="1"/>
  <c r="AG618" i="1" s="1"/>
  <c r="AF626" i="1"/>
  <c r="AG626" i="1" s="1"/>
  <c r="AF634" i="1"/>
  <c r="AG634" i="1" s="1"/>
  <c r="AF642" i="1"/>
  <c r="AG642" i="1" s="1"/>
  <c r="AF650" i="1"/>
  <c r="AG650" i="1" s="1"/>
  <c r="AF658" i="1"/>
  <c r="AG658" i="1" s="1"/>
  <c r="AF29" i="1"/>
  <c r="AG29" i="1" s="1"/>
  <c r="AF19" i="1"/>
  <c r="AG19" i="1" s="1"/>
  <c r="AF27" i="1"/>
  <c r="AG27" i="1" s="1"/>
  <c r="AF35" i="1"/>
  <c r="AG35" i="1" s="1"/>
  <c r="AF43" i="1"/>
  <c r="AG43" i="1" s="1"/>
  <c r="AF51" i="1"/>
  <c r="AG51" i="1" s="1"/>
  <c r="AF59" i="1"/>
  <c r="AG59" i="1" s="1"/>
  <c r="AF67" i="1"/>
  <c r="AG67" i="1" s="1"/>
  <c r="AF75" i="1"/>
  <c r="AG75" i="1" s="1"/>
  <c r="AF83" i="1"/>
  <c r="AG83" i="1" s="1"/>
  <c r="AF91" i="1"/>
  <c r="AG91" i="1" s="1"/>
  <c r="AF99" i="1"/>
  <c r="AG99" i="1" s="1"/>
  <c r="AF107" i="1"/>
  <c r="AG107" i="1" s="1"/>
  <c r="AF115" i="1"/>
  <c r="AG115" i="1" s="1"/>
  <c r="AF123" i="1"/>
  <c r="AG123" i="1" s="1"/>
  <c r="AF131" i="1"/>
  <c r="AG131" i="1" s="1"/>
  <c r="AF139" i="1"/>
  <c r="AG139" i="1" s="1"/>
  <c r="AF147" i="1"/>
  <c r="AG147" i="1" s="1"/>
  <c r="AF155" i="1"/>
  <c r="AG155" i="1" s="1"/>
  <c r="AF163" i="1"/>
  <c r="AG163" i="1" s="1"/>
  <c r="AF171" i="1"/>
  <c r="AG171" i="1" s="1"/>
  <c r="AF179" i="1"/>
  <c r="AG179" i="1" s="1"/>
  <c r="AF187" i="1"/>
  <c r="AG187" i="1" s="1"/>
  <c r="AF195" i="1"/>
  <c r="AG195" i="1" s="1"/>
  <c r="AF203" i="1"/>
  <c r="AG203" i="1" s="1"/>
  <c r="AF211" i="1"/>
  <c r="AG211" i="1" s="1"/>
  <c r="AF219" i="1"/>
  <c r="AG219" i="1" s="1"/>
  <c r="AF227" i="1"/>
  <c r="AG227" i="1" s="1"/>
  <c r="AF235" i="1"/>
  <c r="AG235" i="1" s="1"/>
  <c r="AF243" i="1"/>
  <c r="AG243" i="1" s="1"/>
  <c r="AF251" i="1"/>
  <c r="AG251" i="1" s="1"/>
  <c r="AF259" i="1"/>
  <c r="AG259" i="1" s="1"/>
  <c r="AF267" i="1"/>
  <c r="AG267" i="1" s="1"/>
  <c r="AF275" i="1"/>
  <c r="AG275" i="1" s="1"/>
  <c r="AF283" i="1"/>
  <c r="AG283" i="1" s="1"/>
  <c r="AF291" i="1"/>
  <c r="AG291" i="1" s="1"/>
  <c r="AF299" i="1"/>
  <c r="AG299" i="1" s="1"/>
  <c r="AF307" i="1"/>
  <c r="AG307" i="1" s="1"/>
  <c r="AF315" i="1"/>
  <c r="AG315" i="1" s="1"/>
  <c r="AF323" i="1"/>
  <c r="AG323" i="1" s="1"/>
  <c r="AF331" i="1"/>
  <c r="AG331" i="1" s="1"/>
  <c r="AF339" i="1"/>
  <c r="AG339" i="1" s="1"/>
  <c r="AF347" i="1"/>
  <c r="AG347" i="1" s="1"/>
  <c r="AF355" i="1"/>
  <c r="AG355" i="1" s="1"/>
  <c r="AF363" i="1"/>
  <c r="AG363" i="1" s="1"/>
  <c r="AF371" i="1"/>
  <c r="AG371" i="1" s="1"/>
  <c r="AF379" i="1"/>
  <c r="AG379" i="1" s="1"/>
  <c r="AF387" i="1"/>
  <c r="AG387" i="1" s="1"/>
  <c r="AF395" i="1"/>
  <c r="AG395" i="1" s="1"/>
  <c r="AF403" i="1"/>
  <c r="AG403" i="1" s="1"/>
  <c r="AF411" i="1"/>
  <c r="AG411" i="1" s="1"/>
  <c r="AF419" i="1"/>
  <c r="AG419" i="1" s="1"/>
  <c r="AF427" i="1"/>
  <c r="AG427" i="1" s="1"/>
  <c r="AF435" i="1"/>
  <c r="AG435" i="1" s="1"/>
  <c r="AF443" i="1"/>
  <c r="AG443" i="1" s="1"/>
  <c r="AF451" i="1"/>
  <c r="AG451" i="1" s="1"/>
  <c r="AF459" i="1"/>
  <c r="AG459" i="1" s="1"/>
  <c r="AF467" i="1"/>
  <c r="AG467" i="1" s="1"/>
  <c r="AF475" i="1"/>
  <c r="AG475" i="1" s="1"/>
  <c r="AF483" i="1"/>
  <c r="AG483" i="1" s="1"/>
  <c r="AF491" i="1"/>
  <c r="AG491" i="1" s="1"/>
  <c r="AF499" i="1"/>
  <c r="AG499" i="1" s="1"/>
  <c r="AF507" i="1"/>
  <c r="AG507" i="1" s="1"/>
  <c r="AF515" i="1"/>
  <c r="AG515" i="1" s="1"/>
  <c r="AF523" i="1"/>
  <c r="AG523" i="1" s="1"/>
  <c r="AF531" i="1"/>
  <c r="AG531" i="1" s="1"/>
  <c r="AF539" i="1"/>
  <c r="AG539" i="1" s="1"/>
  <c r="AF547" i="1"/>
  <c r="AG547" i="1" s="1"/>
  <c r="AF555" i="1"/>
  <c r="AG555" i="1" s="1"/>
  <c r="AF563" i="1"/>
  <c r="AG563" i="1" s="1"/>
  <c r="AF571" i="1"/>
  <c r="AG571" i="1" s="1"/>
  <c r="AF579" i="1"/>
  <c r="AG579" i="1" s="1"/>
  <c r="AF587" i="1"/>
  <c r="AG587" i="1" s="1"/>
  <c r="AF595" i="1"/>
  <c r="AG595" i="1" s="1"/>
  <c r="AF603" i="1"/>
  <c r="AG603" i="1" s="1"/>
  <c r="AF611" i="1"/>
  <c r="AG611" i="1" s="1"/>
  <c r="AF619" i="1"/>
  <c r="AG619" i="1" s="1"/>
  <c r="AF627" i="1"/>
  <c r="AG627" i="1" s="1"/>
  <c r="AF635" i="1"/>
  <c r="AG635" i="1" s="1"/>
  <c r="AF643" i="1"/>
  <c r="AG643" i="1" s="1"/>
  <c r="AF651" i="1"/>
  <c r="AG651" i="1" s="1"/>
  <c r="AF659" i="1"/>
  <c r="AG659" i="1" s="1"/>
  <c r="AF20" i="1"/>
  <c r="AG20" i="1" s="1"/>
  <c r="AF28" i="1"/>
  <c r="AG28" i="1" s="1"/>
  <c r="AF36" i="1"/>
  <c r="AG36" i="1" s="1"/>
  <c r="AF44" i="1"/>
  <c r="AG44" i="1" s="1"/>
  <c r="AF52" i="1"/>
  <c r="AG52" i="1" s="1"/>
  <c r="AF60" i="1"/>
  <c r="AG60" i="1" s="1"/>
  <c r="AF68" i="1"/>
  <c r="AG68" i="1" s="1"/>
  <c r="AF76" i="1"/>
  <c r="AG76" i="1" s="1"/>
  <c r="AF84" i="1"/>
  <c r="AG84" i="1" s="1"/>
  <c r="AF92" i="1"/>
  <c r="AG92" i="1" s="1"/>
  <c r="AF100" i="1"/>
  <c r="AG100" i="1" s="1"/>
  <c r="AF108" i="1"/>
  <c r="AG108" i="1" s="1"/>
  <c r="AF116" i="1"/>
  <c r="AG116" i="1" s="1"/>
  <c r="AF124" i="1"/>
  <c r="AG124" i="1" s="1"/>
  <c r="AF132" i="1"/>
  <c r="AG132" i="1" s="1"/>
  <c r="AF140" i="1"/>
  <c r="AG140" i="1" s="1"/>
  <c r="AF148" i="1"/>
  <c r="AG148" i="1" s="1"/>
  <c r="AF156" i="1"/>
  <c r="AG156" i="1" s="1"/>
  <c r="AF164" i="1"/>
  <c r="AG164" i="1" s="1"/>
  <c r="AF172" i="1"/>
  <c r="AG172" i="1" s="1"/>
  <c r="AF180" i="1"/>
  <c r="AG180" i="1" s="1"/>
  <c r="AF188" i="1"/>
  <c r="AG188" i="1" s="1"/>
  <c r="AF196" i="1"/>
  <c r="AG196" i="1" s="1"/>
  <c r="AF204" i="1"/>
  <c r="AG204" i="1" s="1"/>
  <c r="AF212" i="1"/>
  <c r="AG212" i="1" s="1"/>
  <c r="AF220" i="1"/>
  <c r="AG220" i="1" s="1"/>
  <c r="AF228" i="1"/>
  <c r="AG228" i="1" s="1"/>
  <c r="AF236" i="1"/>
  <c r="AG236" i="1" s="1"/>
  <c r="AF244" i="1"/>
  <c r="AG244" i="1" s="1"/>
  <c r="AF252" i="1"/>
  <c r="AG252" i="1" s="1"/>
  <c r="AF260" i="1"/>
  <c r="AG260" i="1" s="1"/>
  <c r="AF268" i="1"/>
  <c r="AG268" i="1" s="1"/>
  <c r="AF276" i="1"/>
  <c r="AG276" i="1" s="1"/>
  <c r="AF284" i="1"/>
  <c r="AG284" i="1" s="1"/>
  <c r="AF292" i="1"/>
  <c r="AG292" i="1" s="1"/>
  <c r="AF300" i="1"/>
  <c r="AG300" i="1" s="1"/>
  <c r="AF308" i="1"/>
  <c r="AG308" i="1" s="1"/>
  <c r="AF316" i="1"/>
  <c r="AG316" i="1" s="1"/>
  <c r="AF324" i="1"/>
  <c r="AG324" i="1" s="1"/>
  <c r="AF332" i="1"/>
  <c r="AG332" i="1" s="1"/>
  <c r="AF340" i="1"/>
  <c r="AG340" i="1" s="1"/>
  <c r="AF348" i="1"/>
  <c r="AG348" i="1" s="1"/>
  <c r="AF356" i="1"/>
  <c r="AG356" i="1" s="1"/>
  <c r="AF364" i="1"/>
  <c r="AG364" i="1" s="1"/>
  <c r="AF372" i="1"/>
  <c r="AG372" i="1" s="1"/>
  <c r="AF380" i="1"/>
  <c r="AG380" i="1" s="1"/>
  <c r="AF388" i="1"/>
  <c r="AG388" i="1" s="1"/>
  <c r="AF396" i="1"/>
  <c r="AG396" i="1" s="1"/>
  <c r="AF404" i="1"/>
  <c r="AG404" i="1" s="1"/>
  <c r="AF412" i="1"/>
  <c r="AG412" i="1" s="1"/>
  <c r="AF420" i="1"/>
  <c r="AG420" i="1" s="1"/>
  <c r="AF428" i="1"/>
  <c r="AG428" i="1" s="1"/>
  <c r="AF436" i="1"/>
  <c r="AG436" i="1" s="1"/>
  <c r="AF444" i="1"/>
  <c r="AG444" i="1" s="1"/>
  <c r="AF452" i="1"/>
  <c r="AG452" i="1" s="1"/>
  <c r="AF460" i="1"/>
  <c r="AG460" i="1" s="1"/>
  <c r="AF468" i="1"/>
  <c r="AG468" i="1" s="1"/>
  <c r="AF476" i="1"/>
  <c r="AG476" i="1" s="1"/>
  <c r="AF484" i="1"/>
  <c r="AG484" i="1" s="1"/>
  <c r="AF492" i="1"/>
  <c r="AG492" i="1" s="1"/>
  <c r="AF500" i="1"/>
  <c r="AG500" i="1" s="1"/>
  <c r="AF508" i="1"/>
  <c r="AG508" i="1" s="1"/>
  <c r="AF516" i="1"/>
  <c r="AG516" i="1" s="1"/>
  <c r="AF524" i="1"/>
  <c r="AG524" i="1" s="1"/>
  <c r="AF532" i="1"/>
  <c r="AG532" i="1" s="1"/>
  <c r="AF540" i="1"/>
  <c r="AG540" i="1" s="1"/>
  <c r="AF548" i="1"/>
  <c r="AG548" i="1" s="1"/>
  <c r="AF556" i="1"/>
  <c r="AG556" i="1" s="1"/>
  <c r="AF564" i="1"/>
  <c r="AG564" i="1" s="1"/>
  <c r="AF572" i="1"/>
  <c r="AG572" i="1" s="1"/>
  <c r="AF580" i="1"/>
  <c r="AG580" i="1" s="1"/>
  <c r="AF588" i="1"/>
  <c r="AG588" i="1" s="1"/>
  <c r="AF596" i="1"/>
  <c r="AG596" i="1" s="1"/>
  <c r="AF604" i="1"/>
  <c r="AG604" i="1" s="1"/>
  <c r="AF612" i="1"/>
  <c r="AG612" i="1" s="1"/>
  <c r="AF620" i="1"/>
  <c r="AG620" i="1" s="1"/>
  <c r="AF628" i="1"/>
  <c r="AG628" i="1" s="1"/>
  <c r="AF636" i="1"/>
  <c r="AG636" i="1" s="1"/>
  <c r="AF644" i="1"/>
  <c r="AG644" i="1" s="1"/>
  <c r="AF652" i="1"/>
  <c r="AG652" i="1" s="1"/>
  <c r="AF660" i="1"/>
  <c r="AG660" i="1" s="1"/>
  <c r="AF21" i="1"/>
  <c r="AG21" i="1" s="1"/>
  <c r="AF37" i="1"/>
  <c r="AG37" i="1" s="1"/>
  <c r="AF45" i="1"/>
  <c r="AG45" i="1" s="1"/>
  <c r="AF53" i="1"/>
  <c r="AG53" i="1" s="1"/>
  <c r="AF22" i="1"/>
  <c r="AG22" i="1" s="1"/>
  <c r="AF30" i="1"/>
  <c r="AG30" i="1" s="1"/>
  <c r="AF38" i="1"/>
  <c r="AG38" i="1" s="1"/>
  <c r="AF46" i="1"/>
  <c r="AG46" i="1" s="1"/>
  <c r="AF54" i="1"/>
  <c r="AG54" i="1" s="1"/>
  <c r="AF62" i="1"/>
  <c r="AG62" i="1" s="1"/>
  <c r="AF70" i="1"/>
  <c r="AG70" i="1" s="1"/>
  <c r="AF78" i="1"/>
  <c r="AG78" i="1" s="1"/>
  <c r="AF86" i="1"/>
  <c r="AG86" i="1" s="1"/>
  <c r="AF94" i="1"/>
  <c r="AG94" i="1" s="1"/>
  <c r="AF102" i="1"/>
  <c r="AG102" i="1" s="1"/>
  <c r="AF110" i="1"/>
  <c r="AG110" i="1" s="1"/>
  <c r="AF118" i="1"/>
  <c r="AG118" i="1" s="1"/>
  <c r="AF126" i="1"/>
  <c r="AG126" i="1" s="1"/>
  <c r="AF134" i="1"/>
  <c r="AG134" i="1" s="1"/>
  <c r="AF142" i="1"/>
  <c r="AG142" i="1" s="1"/>
  <c r="AF150" i="1"/>
  <c r="AG150" i="1" s="1"/>
  <c r="AF158" i="1"/>
  <c r="AG158" i="1" s="1"/>
  <c r="AF166" i="1"/>
  <c r="AG166" i="1" s="1"/>
  <c r="AF174" i="1"/>
  <c r="AG174" i="1" s="1"/>
  <c r="AF182" i="1"/>
  <c r="AG182" i="1" s="1"/>
  <c r="AF190" i="1"/>
  <c r="AG190" i="1" s="1"/>
  <c r="AF198" i="1"/>
  <c r="AG198" i="1" s="1"/>
  <c r="AF206" i="1"/>
  <c r="AG206" i="1" s="1"/>
  <c r="AF214" i="1"/>
  <c r="AG214" i="1" s="1"/>
  <c r="AF222" i="1"/>
  <c r="AG222" i="1" s="1"/>
  <c r="AF230" i="1"/>
  <c r="AG230" i="1" s="1"/>
  <c r="AF238" i="1"/>
  <c r="AG238" i="1" s="1"/>
  <c r="AF246" i="1"/>
  <c r="AG246" i="1" s="1"/>
  <c r="AF254" i="1"/>
  <c r="AG254" i="1" s="1"/>
  <c r="AF262" i="1"/>
  <c r="AG262" i="1" s="1"/>
  <c r="AF270" i="1"/>
  <c r="AG270" i="1" s="1"/>
  <c r="AF278" i="1"/>
  <c r="AG278" i="1" s="1"/>
  <c r="AF286" i="1"/>
  <c r="AG286" i="1" s="1"/>
  <c r="AF294" i="1"/>
  <c r="AG294" i="1" s="1"/>
  <c r="AF302" i="1"/>
  <c r="AG302" i="1" s="1"/>
  <c r="AF310" i="1"/>
  <c r="AG310" i="1" s="1"/>
  <c r="AF318" i="1"/>
  <c r="AG318" i="1" s="1"/>
  <c r="AF326" i="1"/>
  <c r="AG326" i="1" s="1"/>
  <c r="AF334" i="1"/>
  <c r="AG334" i="1" s="1"/>
  <c r="AF342" i="1"/>
  <c r="AG342" i="1" s="1"/>
  <c r="AF350" i="1"/>
  <c r="AG350" i="1" s="1"/>
  <c r="AF358" i="1"/>
  <c r="AG358" i="1" s="1"/>
  <c r="AF366" i="1"/>
  <c r="AG366" i="1" s="1"/>
  <c r="AF374" i="1"/>
  <c r="AG374" i="1" s="1"/>
  <c r="AF382" i="1"/>
  <c r="AG382" i="1" s="1"/>
  <c r="AF390" i="1"/>
  <c r="AG390" i="1" s="1"/>
  <c r="AF398" i="1"/>
  <c r="AG398" i="1" s="1"/>
  <c r="AF406" i="1"/>
  <c r="AG406" i="1" s="1"/>
  <c r="AF414" i="1"/>
  <c r="AG414" i="1" s="1"/>
  <c r="AF422" i="1"/>
  <c r="AG422" i="1" s="1"/>
  <c r="AF430" i="1"/>
  <c r="AG430" i="1" s="1"/>
  <c r="AF438" i="1"/>
  <c r="AG438" i="1" s="1"/>
  <c r="AF446" i="1"/>
  <c r="AG446" i="1" s="1"/>
  <c r="AF454" i="1"/>
  <c r="AG454" i="1" s="1"/>
  <c r="AF462" i="1"/>
  <c r="AG462" i="1" s="1"/>
  <c r="AF470" i="1"/>
  <c r="AG470" i="1" s="1"/>
  <c r="AF478" i="1"/>
  <c r="AG478" i="1" s="1"/>
  <c r="AF486" i="1"/>
  <c r="AG486" i="1" s="1"/>
  <c r="AF494" i="1"/>
  <c r="AG494" i="1" s="1"/>
  <c r="AF502" i="1"/>
  <c r="AG502" i="1" s="1"/>
  <c r="AF510" i="1"/>
  <c r="AG510" i="1" s="1"/>
  <c r="AF518" i="1"/>
  <c r="AG518" i="1" s="1"/>
  <c r="AF526" i="1"/>
  <c r="AG526" i="1" s="1"/>
  <c r="AF534" i="1"/>
  <c r="AG534" i="1" s="1"/>
  <c r="AF542" i="1"/>
  <c r="AG542" i="1" s="1"/>
  <c r="AF550" i="1"/>
  <c r="AG550" i="1" s="1"/>
  <c r="AF558" i="1"/>
  <c r="AG558" i="1" s="1"/>
  <c r="AF566" i="1"/>
  <c r="AG566" i="1" s="1"/>
  <c r="AF574" i="1"/>
  <c r="AG574" i="1" s="1"/>
  <c r="AF582" i="1"/>
  <c r="AG582" i="1" s="1"/>
  <c r="AF590" i="1"/>
  <c r="AG590" i="1" s="1"/>
  <c r="AF598" i="1"/>
  <c r="AG598" i="1" s="1"/>
  <c r="AF606" i="1"/>
  <c r="AG606" i="1" s="1"/>
  <c r="AF614" i="1"/>
  <c r="AG614" i="1" s="1"/>
  <c r="AF622" i="1"/>
  <c r="AG622" i="1" s="1"/>
  <c r="AF630" i="1"/>
  <c r="AG630" i="1" s="1"/>
  <c r="AF638" i="1"/>
  <c r="AG638" i="1" s="1"/>
  <c r="AF646" i="1"/>
  <c r="AG646" i="1" s="1"/>
  <c r="AF654" i="1"/>
  <c r="AG654" i="1" s="1"/>
  <c r="AF662" i="1"/>
  <c r="AG662" i="1" s="1"/>
  <c r="AF33" i="1"/>
  <c r="AG33" i="1" s="1"/>
  <c r="AF23" i="1"/>
  <c r="AG23" i="1" s="1"/>
  <c r="AF31" i="1"/>
  <c r="AG31" i="1" s="1"/>
  <c r="AF39" i="1"/>
  <c r="AG39" i="1" s="1"/>
  <c r="AF47" i="1"/>
  <c r="AG47" i="1" s="1"/>
  <c r="AF55" i="1"/>
  <c r="AG55" i="1" s="1"/>
  <c r="AF63" i="1"/>
  <c r="AG63" i="1" s="1"/>
  <c r="AF71" i="1"/>
  <c r="AG71" i="1" s="1"/>
  <c r="AF79" i="1"/>
  <c r="AG79" i="1" s="1"/>
  <c r="AF87" i="1"/>
  <c r="AG87" i="1" s="1"/>
  <c r="AF95" i="1"/>
  <c r="AG95" i="1" s="1"/>
  <c r="AF103" i="1"/>
  <c r="AG103" i="1" s="1"/>
  <c r="AF111" i="1"/>
  <c r="AG111" i="1" s="1"/>
  <c r="AF119" i="1"/>
  <c r="AG119" i="1" s="1"/>
  <c r="AF127" i="1"/>
  <c r="AG127" i="1" s="1"/>
  <c r="AF135" i="1"/>
  <c r="AG135" i="1" s="1"/>
  <c r="AF143" i="1"/>
  <c r="AG143" i="1" s="1"/>
  <c r="AF151" i="1"/>
  <c r="AG151" i="1" s="1"/>
  <c r="AF159" i="1"/>
  <c r="AG159" i="1" s="1"/>
  <c r="AF167" i="1"/>
  <c r="AG167" i="1" s="1"/>
  <c r="AF175" i="1"/>
  <c r="AG175" i="1" s="1"/>
  <c r="AF183" i="1"/>
  <c r="AG183" i="1" s="1"/>
  <c r="AF191" i="1"/>
  <c r="AG191" i="1" s="1"/>
  <c r="AF199" i="1"/>
  <c r="AG199" i="1" s="1"/>
  <c r="AF207" i="1"/>
  <c r="AG207" i="1" s="1"/>
  <c r="AF215" i="1"/>
  <c r="AG215" i="1" s="1"/>
  <c r="AF223" i="1"/>
  <c r="AG223" i="1" s="1"/>
  <c r="AF231" i="1"/>
  <c r="AG231" i="1" s="1"/>
  <c r="AF239" i="1"/>
  <c r="AG239" i="1" s="1"/>
  <c r="AF247" i="1"/>
  <c r="AG247" i="1" s="1"/>
  <c r="AF255" i="1"/>
  <c r="AG255" i="1" s="1"/>
  <c r="AF263" i="1"/>
  <c r="AG263" i="1" s="1"/>
  <c r="AF271" i="1"/>
  <c r="AG271" i="1" s="1"/>
  <c r="AF279" i="1"/>
  <c r="AG279" i="1" s="1"/>
  <c r="AF287" i="1"/>
  <c r="AG287" i="1" s="1"/>
  <c r="AF295" i="1"/>
  <c r="AG295" i="1" s="1"/>
  <c r="AF303" i="1"/>
  <c r="AG303" i="1" s="1"/>
  <c r="AF311" i="1"/>
  <c r="AG311" i="1" s="1"/>
  <c r="AF319" i="1"/>
  <c r="AG319" i="1" s="1"/>
  <c r="AF327" i="1"/>
  <c r="AG327" i="1" s="1"/>
  <c r="AF335" i="1"/>
  <c r="AG335" i="1" s="1"/>
  <c r="AF343" i="1"/>
  <c r="AG343" i="1" s="1"/>
  <c r="AF351" i="1"/>
  <c r="AG351" i="1" s="1"/>
  <c r="AF359" i="1"/>
  <c r="AG359" i="1" s="1"/>
  <c r="AF367" i="1"/>
  <c r="AG367" i="1" s="1"/>
  <c r="AF375" i="1"/>
  <c r="AG375" i="1" s="1"/>
  <c r="AF383" i="1"/>
  <c r="AG383" i="1" s="1"/>
  <c r="AF391" i="1"/>
  <c r="AG391" i="1" s="1"/>
  <c r="AF399" i="1"/>
  <c r="AG399" i="1" s="1"/>
  <c r="AF407" i="1"/>
  <c r="AG407" i="1" s="1"/>
  <c r="AF415" i="1"/>
  <c r="AG415" i="1" s="1"/>
  <c r="AF423" i="1"/>
  <c r="AG423" i="1" s="1"/>
  <c r="AF431" i="1"/>
  <c r="AG431" i="1" s="1"/>
  <c r="AF439" i="1"/>
  <c r="AG439" i="1" s="1"/>
  <c r="AF447" i="1"/>
  <c r="AG447" i="1" s="1"/>
  <c r="AF455" i="1"/>
  <c r="AG455" i="1" s="1"/>
  <c r="AF463" i="1"/>
  <c r="AG463" i="1" s="1"/>
  <c r="AF471" i="1"/>
  <c r="AG471" i="1" s="1"/>
  <c r="AF479" i="1"/>
  <c r="AG479" i="1" s="1"/>
  <c r="AF487" i="1"/>
  <c r="AG487" i="1" s="1"/>
  <c r="AF495" i="1"/>
  <c r="AG495" i="1" s="1"/>
  <c r="AF503" i="1"/>
  <c r="AG503" i="1" s="1"/>
  <c r="AF511" i="1"/>
  <c r="AG511" i="1" s="1"/>
  <c r="AF519" i="1"/>
  <c r="AG519" i="1" s="1"/>
  <c r="AF527" i="1"/>
  <c r="AG527" i="1" s="1"/>
  <c r="AF535" i="1"/>
  <c r="AG535" i="1" s="1"/>
  <c r="AF543" i="1"/>
  <c r="AG543" i="1" s="1"/>
  <c r="AF551" i="1"/>
  <c r="AG551" i="1" s="1"/>
  <c r="AF559" i="1"/>
  <c r="AG559" i="1" s="1"/>
  <c r="AF567" i="1"/>
  <c r="AG567" i="1" s="1"/>
  <c r="AF575" i="1"/>
  <c r="AG575" i="1" s="1"/>
  <c r="AF583" i="1"/>
  <c r="AG583" i="1" s="1"/>
  <c r="AF591" i="1"/>
  <c r="AG591" i="1" s="1"/>
  <c r="AF599" i="1"/>
  <c r="AG599" i="1" s="1"/>
  <c r="AF607" i="1"/>
  <c r="AG607" i="1" s="1"/>
  <c r="AF615" i="1"/>
  <c r="AG615" i="1" s="1"/>
  <c r="AF623" i="1"/>
  <c r="AG623" i="1" s="1"/>
  <c r="AF631" i="1"/>
  <c r="AG631" i="1" s="1"/>
  <c r="AF639" i="1"/>
  <c r="AG639" i="1" s="1"/>
  <c r="AF647" i="1"/>
  <c r="AG647" i="1" s="1"/>
  <c r="AF655" i="1"/>
  <c r="AG655" i="1" s="1"/>
  <c r="AF25" i="1"/>
  <c r="AG25" i="1" s="1"/>
  <c r="AF24" i="1"/>
  <c r="AG24" i="1" s="1"/>
  <c r="AF32" i="1"/>
  <c r="AG32" i="1" s="1"/>
  <c r="AF40" i="1"/>
  <c r="AG40" i="1" s="1"/>
  <c r="AF48" i="1"/>
  <c r="AG48" i="1" s="1"/>
  <c r="AF56" i="1"/>
  <c r="AG56" i="1" s="1"/>
  <c r="AF64" i="1"/>
  <c r="AG64" i="1" s="1"/>
  <c r="AF72" i="1"/>
  <c r="AG72" i="1" s="1"/>
  <c r="AF80" i="1"/>
  <c r="AG80" i="1" s="1"/>
  <c r="AF88" i="1"/>
  <c r="AG88" i="1" s="1"/>
  <c r="AF96" i="1"/>
  <c r="AG96" i="1" s="1"/>
  <c r="AF104" i="1"/>
  <c r="AG104" i="1" s="1"/>
  <c r="AF112" i="1"/>
  <c r="AG112" i="1" s="1"/>
  <c r="AF120" i="1"/>
  <c r="AG120" i="1" s="1"/>
  <c r="AF128" i="1"/>
  <c r="AG128" i="1" s="1"/>
  <c r="AF136" i="1"/>
  <c r="AG136" i="1" s="1"/>
  <c r="AF144" i="1"/>
  <c r="AG144" i="1" s="1"/>
  <c r="AF152" i="1"/>
  <c r="AG152" i="1" s="1"/>
  <c r="AF160" i="1"/>
  <c r="AG160" i="1" s="1"/>
  <c r="AF168" i="1"/>
  <c r="AG168" i="1" s="1"/>
  <c r="AF176" i="1"/>
  <c r="AG176" i="1" s="1"/>
  <c r="AF184" i="1"/>
  <c r="AG184" i="1" s="1"/>
  <c r="AF192" i="1"/>
  <c r="AG192" i="1" s="1"/>
  <c r="AF200" i="1"/>
  <c r="AG200" i="1" s="1"/>
  <c r="AF208" i="1"/>
  <c r="AG208" i="1" s="1"/>
  <c r="AF216" i="1"/>
  <c r="AG216" i="1" s="1"/>
  <c r="AF224" i="1"/>
  <c r="AG224" i="1" s="1"/>
  <c r="AF232" i="1"/>
  <c r="AG232" i="1" s="1"/>
  <c r="AF240" i="1"/>
  <c r="AG240" i="1" s="1"/>
  <c r="AF248" i="1"/>
  <c r="AG248" i="1" s="1"/>
  <c r="AF256" i="1"/>
  <c r="AG256" i="1" s="1"/>
  <c r="AF264" i="1"/>
  <c r="AG264" i="1" s="1"/>
  <c r="AF272" i="1"/>
  <c r="AG272" i="1" s="1"/>
  <c r="AF280" i="1"/>
  <c r="AG280" i="1" s="1"/>
  <c r="AF288" i="1"/>
  <c r="AG288" i="1" s="1"/>
  <c r="AF296" i="1"/>
  <c r="AG296" i="1" s="1"/>
  <c r="AF304" i="1"/>
  <c r="AG304" i="1" s="1"/>
  <c r="AF312" i="1"/>
  <c r="AG312" i="1" s="1"/>
  <c r="AF320" i="1"/>
  <c r="AG320" i="1" s="1"/>
  <c r="AF328" i="1"/>
  <c r="AG328" i="1" s="1"/>
  <c r="AF336" i="1"/>
  <c r="AG336" i="1" s="1"/>
  <c r="AF344" i="1"/>
  <c r="AG344" i="1" s="1"/>
  <c r="AF352" i="1"/>
  <c r="AG352" i="1" s="1"/>
  <c r="AF360" i="1"/>
  <c r="AG360" i="1" s="1"/>
  <c r="AF368" i="1"/>
  <c r="AG368" i="1" s="1"/>
  <c r="AF376" i="1"/>
  <c r="AG376" i="1" s="1"/>
  <c r="AF384" i="1"/>
  <c r="AG384" i="1" s="1"/>
  <c r="AF392" i="1"/>
  <c r="AG392" i="1" s="1"/>
  <c r="AF400" i="1"/>
  <c r="AG400" i="1" s="1"/>
  <c r="AF408" i="1"/>
  <c r="AG408" i="1" s="1"/>
  <c r="AF416" i="1"/>
  <c r="AG416" i="1" s="1"/>
  <c r="AF424" i="1"/>
  <c r="AG424" i="1" s="1"/>
  <c r="AF432" i="1"/>
  <c r="AG432" i="1" s="1"/>
  <c r="AF440" i="1"/>
  <c r="AG440" i="1" s="1"/>
  <c r="AF448" i="1"/>
  <c r="AG448" i="1" s="1"/>
  <c r="AF456" i="1"/>
  <c r="AG456" i="1" s="1"/>
  <c r="AF464" i="1"/>
  <c r="AG464" i="1" s="1"/>
  <c r="AF472" i="1"/>
  <c r="AG472" i="1" s="1"/>
  <c r="AF480" i="1"/>
  <c r="AG480" i="1" s="1"/>
  <c r="AF488" i="1"/>
  <c r="AG488" i="1" s="1"/>
  <c r="AF496" i="1"/>
  <c r="AG496" i="1" s="1"/>
  <c r="AF504" i="1"/>
  <c r="AG504" i="1" s="1"/>
  <c r="AF512" i="1"/>
  <c r="AG512" i="1" s="1"/>
  <c r="AF520" i="1"/>
  <c r="AG520" i="1" s="1"/>
  <c r="AF528" i="1"/>
  <c r="AG528" i="1" s="1"/>
  <c r="AF536" i="1"/>
  <c r="AG536" i="1" s="1"/>
  <c r="AF544" i="1"/>
  <c r="AG544" i="1" s="1"/>
  <c r="AF552" i="1"/>
  <c r="AG552" i="1" s="1"/>
  <c r="AF560" i="1"/>
  <c r="AG560" i="1" s="1"/>
  <c r="AF568" i="1"/>
  <c r="AG568" i="1" s="1"/>
  <c r="AF576" i="1"/>
  <c r="AG576" i="1" s="1"/>
  <c r="AF584" i="1"/>
  <c r="AG584" i="1" s="1"/>
  <c r="AF592" i="1"/>
  <c r="AG592" i="1" s="1"/>
  <c r="AF600" i="1"/>
  <c r="AG600" i="1" s="1"/>
  <c r="AF608" i="1"/>
  <c r="AG608" i="1" s="1"/>
  <c r="AF616" i="1"/>
  <c r="AG616" i="1" s="1"/>
  <c r="AF624" i="1"/>
  <c r="AG624" i="1" s="1"/>
  <c r="AF632" i="1"/>
  <c r="AG632" i="1" s="1"/>
  <c r="AF640" i="1"/>
  <c r="AG640" i="1" s="1"/>
  <c r="AF648" i="1"/>
  <c r="AG648" i="1" s="1"/>
  <c r="AF656" i="1"/>
  <c r="AG656" i="1" s="1"/>
  <c r="AF57" i="1"/>
  <c r="AG57" i="1" s="1"/>
  <c r="AF89" i="1"/>
  <c r="AG89" i="1" s="1"/>
  <c r="AF121" i="1"/>
  <c r="AG121" i="1" s="1"/>
  <c r="AF153" i="1"/>
  <c r="AG153" i="1" s="1"/>
  <c r="AF185" i="1"/>
  <c r="AG185" i="1" s="1"/>
  <c r="AF217" i="1"/>
  <c r="AG217" i="1" s="1"/>
  <c r="AF249" i="1"/>
  <c r="AG249" i="1" s="1"/>
  <c r="AF281" i="1"/>
  <c r="AG281" i="1" s="1"/>
  <c r="AF313" i="1"/>
  <c r="AG313" i="1" s="1"/>
  <c r="AF345" i="1"/>
  <c r="AG345" i="1" s="1"/>
  <c r="AF377" i="1"/>
  <c r="AG377" i="1" s="1"/>
  <c r="AF409" i="1"/>
  <c r="AG409" i="1" s="1"/>
  <c r="AF441" i="1"/>
  <c r="AG441" i="1" s="1"/>
  <c r="AF473" i="1"/>
  <c r="AG473" i="1" s="1"/>
  <c r="AF505" i="1"/>
  <c r="AG505" i="1" s="1"/>
  <c r="AF537" i="1"/>
  <c r="AG537" i="1" s="1"/>
  <c r="AF569" i="1"/>
  <c r="AG569" i="1" s="1"/>
  <c r="AF601" i="1"/>
  <c r="AG601" i="1" s="1"/>
  <c r="AF633" i="1"/>
  <c r="AG633" i="1" s="1"/>
  <c r="AF161" i="1"/>
  <c r="AG161" i="1" s="1"/>
  <c r="AF417" i="1"/>
  <c r="AG417" i="1" s="1"/>
  <c r="AF513" i="1"/>
  <c r="AG513" i="1" s="1"/>
  <c r="AF609" i="1"/>
  <c r="AG609" i="1" s="1"/>
  <c r="AF101" i="1"/>
  <c r="AG101" i="1" s="1"/>
  <c r="AF133" i="1"/>
  <c r="AG133" i="1" s="1"/>
  <c r="AF229" i="1"/>
  <c r="AG229" i="1" s="1"/>
  <c r="AF293" i="1"/>
  <c r="AG293" i="1" s="1"/>
  <c r="AF389" i="1"/>
  <c r="AG389" i="1" s="1"/>
  <c r="AF453" i="1"/>
  <c r="AG453" i="1" s="1"/>
  <c r="AF549" i="1"/>
  <c r="AG549" i="1" s="1"/>
  <c r="AF309" i="1"/>
  <c r="AG309" i="1" s="1"/>
  <c r="AF565" i="1"/>
  <c r="AG565" i="1" s="1"/>
  <c r="AF61" i="1"/>
  <c r="AG61" i="1" s="1"/>
  <c r="AF93" i="1"/>
  <c r="AG93" i="1" s="1"/>
  <c r="AF125" i="1"/>
  <c r="AG125" i="1" s="1"/>
  <c r="AF157" i="1"/>
  <c r="AG157" i="1" s="1"/>
  <c r="AF189" i="1"/>
  <c r="AG189" i="1" s="1"/>
  <c r="AF221" i="1"/>
  <c r="AG221" i="1" s="1"/>
  <c r="AF253" i="1"/>
  <c r="AG253" i="1" s="1"/>
  <c r="AF285" i="1"/>
  <c r="AG285" i="1" s="1"/>
  <c r="AF317" i="1"/>
  <c r="AG317" i="1" s="1"/>
  <c r="AF349" i="1"/>
  <c r="AG349" i="1" s="1"/>
  <c r="AF381" i="1"/>
  <c r="AG381" i="1" s="1"/>
  <c r="AF413" i="1"/>
  <c r="AG413" i="1" s="1"/>
  <c r="AF445" i="1"/>
  <c r="AG445" i="1" s="1"/>
  <c r="AF477" i="1"/>
  <c r="AG477" i="1" s="1"/>
  <c r="AF509" i="1"/>
  <c r="AG509" i="1" s="1"/>
  <c r="AF541" i="1"/>
  <c r="AG541" i="1" s="1"/>
  <c r="AF573" i="1"/>
  <c r="AG573" i="1" s="1"/>
  <c r="AF605" i="1"/>
  <c r="AG605" i="1" s="1"/>
  <c r="AF637" i="1"/>
  <c r="AG637" i="1" s="1"/>
  <c r="AF193" i="1"/>
  <c r="AG193" i="1" s="1"/>
  <c r="AF385" i="1"/>
  <c r="AG385" i="1" s="1"/>
  <c r="AF481" i="1"/>
  <c r="AG481" i="1" s="1"/>
  <c r="AF545" i="1"/>
  <c r="AG545" i="1" s="1"/>
  <c r="AF641" i="1"/>
  <c r="AG641" i="1" s="1"/>
  <c r="AF69" i="1"/>
  <c r="AG69" i="1" s="1"/>
  <c r="AF165" i="1"/>
  <c r="AG165" i="1" s="1"/>
  <c r="AF197" i="1"/>
  <c r="AG197" i="1" s="1"/>
  <c r="AF261" i="1"/>
  <c r="AG261" i="1" s="1"/>
  <c r="AF325" i="1"/>
  <c r="AG325" i="1" s="1"/>
  <c r="AF357" i="1"/>
  <c r="AG357" i="1" s="1"/>
  <c r="AF421" i="1"/>
  <c r="AG421" i="1" s="1"/>
  <c r="AF485" i="1"/>
  <c r="AG485" i="1" s="1"/>
  <c r="AF517" i="1"/>
  <c r="AG517" i="1" s="1"/>
  <c r="AF581" i="1"/>
  <c r="AG581" i="1" s="1"/>
  <c r="AF645" i="1"/>
  <c r="AG645" i="1" s="1"/>
  <c r="AF277" i="1"/>
  <c r="AG277" i="1" s="1"/>
  <c r="AF597" i="1"/>
  <c r="AG597" i="1" s="1"/>
  <c r="AF65" i="1"/>
  <c r="AG65" i="1" s="1"/>
  <c r="AF97" i="1"/>
  <c r="AG97" i="1" s="1"/>
  <c r="AF129" i="1"/>
  <c r="AG129" i="1" s="1"/>
  <c r="AF225" i="1"/>
  <c r="AG225" i="1" s="1"/>
  <c r="AF257" i="1"/>
  <c r="AG257" i="1" s="1"/>
  <c r="AF289" i="1"/>
  <c r="AG289" i="1" s="1"/>
  <c r="AF321" i="1"/>
  <c r="AG321" i="1" s="1"/>
  <c r="AF353" i="1"/>
  <c r="AG353" i="1" s="1"/>
  <c r="AF449" i="1"/>
  <c r="AG449" i="1" s="1"/>
  <c r="AF577" i="1"/>
  <c r="AG577" i="1" s="1"/>
  <c r="AF613" i="1"/>
  <c r="AG613" i="1" s="1"/>
  <c r="AF437" i="1"/>
  <c r="AG437" i="1" s="1"/>
  <c r="AF73" i="1"/>
  <c r="AG73" i="1" s="1"/>
  <c r="AF105" i="1"/>
  <c r="AG105" i="1" s="1"/>
  <c r="AF137" i="1"/>
  <c r="AG137" i="1" s="1"/>
  <c r="AF169" i="1"/>
  <c r="AG169" i="1" s="1"/>
  <c r="AF201" i="1"/>
  <c r="AG201" i="1" s="1"/>
  <c r="AF233" i="1"/>
  <c r="AG233" i="1" s="1"/>
  <c r="AF265" i="1"/>
  <c r="AG265" i="1" s="1"/>
  <c r="AF297" i="1"/>
  <c r="AG297" i="1" s="1"/>
  <c r="AF329" i="1"/>
  <c r="AG329" i="1" s="1"/>
  <c r="AF361" i="1"/>
  <c r="AG361" i="1" s="1"/>
  <c r="AF393" i="1"/>
  <c r="AG393" i="1" s="1"/>
  <c r="AF425" i="1"/>
  <c r="AG425" i="1" s="1"/>
  <c r="AF457" i="1"/>
  <c r="AG457" i="1" s="1"/>
  <c r="AF489" i="1"/>
  <c r="AG489" i="1" s="1"/>
  <c r="AF521" i="1"/>
  <c r="AG521" i="1" s="1"/>
  <c r="AF553" i="1"/>
  <c r="AG553" i="1" s="1"/>
  <c r="AF585" i="1"/>
  <c r="AG585" i="1" s="1"/>
  <c r="AF617" i="1"/>
  <c r="AG617" i="1" s="1"/>
  <c r="AF649" i="1"/>
  <c r="AG649" i="1" s="1"/>
  <c r="AF81" i="1"/>
  <c r="AG81" i="1" s="1"/>
  <c r="AF145" i="1"/>
  <c r="AG145" i="1" s="1"/>
  <c r="AF209" i="1"/>
  <c r="AG209" i="1" s="1"/>
  <c r="AF273" i="1"/>
  <c r="AG273" i="1" s="1"/>
  <c r="AF337" i="1"/>
  <c r="AG337" i="1" s="1"/>
  <c r="AF433" i="1"/>
  <c r="AG433" i="1" s="1"/>
  <c r="AF529" i="1"/>
  <c r="AG529" i="1" s="1"/>
  <c r="AF593" i="1"/>
  <c r="AG593" i="1" s="1"/>
  <c r="AF625" i="1"/>
  <c r="AG625" i="1" s="1"/>
  <c r="AF85" i="1"/>
  <c r="AG85" i="1" s="1"/>
  <c r="AF117" i="1"/>
  <c r="AG117" i="1" s="1"/>
  <c r="AF181" i="1"/>
  <c r="AG181" i="1" s="1"/>
  <c r="AF341" i="1"/>
  <c r="AG341" i="1" s="1"/>
  <c r="AF405" i="1"/>
  <c r="AG405" i="1" s="1"/>
  <c r="AF501" i="1"/>
  <c r="AG501" i="1" s="1"/>
  <c r="AF629" i="1"/>
  <c r="AG629" i="1" s="1"/>
  <c r="AF77" i="1"/>
  <c r="AG77" i="1" s="1"/>
  <c r="AF109" i="1"/>
  <c r="AG109" i="1" s="1"/>
  <c r="AF141" i="1"/>
  <c r="AG141" i="1" s="1"/>
  <c r="AF173" i="1"/>
  <c r="AG173" i="1" s="1"/>
  <c r="AF205" i="1"/>
  <c r="AG205" i="1" s="1"/>
  <c r="AF237" i="1"/>
  <c r="AG237" i="1" s="1"/>
  <c r="AF269" i="1"/>
  <c r="AG269" i="1" s="1"/>
  <c r="AF301" i="1"/>
  <c r="AG301" i="1" s="1"/>
  <c r="AF333" i="1"/>
  <c r="AG333" i="1" s="1"/>
  <c r="AF365" i="1"/>
  <c r="AG365" i="1" s="1"/>
  <c r="AF397" i="1"/>
  <c r="AG397" i="1" s="1"/>
  <c r="AF429" i="1"/>
  <c r="AG429" i="1" s="1"/>
  <c r="AF461" i="1"/>
  <c r="AG461" i="1" s="1"/>
  <c r="AF493" i="1"/>
  <c r="AG493" i="1" s="1"/>
  <c r="AF525" i="1"/>
  <c r="AG525" i="1" s="1"/>
  <c r="AF557" i="1"/>
  <c r="AG557" i="1" s="1"/>
  <c r="AF589" i="1"/>
  <c r="AG589" i="1" s="1"/>
  <c r="AF621" i="1"/>
  <c r="AG621" i="1" s="1"/>
  <c r="AF653" i="1"/>
  <c r="AG653" i="1" s="1"/>
  <c r="AF41" i="1"/>
  <c r="AG41" i="1" s="1"/>
  <c r="AF113" i="1"/>
  <c r="AG113" i="1" s="1"/>
  <c r="AF177" i="1"/>
  <c r="AG177" i="1" s="1"/>
  <c r="AF241" i="1"/>
  <c r="AG241" i="1" s="1"/>
  <c r="AF305" i="1"/>
  <c r="AG305" i="1" s="1"/>
  <c r="AF369" i="1"/>
  <c r="AG369" i="1" s="1"/>
  <c r="AF401" i="1"/>
  <c r="AG401" i="1" s="1"/>
  <c r="AF465" i="1"/>
  <c r="AG465" i="1" s="1"/>
  <c r="AF497" i="1"/>
  <c r="AG497" i="1" s="1"/>
  <c r="AF561" i="1"/>
  <c r="AG561" i="1" s="1"/>
  <c r="AF657" i="1"/>
  <c r="AG657" i="1" s="1"/>
  <c r="AF49" i="1"/>
  <c r="AG49" i="1" s="1"/>
  <c r="AF149" i="1"/>
  <c r="AG149" i="1" s="1"/>
  <c r="AF213" i="1"/>
  <c r="AG213" i="1" s="1"/>
  <c r="AF245" i="1"/>
  <c r="AG245" i="1" s="1"/>
  <c r="AF373" i="1"/>
  <c r="AG373" i="1" s="1"/>
  <c r="AF469" i="1"/>
  <c r="AG469" i="1" s="1"/>
  <c r="AF533" i="1"/>
  <c r="AG533" i="1" s="1"/>
  <c r="AF661" i="1"/>
  <c r="AG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Y7" i="3"/>
  <c r="X8" i="3" s="1"/>
  <c r="S154" i="1"/>
  <c r="Z154" i="1" s="1"/>
  <c r="S290" i="1"/>
  <c r="Z290" i="1" s="1"/>
  <c r="S106" i="1"/>
  <c r="Z106" i="1" s="1"/>
  <c r="S34" i="1"/>
  <c r="Z34" i="1" s="1"/>
  <c r="AB377" i="1" l="1"/>
  <c r="AB281" i="1"/>
  <c r="AB329" i="1"/>
  <c r="AB577" i="1"/>
  <c r="AB497" i="1"/>
  <c r="AB153" i="1"/>
  <c r="AB617" i="1"/>
  <c r="AB57" i="1"/>
  <c r="AB249" i="1"/>
  <c r="AB161" i="1"/>
  <c r="AB640" i="1"/>
  <c r="AB576" i="1"/>
  <c r="AB512" i="1"/>
  <c r="AB448" i="1"/>
  <c r="AB384" i="1"/>
  <c r="AB320" i="1"/>
  <c r="AB256" i="1"/>
  <c r="AB192" i="1"/>
  <c r="AB128" i="1"/>
  <c r="AB64" i="1"/>
  <c r="AB639" i="1"/>
  <c r="AB575" i="1"/>
  <c r="AB511" i="1"/>
  <c r="AB447" i="1"/>
  <c r="AB383" i="1"/>
  <c r="AB319" i="1"/>
  <c r="AB255" i="1"/>
  <c r="AB191" i="1"/>
  <c r="AB127" i="1"/>
  <c r="AB63" i="1"/>
  <c r="AB646" i="1"/>
  <c r="AB582" i="1"/>
  <c r="AB518" i="1"/>
  <c r="AB454" i="1"/>
  <c r="AB390" i="1"/>
  <c r="AB326" i="1"/>
  <c r="AB262" i="1"/>
  <c r="AB198" i="1"/>
  <c r="AB134" i="1"/>
  <c r="AB70" i="1"/>
  <c r="AB653" i="1"/>
  <c r="AB589" i="1"/>
  <c r="AB525" i="1"/>
  <c r="AB461" i="1"/>
  <c r="AB397" i="1"/>
  <c r="AB333" i="1"/>
  <c r="AB269" i="1"/>
  <c r="AB205" i="1"/>
  <c r="AB141" i="1"/>
  <c r="AB77" i="1"/>
  <c r="AB105" i="1"/>
  <c r="AB628" i="1"/>
  <c r="AB564" i="1"/>
  <c r="AB500" i="1"/>
  <c r="AB436" i="1"/>
  <c r="AB372" i="1"/>
  <c r="AB308" i="1"/>
  <c r="AB244" i="1"/>
  <c r="AB180" i="1"/>
  <c r="AB116" i="1"/>
  <c r="AB52" i="1"/>
  <c r="AB635" i="1"/>
  <c r="AB571" i="1"/>
  <c r="AB507" i="1"/>
  <c r="AB443" i="1"/>
  <c r="AB379" i="1"/>
  <c r="AB315" i="1"/>
  <c r="AB251" i="1"/>
  <c r="AB187" i="1"/>
  <c r="AB123" i="1"/>
  <c r="AB59" i="1"/>
  <c r="AB642" i="1"/>
  <c r="AB578" i="1"/>
  <c r="AB514" i="1"/>
  <c r="AB450" i="1"/>
  <c r="AB386" i="1"/>
  <c r="AB322" i="1"/>
  <c r="AB258" i="1"/>
  <c r="AB194" i="1"/>
  <c r="AB130" i="1"/>
  <c r="AB66" i="1"/>
  <c r="AB593" i="1"/>
  <c r="AB265" i="1"/>
  <c r="AB449" i="1"/>
  <c r="AB433" i="1"/>
  <c r="AB529" i="1"/>
  <c r="AB553" i="1"/>
  <c r="AB409" i="1"/>
  <c r="AB609" i="1"/>
  <c r="AB41" i="1"/>
  <c r="AB632" i="1"/>
  <c r="AB568" i="1"/>
  <c r="AB504" i="1"/>
  <c r="AB440" i="1"/>
  <c r="AB376" i="1"/>
  <c r="AB312" i="1"/>
  <c r="AB248" i="1"/>
  <c r="AB184" i="1"/>
  <c r="AB120" i="1"/>
  <c r="AB56" i="1"/>
  <c r="AB631" i="1"/>
  <c r="AB567" i="1"/>
  <c r="AB503" i="1"/>
  <c r="AB439" i="1"/>
  <c r="AB375" i="1"/>
  <c r="AB311" i="1"/>
  <c r="AB247" i="1"/>
  <c r="AB183" i="1"/>
  <c r="AB119" i="1"/>
  <c r="AB55" i="1"/>
  <c r="AB638" i="1"/>
  <c r="AB574" i="1"/>
  <c r="AB510" i="1"/>
  <c r="AB446" i="1"/>
  <c r="AB382" i="1"/>
  <c r="AB318" i="1"/>
  <c r="AB254" i="1"/>
  <c r="AB190" i="1"/>
  <c r="AB126" i="1"/>
  <c r="AB62" i="1"/>
  <c r="AB645" i="1"/>
  <c r="AB581" i="1"/>
  <c r="AB517" i="1"/>
  <c r="AB453" i="1"/>
  <c r="AB389" i="1"/>
  <c r="AB325" i="1"/>
  <c r="AB261" i="1"/>
  <c r="AB197" i="1"/>
  <c r="AB133" i="1"/>
  <c r="AB69" i="1"/>
  <c r="AB89" i="1"/>
  <c r="AB620" i="1"/>
  <c r="AB556" i="1"/>
  <c r="AB492" i="1"/>
  <c r="AB428" i="1"/>
  <c r="AB364" i="1"/>
  <c r="AB300" i="1"/>
  <c r="AB236" i="1"/>
  <c r="AB172" i="1"/>
  <c r="AB108" i="1"/>
  <c r="AB44" i="1"/>
  <c r="AB627" i="1"/>
  <c r="AB563" i="1"/>
  <c r="AB499" i="1"/>
  <c r="AB435" i="1"/>
  <c r="AB371" i="1"/>
  <c r="AB307" i="1"/>
  <c r="AB243" i="1"/>
  <c r="AB179" i="1"/>
  <c r="AB115" i="1"/>
  <c r="AB51" i="1"/>
  <c r="AB634" i="1"/>
  <c r="AB570" i="1"/>
  <c r="AB506" i="1"/>
  <c r="AB442" i="1"/>
  <c r="AB378" i="1"/>
  <c r="AB314" i="1"/>
  <c r="AB250" i="1"/>
  <c r="AB186" i="1"/>
  <c r="AB122" i="1"/>
  <c r="AB58" i="1"/>
  <c r="AB34" i="1"/>
  <c r="AB401" i="1"/>
  <c r="AB337" i="1"/>
  <c r="AB201" i="1"/>
  <c r="AB257" i="1"/>
  <c r="AB369" i="1"/>
  <c r="AB385" i="1"/>
  <c r="AB489" i="1"/>
  <c r="AB217" i="1"/>
  <c r="AB545" i="1"/>
  <c r="AB113" i="1"/>
  <c r="AB624" i="1"/>
  <c r="AB560" i="1"/>
  <c r="AB496" i="1"/>
  <c r="AB432" i="1"/>
  <c r="AB368" i="1"/>
  <c r="AB304" i="1"/>
  <c r="AB240" i="1"/>
  <c r="AB176" i="1"/>
  <c r="AB112" i="1"/>
  <c r="AB48" i="1"/>
  <c r="AB623" i="1"/>
  <c r="AB559" i="1"/>
  <c r="AB495" i="1"/>
  <c r="AB431" i="1"/>
  <c r="AB367" i="1"/>
  <c r="AB303" i="1"/>
  <c r="AB239" i="1"/>
  <c r="AB175" i="1"/>
  <c r="AB111" i="1"/>
  <c r="AB47" i="1"/>
  <c r="AB630" i="1"/>
  <c r="AB566" i="1"/>
  <c r="AB502" i="1"/>
  <c r="AB438" i="1"/>
  <c r="AB374" i="1"/>
  <c r="AB310" i="1"/>
  <c r="AB246" i="1"/>
  <c r="AB182" i="1"/>
  <c r="AB118" i="1"/>
  <c r="AB54" i="1"/>
  <c r="AB637" i="1"/>
  <c r="AB573" i="1"/>
  <c r="AB509" i="1"/>
  <c r="AB445" i="1"/>
  <c r="AB381" i="1"/>
  <c r="AB317" i="1"/>
  <c r="AB253" i="1"/>
  <c r="AB189" i="1"/>
  <c r="AB125" i="1"/>
  <c r="AB61" i="1"/>
  <c r="AB73" i="1"/>
  <c r="AB612" i="1"/>
  <c r="AB548" i="1"/>
  <c r="AB484" i="1"/>
  <c r="AB420" i="1"/>
  <c r="AB356" i="1"/>
  <c r="AB292" i="1"/>
  <c r="AB228" i="1"/>
  <c r="AB164" i="1"/>
  <c r="AB100" i="1"/>
  <c r="AB36" i="1"/>
  <c r="AB619" i="1"/>
  <c r="AB555" i="1"/>
  <c r="AB491" i="1"/>
  <c r="AB427" i="1"/>
  <c r="AB363" i="1"/>
  <c r="AB299" i="1"/>
  <c r="AB235" i="1"/>
  <c r="AB171" i="1"/>
  <c r="AB107" i="1"/>
  <c r="AB43" i="1"/>
  <c r="AB626" i="1"/>
  <c r="AB562" i="1"/>
  <c r="AB498" i="1"/>
  <c r="AB434" i="1"/>
  <c r="AB370" i="1"/>
  <c r="AB306" i="1"/>
  <c r="AB242" i="1"/>
  <c r="AB178" i="1"/>
  <c r="AB114" i="1"/>
  <c r="AB50" i="1"/>
  <c r="AB154" i="1"/>
  <c r="AB649" i="1"/>
  <c r="AB505" i="1"/>
  <c r="AB193" i="1"/>
  <c r="AB657" i="1"/>
  <c r="AB97" i="1"/>
  <c r="AB552" i="1"/>
  <c r="AB488" i="1"/>
  <c r="AB360" i="1"/>
  <c r="AB232" i="1"/>
  <c r="AB104" i="1"/>
  <c r="AB551" i="1"/>
  <c r="AB423" i="1"/>
  <c r="AB295" i="1"/>
  <c r="AB167" i="1"/>
  <c r="AB39" i="1"/>
  <c r="AB558" i="1"/>
  <c r="AB430" i="1"/>
  <c r="AB302" i="1"/>
  <c r="AB174" i="1"/>
  <c r="AB110" i="1"/>
  <c r="AB46" i="1"/>
  <c r="AB629" i="1"/>
  <c r="AB565" i="1"/>
  <c r="AB501" i="1"/>
  <c r="AB437" i="1"/>
  <c r="AB373" i="1"/>
  <c r="AB309" i="1"/>
  <c r="AB245" i="1"/>
  <c r="AB181" i="1"/>
  <c r="AB117" i="1"/>
  <c r="AB49" i="1"/>
  <c r="AB604" i="1"/>
  <c r="AB540" i="1"/>
  <c r="AB476" i="1"/>
  <c r="AB412" i="1"/>
  <c r="AB348" i="1"/>
  <c r="AB284" i="1"/>
  <c r="AB220" i="1"/>
  <c r="AB156" i="1"/>
  <c r="AB92" i="1"/>
  <c r="AB28" i="1"/>
  <c r="AB611" i="1"/>
  <c r="AB547" i="1"/>
  <c r="AB483" i="1"/>
  <c r="AB419" i="1"/>
  <c r="AB355" i="1"/>
  <c r="AB291" i="1"/>
  <c r="AB227" i="1"/>
  <c r="AB163" i="1"/>
  <c r="AB99" i="1"/>
  <c r="AB35" i="1"/>
  <c r="AB618" i="1"/>
  <c r="AB554" i="1"/>
  <c r="AB490" i="1"/>
  <c r="AB426" i="1"/>
  <c r="AB362" i="1"/>
  <c r="AB298" i="1"/>
  <c r="AB234" i="1"/>
  <c r="AB170" i="1"/>
  <c r="AB42" i="1"/>
  <c r="AB106" i="1"/>
  <c r="AB273" i="1"/>
  <c r="AB137" i="1"/>
  <c r="AB305" i="1"/>
  <c r="AB425" i="1"/>
  <c r="AB481" i="1"/>
  <c r="AB616" i="1"/>
  <c r="AB424" i="1"/>
  <c r="AB296" i="1"/>
  <c r="AB168" i="1"/>
  <c r="AB40" i="1"/>
  <c r="AB615" i="1"/>
  <c r="AB487" i="1"/>
  <c r="AB359" i="1"/>
  <c r="AB231" i="1"/>
  <c r="AB103" i="1"/>
  <c r="AB622" i="1"/>
  <c r="AB494" i="1"/>
  <c r="AB366" i="1"/>
  <c r="AB238" i="1"/>
  <c r="AB53" i="1"/>
  <c r="AB290" i="1"/>
  <c r="AB209" i="1"/>
  <c r="AB585" i="1"/>
  <c r="AB129" i="1"/>
  <c r="AB313" i="1"/>
  <c r="AB241" i="1"/>
  <c r="AB633" i="1"/>
  <c r="AB361" i="1"/>
  <c r="AB641" i="1"/>
  <c r="AB417" i="1"/>
  <c r="AB81" i="1"/>
  <c r="AB608" i="1"/>
  <c r="AB544" i="1"/>
  <c r="AB480" i="1"/>
  <c r="AB416" i="1"/>
  <c r="AB352" i="1"/>
  <c r="AB288" i="1"/>
  <c r="AB224" i="1"/>
  <c r="AB160" i="1"/>
  <c r="AB96" i="1"/>
  <c r="AB32" i="1"/>
  <c r="AB607" i="1"/>
  <c r="AB543" i="1"/>
  <c r="AB479" i="1"/>
  <c r="AB415" i="1"/>
  <c r="AB351" i="1"/>
  <c r="AB287" i="1"/>
  <c r="AB223" i="1"/>
  <c r="AB159" i="1"/>
  <c r="AB95" i="1"/>
  <c r="AB31" i="1"/>
  <c r="AB614" i="1"/>
  <c r="AB550" i="1"/>
  <c r="AB486" i="1"/>
  <c r="AB422" i="1"/>
  <c r="AB358" i="1"/>
  <c r="AB294" i="1"/>
  <c r="AB230" i="1"/>
  <c r="AB166" i="1"/>
  <c r="AB102" i="1"/>
  <c r="AB38" i="1"/>
  <c r="AB621" i="1"/>
  <c r="AB557" i="1"/>
  <c r="AB493" i="1"/>
  <c r="AB429" i="1"/>
  <c r="AB365" i="1"/>
  <c r="AB301" i="1"/>
  <c r="AB237" i="1"/>
  <c r="AB173" i="1"/>
  <c r="AB109" i="1"/>
  <c r="AB45" i="1"/>
  <c r="AB660" i="1"/>
  <c r="AB596" i="1"/>
  <c r="AB532" i="1"/>
  <c r="AB468" i="1"/>
  <c r="AB404" i="1"/>
  <c r="AB340" i="1"/>
  <c r="AB276" i="1"/>
  <c r="AB212" i="1"/>
  <c r="AB148" i="1"/>
  <c r="AB84" i="1"/>
  <c r="AB20" i="1"/>
  <c r="AB603" i="1"/>
  <c r="AB539" i="1"/>
  <c r="AB475" i="1"/>
  <c r="AB411" i="1"/>
  <c r="AB347" i="1"/>
  <c r="AB283" i="1"/>
  <c r="AB219" i="1"/>
  <c r="AB155" i="1"/>
  <c r="AB91" i="1"/>
  <c r="AB27" i="1"/>
  <c r="AB610" i="1"/>
  <c r="AB546" i="1"/>
  <c r="AB482" i="1"/>
  <c r="AB418" i="1"/>
  <c r="AB354" i="1"/>
  <c r="AB226" i="1"/>
  <c r="AB162" i="1"/>
  <c r="AB98" i="1"/>
  <c r="AB145" i="1"/>
  <c r="AB521" i="1"/>
  <c r="AB601" i="1"/>
  <c r="AB121" i="1"/>
  <c r="AB177" i="1"/>
  <c r="AB441" i="1"/>
  <c r="AB297" i="1"/>
  <c r="AB513" i="1"/>
  <c r="AB353" i="1"/>
  <c r="AB25" i="1"/>
  <c r="AB600" i="1"/>
  <c r="AB536" i="1"/>
  <c r="AB472" i="1"/>
  <c r="AB408" i="1"/>
  <c r="AB344" i="1"/>
  <c r="AB280" i="1"/>
  <c r="AB216" i="1"/>
  <c r="AB152" i="1"/>
  <c r="AB88" i="1"/>
  <c r="AB24" i="1"/>
  <c r="AB599" i="1"/>
  <c r="AB535" i="1"/>
  <c r="AB471" i="1"/>
  <c r="AB407" i="1"/>
  <c r="AB343" i="1"/>
  <c r="AB279" i="1"/>
  <c r="AB215" i="1"/>
  <c r="AB151" i="1"/>
  <c r="AB87" i="1"/>
  <c r="AB23" i="1"/>
  <c r="AB606" i="1"/>
  <c r="AB542" i="1"/>
  <c r="AB478" i="1"/>
  <c r="AB414" i="1"/>
  <c r="AB350" i="1"/>
  <c r="AB286" i="1"/>
  <c r="AB222" i="1"/>
  <c r="AB158" i="1"/>
  <c r="AB94" i="1"/>
  <c r="AB30" i="1"/>
  <c r="AB613" i="1"/>
  <c r="AB549" i="1"/>
  <c r="AB485" i="1"/>
  <c r="AB421" i="1"/>
  <c r="AB357" i="1"/>
  <c r="AB293" i="1"/>
  <c r="AB229" i="1"/>
  <c r="AB165" i="1"/>
  <c r="AB101" i="1"/>
  <c r="AB37" i="1"/>
  <c r="AB652" i="1"/>
  <c r="AB588" i="1"/>
  <c r="AB524" i="1"/>
  <c r="AB460" i="1"/>
  <c r="AB396" i="1"/>
  <c r="AB332" i="1"/>
  <c r="AB268" i="1"/>
  <c r="AB204" i="1"/>
  <c r="AB140" i="1"/>
  <c r="AB76" i="1"/>
  <c r="AB659" i="1"/>
  <c r="AB595" i="1"/>
  <c r="AB531" i="1"/>
  <c r="AB467" i="1"/>
  <c r="AB403" i="1"/>
  <c r="AB339" i="1"/>
  <c r="AB275" i="1"/>
  <c r="AB211" i="1"/>
  <c r="AB147" i="1"/>
  <c r="AB83" i="1"/>
  <c r="AB602" i="1"/>
  <c r="AB538" i="1"/>
  <c r="AB474" i="1"/>
  <c r="AB410" i="1"/>
  <c r="AB346" i="1"/>
  <c r="AB282" i="1"/>
  <c r="AB218" i="1"/>
  <c r="AB90" i="1"/>
  <c r="AB26" i="1"/>
  <c r="AB537" i="1"/>
  <c r="AB457" i="1"/>
  <c r="AB33" i="1"/>
  <c r="AB625" i="1"/>
  <c r="AB65" i="1"/>
  <c r="AB233" i="1"/>
  <c r="AB321" i="1"/>
  <c r="AB289" i="1"/>
  <c r="AB656" i="1"/>
  <c r="AB592" i="1"/>
  <c r="AB528" i="1"/>
  <c r="AB464" i="1"/>
  <c r="AB400" i="1"/>
  <c r="AB336" i="1"/>
  <c r="AB272" i="1"/>
  <c r="AB208" i="1"/>
  <c r="AB144" i="1"/>
  <c r="AB80" i="1"/>
  <c r="AB655" i="1"/>
  <c r="AB591" i="1"/>
  <c r="AB527" i="1"/>
  <c r="AB463" i="1"/>
  <c r="AB399" i="1"/>
  <c r="AB335" i="1"/>
  <c r="AB271" i="1"/>
  <c r="AB207" i="1"/>
  <c r="AB143" i="1"/>
  <c r="AB79" i="1"/>
  <c r="AB662" i="1"/>
  <c r="AB598" i="1"/>
  <c r="AB534" i="1"/>
  <c r="AB470" i="1"/>
  <c r="AB406" i="1"/>
  <c r="AB342" i="1"/>
  <c r="AB278" i="1"/>
  <c r="AB214" i="1"/>
  <c r="AB150" i="1"/>
  <c r="AB86" i="1"/>
  <c r="AB22" i="1"/>
  <c r="AB605" i="1"/>
  <c r="AB541" i="1"/>
  <c r="AB477" i="1"/>
  <c r="AB413" i="1"/>
  <c r="AB349" i="1"/>
  <c r="AB285" i="1"/>
  <c r="AB221" i="1"/>
  <c r="AB157" i="1"/>
  <c r="AB93" i="1"/>
  <c r="AB29" i="1"/>
  <c r="AB644" i="1"/>
  <c r="AB580" i="1"/>
  <c r="AB516" i="1"/>
  <c r="AB452" i="1"/>
  <c r="AB388" i="1"/>
  <c r="AB324" i="1"/>
  <c r="AB260" i="1"/>
  <c r="AB196" i="1"/>
  <c r="AB132" i="1"/>
  <c r="AB68" i="1"/>
  <c r="AB651" i="1"/>
  <c r="AB587" i="1"/>
  <c r="AB523" i="1"/>
  <c r="AB459" i="1"/>
  <c r="AB395" i="1"/>
  <c r="AB331" i="1"/>
  <c r="AB267" i="1"/>
  <c r="AB203" i="1"/>
  <c r="AB139" i="1"/>
  <c r="AB75" i="1"/>
  <c r="AB658" i="1"/>
  <c r="AB594" i="1"/>
  <c r="AB530" i="1"/>
  <c r="AB466" i="1"/>
  <c r="AB402" i="1"/>
  <c r="AB338" i="1"/>
  <c r="AB274" i="1"/>
  <c r="AB210" i="1"/>
  <c r="AB146" i="1"/>
  <c r="AB82" i="1"/>
  <c r="AB345" i="1"/>
  <c r="AB393" i="1"/>
  <c r="AB465" i="1"/>
  <c r="AB561" i="1"/>
  <c r="AB473" i="1"/>
  <c r="AB185" i="1"/>
  <c r="AB169" i="1"/>
  <c r="AB569" i="1"/>
  <c r="AB225" i="1"/>
  <c r="AB648" i="1"/>
  <c r="AB584" i="1"/>
  <c r="AB520" i="1"/>
  <c r="AB456" i="1"/>
  <c r="AB392" i="1"/>
  <c r="AB328" i="1"/>
  <c r="AB264" i="1"/>
  <c r="AB200" i="1"/>
  <c r="AB136" i="1"/>
  <c r="AB72" i="1"/>
  <c r="AB647" i="1"/>
  <c r="AB583" i="1"/>
  <c r="AB519" i="1"/>
  <c r="AB455" i="1"/>
  <c r="AB391" i="1"/>
  <c r="AB327" i="1"/>
  <c r="AB263" i="1"/>
  <c r="AB199" i="1"/>
  <c r="AB135" i="1"/>
  <c r="AB71" i="1"/>
  <c r="AB654" i="1"/>
  <c r="AB590" i="1"/>
  <c r="AB526" i="1"/>
  <c r="AB462" i="1"/>
  <c r="AB398" i="1"/>
  <c r="AB334" i="1"/>
  <c r="AB270" i="1"/>
  <c r="AB206" i="1"/>
  <c r="AB142" i="1"/>
  <c r="AB78" i="1"/>
  <c r="AB661" i="1"/>
  <c r="AB597" i="1"/>
  <c r="AB533" i="1"/>
  <c r="AB469" i="1"/>
  <c r="AB405" i="1"/>
  <c r="AB341" i="1"/>
  <c r="AB277" i="1"/>
  <c r="AB213" i="1"/>
  <c r="AB149" i="1"/>
  <c r="AB85" i="1"/>
  <c r="AB21" i="1"/>
  <c r="AB636" i="1"/>
  <c r="AB572" i="1"/>
  <c r="AB508" i="1"/>
  <c r="AB444" i="1"/>
  <c r="AB380" i="1"/>
  <c r="AB316" i="1"/>
  <c r="AB252" i="1"/>
  <c r="AB188" i="1"/>
  <c r="AB124" i="1"/>
  <c r="AB60" i="1"/>
  <c r="AB643" i="1"/>
  <c r="AB579" i="1"/>
  <c r="AB515" i="1"/>
  <c r="AB451" i="1"/>
  <c r="AB387" i="1"/>
  <c r="AB323" i="1"/>
  <c r="AB259" i="1"/>
  <c r="AB195" i="1"/>
  <c r="AB131" i="1"/>
  <c r="AB67" i="1"/>
  <c r="AB650" i="1"/>
  <c r="AB586" i="1"/>
  <c r="AB522" i="1"/>
  <c r="AB458" i="1"/>
  <c r="AB394" i="1"/>
  <c r="AB330" i="1"/>
  <c r="AB266" i="1"/>
  <c r="AB202" i="1"/>
  <c r="AB138" i="1"/>
  <c r="AB74" i="1"/>
  <c r="AB19" i="1"/>
  <c r="AK19" i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L18" i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AL438" i="1" s="1"/>
  <c r="AL439" i="1" s="1"/>
  <c r="AL440" i="1" s="1"/>
  <c r="AL441" i="1" s="1"/>
  <c r="AL442" i="1" s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L453" i="1" s="1"/>
  <c r="AL454" i="1" s="1"/>
  <c r="AL455" i="1" s="1"/>
  <c r="AL456" i="1" s="1"/>
  <c r="AL457" i="1" s="1"/>
  <c r="AL458" i="1" s="1"/>
  <c r="AL459" i="1" s="1"/>
  <c r="AL460" i="1" s="1"/>
  <c r="AL461" i="1" s="1"/>
  <c r="AL462" i="1" s="1"/>
  <c r="AL463" i="1" s="1"/>
  <c r="AL464" i="1" s="1"/>
  <c r="AL465" i="1" s="1"/>
  <c r="AL466" i="1" s="1"/>
  <c r="AL467" i="1" s="1"/>
  <c r="AL468" i="1" s="1"/>
  <c r="AL469" i="1" s="1"/>
  <c r="AL470" i="1" s="1"/>
  <c r="AL471" i="1" s="1"/>
  <c r="AL472" i="1" s="1"/>
  <c r="AL473" i="1" s="1"/>
  <c r="AL474" i="1" s="1"/>
  <c r="AL475" i="1" s="1"/>
  <c r="AL476" i="1" s="1"/>
  <c r="AL477" i="1" s="1"/>
  <c r="AL478" i="1" s="1"/>
  <c r="AL479" i="1" s="1"/>
  <c r="AL480" i="1" s="1"/>
  <c r="AL481" i="1" s="1"/>
  <c r="AL482" i="1" s="1"/>
  <c r="AL483" i="1" s="1"/>
  <c r="AL484" i="1" s="1"/>
  <c r="AL485" i="1" s="1"/>
  <c r="AL486" i="1" s="1"/>
  <c r="AL487" i="1" s="1"/>
  <c r="AL488" i="1" s="1"/>
  <c r="AL489" i="1" s="1"/>
  <c r="AL490" i="1" s="1"/>
  <c r="AL491" i="1" s="1"/>
  <c r="AL492" i="1" s="1"/>
  <c r="AL493" i="1" s="1"/>
  <c r="AL494" i="1" s="1"/>
  <c r="AL495" i="1" s="1"/>
  <c r="AL496" i="1" s="1"/>
  <c r="AL497" i="1" s="1"/>
  <c r="AL498" i="1" s="1"/>
  <c r="AL499" i="1" s="1"/>
  <c r="AL500" i="1" s="1"/>
  <c r="AL501" i="1" s="1"/>
  <c r="AL502" i="1" s="1"/>
  <c r="AL503" i="1" s="1"/>
  <c r="AL504" i="1" s="1"/>
  <c r="AL505" i="1" s="1"/>
  <c r="AL506" i="1" s="1"/>
  <c r="AL507" i="1" s="1"/>
  <c r="AL508" i="1" s="1"/>
  <c r="AL509" i="1" s="1"/>
  <c r="AL510" i="1" s="1"/>
  <c r="AL511" i="1" s="1"/>
  <c r="AL512" i="1" s="1"/>
  <c r="AL513" i="1" s="1"/>
  <c r="AL514" i="1" s="1"/>
  <c r="AL515" i="1" s="1"/>
  <c r="AL516" i="1" s="1"/>
  <c r="AL517" i="1" s="1"/>
  <c r="AL518" i="1" s="1"/>
  <c r="AL519" i="1" s="1"/>
  <c r="AL520" i="1" s="1"/>
  <c r="AL521" i="1" s="1"/>
  <c r="AL522" i="1" s="1"/>
  <c r="AL523" i="1" s="1"/>
  <c r="AL524" i="1" s="1"/>
  <c r="AL525" i="1" s="1"/>
  <c r="AL526" i="1" s="1"/>
  <c r="AL527" i="1" s="1"/>
  <c r="AL528" i="1" s="1"/>
  <c r="AL529" i="1" s="1"/>
  <c r="AL530" i="1" s="1"/>
  <c r="AL531" i="1" s="1"/>
  <c r="AL532" i="1" s="1"/>
  <c r="AL533" i="1" s="1"/>
  <c r="AL534" i="1" s="1"/>
  <c r="AL535" i="1" s="1"/>
  <c r="AL536" i="1" s="1"/>
  <c r="AL537" i="1" s="1"/>
  <c r="AL538" i="1" s="1"/>
  <c r="AL539" i="1" s="1"/>
  <c r="AL540" i="1" s="1"/>
  <c r="AL541" i="1" s="1"/>
  <c r="AL542" i="1" s="1"/>
  <c r="AL543" i="1" s="1"/>
  <c r="AL544" i="1" s="1"/>
  <c r="AL545" i="1" s="1"/>
  <c r="AL546" i="1" s="1"/>
  <c r="AL547" i="1" s="1"/>
  <c r="AL548" i="1" s="1"/>
  <c r="AL549" i="1" s="1"/>
  <c r="AL550" i="1" s="1"/>
  <c r="AL551" i="1" s="1"/>
  <c r="AL552" i="1" s="1"/>
  <c r="AL553" i="1" s="1"/>
  <c r="AL554" i="1" s="1"/>
  <c r="AL555" i="1" s="1"/>
  <c r="AL556" i="1" s="1"/>
  <c r="AL557" i="1" s="1"/>
  <c r="AL558" i="1" s="1"/>
  <c r="AL559" i="1" s="1"/>
  <c r="AL560" i="1" s="1"/>
  <c r="AL561" i="1" s="1"/>
  <c r="AL562" i="1" s="1"/>
  <c r="AL563" i="1" s="1"/>
  <c r="AL564" i="1" s="1"/>
  <c r="AL565" i="1" s="1"/>
  <c r="AL566" i="1" s="1"/>
  <c r="AL567" i="1" s="1"/>
  <c r="AL568" i="1" s="1"/>
  <c r="AL569" i="1" s="1"/>
  <c r="AL570" i="1" s="1"/>
  <c r="AL571" i="1" s="1"/>
  <c r="AL572" i="1" s="1"/>
  <c r="AL573" i="1" s="1"/>
  <c r="AL574" i="1" s="1"/>
  <c r="AL575" i="1" s="1"/>
  <c r="AL576" i="1" s="1"/>
  <c r="AL577" i="1" s="1"/>
  <c r="AL578" i="1" s="1"/>
  <c r="AL579" i="1" s="1"/>
  <c r="AL580" i="1" s="1"/>
  <c r="AL581" i="1" s="1"/>
  <c r="AL582" i="1" s="1"/>
  <c r="AL583" i="1" s="1"/>
  <c r="AL584" i="1" s="1"/>
  <c r="AL585" i="1" s="1"/>
  <c r="AL586" i="1" s="1"/>
  <c r="AL587" i="1" s="1"/>
  <c r="AL588" i="1" s="1"/>
  <c r="AL589" i="1" s="1"/>
  <c r="AL590" i="1" s="1"/>
  <c r="AL591" i="1" s="1"/>
  <c r="AL592" i="1" s="1"/>
  <c r="AL593" i="1" s="1"/>
  <c r="AL594" i="1" s="1"/>
  <c r="AL595" i="1" s="1"/>
  <c r="AL596" i="1" s="1"/>
  <c r="AL597" i="1" s="1"/>
  <c r="AL598" i="1" s="1"/>
  <c r="AL599" i="1" s="1"/>
  <c r="AL600" i="1" s="1"/>
  <c r="AL601" i="1" s="1"/>
  <c r="AL602" i="1" s="1"/>
  <c r="AL603" i="1" s="1"/>
  <c r="AL604" i="1" s="1"/>
  <c r="AL605" i="1" s="1"/>
  <c r="AL606" i="1" s="1"/>
  <c r="AL607" i="1" s="1"/>
  <c r="AL608" i="1" s="1"/>
  <c r="AL609" i="1" s="1"/>
  <c r="AL610" i="1" s="1"/>
  <c r="AL611" i="1" s="1"/>
  <c r="AL612" i="1" s="1"/>
  <c r="AL613" i="1" s="1"/>
  <c r="AL614" i="1" s="1"/>
  <c r="AL615" i="1" s="1"/>
  <c r="AL616" i="1" s="1"/>
  <c r="AL617" i="1" s="1"/>
  <c r="AL618" i="1" s="1"/>
  <c r="AL619" i="1" s="1"/>
  <c r="AL620" i="1" s="1"/>
  <c r="AL621" i="1" s="1"/>
  <c r="AL622" i="1" s="1"/>
  <c r="AL623" i="1" s="1"/>
  <c r="AL624" i="1" s="1"/>
  <c r="AL625" i="1" s="1"/>
  <c r="AL626" i="1" s="1"/>
  <c r="AL627" i="1" s="1"/>
  <c r="AL628" i="1" s="1"/>
  <c r="AL629" i="1" s="1"/>
  <c r="AL630" i="1" s="1"/>
  <c r="AL631" i="1" s="1"/>
  <c r="AL632" i="1" s="1"/>
  <c r="AL633" i="1" s="1"/>
  <c r="AL634" i="1" s="1"/>
  <c r="AL635" i="1" s="1"/>
  <c r="AL636" i="1" s="1"/>
  <c r="AL637" i="1" s="1"/>
  <c r="AL638" i="1" s="1"/>
  <c r="AL639" i="1" s="1"/>
  <c r="AL640" i="1" s="1"/>
  <c r="AL641" i="1" s="1"/>
  <c r="AL642" i="1" s="1"/>
  <c r="AL643" i="1" s="1"/>
  <c r="AL644" i="1" s="1"/>
  <c r="AL645" i="1" s="1"/>
  <c r="AL646" i="1" s="1"/>
  <c r="AL647" i="1" s="1"/>
  <c r="AL648" i="1" s="1"/>
  <c r="AL649" i="1" s="1"/>
  <c r="AL650" i="1" s="1"/>
  <c r="AL651" i="1" s="1"/>
  <c r="AL652" i="1" s="1"/>
  <c r="AL653" i="1" s="1"/>
  <c r="AL654" i="1" s="1"/>
  <c r="AL655" i="1" s="1"/>
  <c r="AL656" i="1" s="1"/>
  <c r="AL657" i="1" s="1"/>
  <c r="AL658" i="1" s="1"/>
  <c r="AL659" i="1" s="1"/>
  <c r="AL660" i="1" s="1"/>
  <c r="AL661" i="1" s="1"/>
  <c r="AL662" i="1" s="1"/>
  <c r="AM18" i="1"/>
  <c r="AM19" i="1" s="1"/>
  <c r="AM20" i="1" s="1"/>
  <c r="AM21" i="1" s="1"/>
  <c r="AM22" i="1" s="1"/>
  <c r="AM23" i="1" s="1"/>
  <c r="AM24" i="1" s="1"/>
  <c r="AM25" i="1" s="1"/>
  <c r="AM26" i="1" s="1"/>
  <c r="AM27" i="1" s="1"/>
  <c r="AM28" i="1" s="1"/>
  <c r="AM29" i="1" s="1"/>
  <c r="AM30" i="1" s="1"/>
  <c r="AM31" i="1" s="1"/>
  <c r="AM32" i="1" s="1"/>
  <c r="AM33" i="1" s="1"/>
  <c r="AM34" i="1" s="1"/>
  <c r="AM35" i="1" s="1"/>
  <c r="AM36" i="1" s="1"/>
  <c r="AM37" i="1" s="1"/>
  <c r="AM38" i="1" s="1"/>
  <c r="AM39" i="1" s="1"/>
  <c r="AM40" i="1" s="1"/>
  <c r="AM41" i="1" s="1"/>
  <c r="AM42" i="1" s="1"/>
  <c r="AM43" i="1" s="1"/>
  <c r="AM44" i="1" s="1"/>
  <c r="AM45" i="1" s="1"/>
  <c r="AM46" i="1" s="1"/>
  <c r="AM47" i="1" s="1"/>
  <c r="AM48" i="1" s="1"/>
  <c r="AM49" i="1" s="1"/>
  <c r="AM50" i="1" s="1"/>
  <c r="AM51" i="1" s="1"/>
  <c r="AM52" i="1" s="1"/>
  <c r="AM53" i="1" s="1"/>
  <c r="AM54" i="1" s="1"/>
  <c r="AM55" i="1" s="1"/>
  <c r="AM56" i="1" s="1"/>
  <c r="AM57" i="1" s="1"/>
  <c r="AM58" i="1" s="1"/>
  <c r="AM59" i="1" s="1"/>
  <c r="AM60" i="1" s="1"/>
  <c r="AM61" i="1" s="1"/>
  <c r="AM62" i="1" s="1"/>
  <c r="AM63" i="1" s="1"/>
  <c r="AM64" i="1" s="1"/>
  <c r="AM65" i="1" s="1"/>
  <c r="AM66" i="1" s="1"/>
  <c r="AM67" i="1" s="1"/>
  <c r="AM68" i="1" s="1"/>
  <c r="AM69" i="1" s="1"/>
  <c r="AM70" i="1" s="1"/>
  <c r="AM71" i="1" s="1"/>
  <c r="AM72" i="1" s="1"/>
  <c r="AM73" i="1" s="1"/>
  <c r="AM74" i="1" s="1"/>
  <c r="AM75" i="1" s="1"/>
  <c r="AM76" i="1" s="1"/>
  <c r="AM77" i="1" s="1"/>
  <c r="AM78" i="1" s="1"/>
  <c r="AM79" i="1" s="1"/>
  <c r="AM80" i="1" s="1"/>
  <c r="AM81" i="1" s="1"/>
  <c r="AM82" i="1" s="1"/>
  <c r="AM83" i="1" s="1"/>
  <c r="AM84" i="1" s="1"/>
  <c r="AM85" i="1" s="1"/>
  <c r="AM86" i="1" s="1"/>
  <c r="AM87" i="1" s="1"/>
  <c r="AM88" i="1" s="1"/>
  <c r="AM89" i="1" s="1"/>
  <c r="AM90" i="1" s="1"/>
  <c r="AM91" i="1" s="1"/>
  <c r="AM92" i="1" s="1"/>
  <c r="AM93" i="1" s="1"/>
  <c r="AM94" i="1" s="1"/>
  <c r="AM95" i="1" s="1"/>
  <c r="AM96" i="1" s="1"/>
  <c r="AM97" i="1" s="1"/>
  <c r="AM98" i="1" s="1"/>
  <c r="AM99" i="1" s="1"/>
  <c r="AM100" i="1" s="1"/>
  <c r="AM101" i="1" s="1"/>
  <c r="AM102" i="1" s="1"/>
  <c r="AM103" i="1" s="1"/>
  <c r="AM104" i="1" s="1"/>
  <c r="AM105" i="1" s="1"/>
  <c r="AM106" i="1" s="1"/>
  <c r="AM107" i="1" s="1"/>
  <c r="AM108" i="1" s="1"/>
  <c r="AM109" i="1" s="1"/>
  <c r="AM110" i="1" s="1"/>
  <c r="AM111" i="1" s="1"/>
  <c r="AM112" i="1" s="1"/>
  <c r="AM113" i="1" s="1"/>
  <c r="AM114" i="1" s="1"/>
  <c r="AM115" i="1" s="1"/>
  <c r="AM116" i="1" s="1"/>
  <c r="AM117" i="1" s="1"/>
  <c r="AM118" i="1" s="1"/>
  <c r="AM119" i="1" s="1"/>
  <c r="AM120" i="1" s="1"/>
  <c r="AM121" i="1" s="1"/>
  <c r="AM122" i="1" s="1"/>
  <c r="AM123" i="1" s="1"/>
  <c r="AM124" i="1" s="1"/>
  <c r="AM125" i="1" s="1"/>
  <c r="AM126" i="1" s="1"/>
  <c r="AM127" i="1" s="1"/>
  <c r="AM128" i="1" s="1"/>
  <c r="AM129" i="1" s="1"/>
  <c r="AM130" i="1" s="1"/>
  <c r="AM131" i="1" s="1"/>
  <c r="AM132" i="1" s="1"/>
  <c r="AM133" i="1" s="1"/>
  <c r="AM134" i="1" s="1"/>
  <c r="AM135" i="1" s="1"/>
  <c r="AM136" i="1" s="1"/>
  <c r="AM137" i="1" s="1"/>
  <c r="AM138" i="1" s="1"/>
  <c r="AM139" i="1" s="1"/>
  <c r="AM140" i="1" s="1"/>
  <c r="AM141" i="1" s="1"/>
  <c r="AM142" i="1" s="1"/>
  <c r="AM143" i="1" s="1"/>
  <c r="AM144" i="1" s="1"/>
  <c r="AM145" i="1" s="1"/>
  <c r="AM146" i="1" s="1"/>
  <c r="AM147" i="1" s="1"/>
  <c r="AM148" i="1" s="1"/>
  <c r="AM149" i="1" s="1"/>
  <c r="AM150" i="1" s="1"/>
  <c r="AM151" i="1" s="1"/>
  <c r="AM152" i="1" s="1"/>
  <c r="AM153" i="1" s="1"/>
  <c r="AM154" i="1" s="1"/>
  <c r="AM155" i="1" s="1"/>
  <c r="AM156" i="1" s="1"/>
  <c r="AM157" i="1" s="1"/>
  <c r="AM158" i="1" s="1"/>
  <c r="AM159" i="1" s="1"/>
  <c r="AM160" i="1" s="1"/>
  <c r="AM161" i="1" s="1"/>
  <c r="AM162" i="1" s="1"/>
  <c r="AM163" i="1" s="1"/>
  <c r="AM164" i="1" s="1"/>
  <c r="AM165" i="1" s="1"/>
  <c r="AM166" i="1" s="1"/>
  <c r="AM167" i="1" s="1"/>
  <c r="AM168" i="1" s="1"/>
  <c r="AM169" i="1" s="1"/>
  <c r="AM170" i="1" s="1"/>
  <c r="AM171" i="1" s="1"/>
  <c r="AM172" i="1" s="1"/>
  <c r="AM173" i="1" s="1"/>
  <c r="AM174" i="1" s="1"/>
  <c r="AM175" i="1" s="1"/>
  <c r="AM176" i="1" s="1"/>
  <c r="AM177" i="1" s="1"/>
  <c r="AM178" i="1" s="1"/>
  <c r="AM179" i="1" s="1"/>
  <c r="AM180" i="1" s="1"/>
  <c r="AM181" i="1" s="1"/>
  <c r="AM182" i="1" s="1"/>
  <c r="AM183" i="1" s="1"/>
  <c r="AM184" i="1" s="1"/>
  <c r="AM185" i="1" s="1"/>
  <c r="AM186" i="1" s="1"/>
  <c r="AM187" i="1" s="1"/>
  <c r="AM188" i="1" s="1"/>
  <c r="AM189" i="1" s="1"/>
  <c r="AM190" i="1" s="1"/>
  <c r="AM191" i="1" s="1"/>
  <c r="AM192" i="1" s="1"/>
  <c r="AM193" i="1" s="1"/>
  <c r="AM194" i="1" s="1"/>
  <c r="AM195" i="1" s="1"/>
  <c r="AM196" i="1" s="1"/>
  <c r="AM197" i="1" s="1"/>
  <c r="AM198" i="1" s="1"/>
  <c r="AM199" i="1" s="1"/>
  <c r="AM200" i="1" s="1"/>
  <c r="AM201" i="1" s="1"/>
  <c r="AM202" i="1" s="1"/>
  <c r="AM203" i="1" s="1"/>
  <c r="AM204" i="1" s="1"/>
  <c r="AM205" i="1" s="1"/>
  <c r="AM206" i="1" s="1"/>
  <c r="AM207" i="1" s="1"/>
  <c r="AM208" i="1" s="1"/>
  <c r="AM209" i="1" s="1"/>
  <c r="AM210" i="1" s="1"/>
  <c r="AM211" i="1" s="1"/>
  <c r="AM212" i="1" s="1"/>
  <c r="AM213" i="1" s="1"/>
  <c r="AM214" i="1" s="1"/>
  <c r="AM215" i="1" s="1"/>
  <c r="AM216" i="1" s="1"/>
  <c r="AM217" i="1" s="1"/>
  <c r="AM218" i="1" s="1"/>
  <c r="AM219" i="1" s="1"/>
  <c r="AM220" i="1" s="1"/>
  <c r="AM221" i="1" s="1"/>
  <c r="AM222" i="1" s="1"/>
  <c r="AM223" i="1" s="1"/>
  <c r="AM224" i="1" s="1"/>
  <c r="AM225" i="1" s="1"/>
  <c r="AM226" i="1" s="1"/>
  <c r="AM227" i="1" s="1"/>
  <c r="AM228" i="1" s="1"/>
  <c r="AM229" i="1" s="1"/>
  <c r="AM230" i="1" s="1"/>
  <c r="AM231" i="1" s="1"/>
  <c r="AM232" i="1" s="1"/>
  <c r="AM233" i="1" s="1"/>
  <c r="AM234" i="1" s="1"/>
  <c r="AM235" i="1" s="1"/>
  <c r="AM236" i="1" s="1"/>
  <c r="AM237" i="1" s="1"/>
  <c r="AM238" i="1" s="1"/>
  <c r="AM239" i="1" s="1"/>
  <c r="AM240" i="1" s="1"/>
  <c r="AM241" i="1" s="1"/>
  <c r="AM242" i="1" s="1"/>
  <c r="AM243" i="1" s="1"/>
  <c r="AM244" i="1" s="1"/>
  <c r="AM245" i="1" s="1"/>
  <c r="AM246" i="1" s="1"/>
  <c r="AM247" i="1" s="1"/>
  <c r="AM248" i="1" s="1"/>
  <c r="AM249" i="1" s="1"/>
  <c r="AM250" i="1" s="1"/>
  <c r="AM251" i="1" s="1"/>
  <c r="AM252" i="1" s="1"/>
  <c r="AM253" i="1" s="1"/>
  <c r="AM254" i="1" s="1"/>
  <c r="AM255" i="1" s="1"/>
  <c r="AM256" i="1" s="1"/>
  <c r="AM257" i="1" s="1"/>
  <c r="AM258" i="1" s="1"/>
  <c r="AM259" i="1" s="1"/>
  <c r="AM260" i="1" s="1"/>
  <c r="AM261" i="1" s="1"/>
  <c r="AM262" i="1" s="1"/>
  <c r="AM263" i="1" s="1"/>
  <c r="AM264" i="1" s="1"/>
  <c r="AM265" i="1" s="1"/>
  <c r="AM266" i="1" s="1"/>
  <c r="AM267" i="1" s="1"/>
  <c r="AM268" i="1" s="1"/>
  <c r="AM269" i="1" s="1"/>
  <c r="AM270" i="1" s="1"/>
  <c r="AM271" i="1" s="1"/>
  <c r="AM272" i="1" s="1"/>
  <c r="AM273" i="1" s="1"/>
  <c r="AM274" i="1" s="1"/>
  <c r="AM275" i="1" s="1"/>
  <c r="AM276" i="1" s="1"/>
  <c r="AM277" i="1" s="1"/>
  <c r="AM278" i="1" s="1"/>
  <c r="AM279" i="1" s="1"/>
  <c r="AM280" i="1" s="1"/>
  <c r="AM281" i="1" s="1"/>
  <c r="AM282" i="1" s="1"/>
  <c r="AM283" i="1" s="1"/>
  <c r="AM284" i="1" s="1"/>
  <c r="AM285" i="1" s="1"/>
  <c r="AM286" i="1" s="1"/>
  <c r="AM287" i="1" s="1"/>
  <c r="AM288" i="1" s="1"/>
  <c r="AM289" i="1" s="1"/>
  <c r="AM290" i="1" s="1"/>
  <c r="AM291" i="1" s="1"/>
  <c r="AM292" i="1" s="1"/>
  <c r="AM293" i="1" s="1"/>
  <c r="AM294" i="1" s="1"/>
  <c r="AM295" i="1" s="1"/>
  <c r="AM296" i="1" s="1"/>
  <c r="AM297" i="1" s="1"/>
  <c r="AM298" i="1" s="1"/>
  <c r="AM299" i="1" s="1"/>
  <c r="AM300" i="1" s="1"/>
  <c r="AM301" i="1" s="1"/>
  <c r="AM302" i="1" s="1"/>
  <c r="AM303" i="1" s="1"/>
  <c r="AM304" i="1" s="1"/>
  <c r="AM305" i="1" s="1"/>
  <c r="AM306" i="1" s="1"/>
  <c r="AM307" i="1" s="1"/>
  <c r="AM308" i="1" s="1"/>
  <c r="AM309" i="1" s="1"/>
  <c r="AM310" i="1" s="1"/>
  <c r="AM311" i="1" s="1"/>
  <c r="AM312" i="1" s="1"/>
  <c r="AM313" i="1" s="1"/>
  <c r="AM314" i="1" s="1"/>
  <c r="AM315" i="1" s="1"/>
  <c r="AM316" i="1" s="1"/>
  <c r="AM317" i="1" s="1"/>
  <c r="AM318" i="1" s="1"/>
  <c r="AM319" i="1" s="1"/>
  <c r="AM320" i="1" s="1"/>
  <c r="AM321" i="1" s="1"/>
  <c r="AM322" i="1" s="1"/>
  <c r="AM323" i="1" s="1"/>
  <c r="AM324" i="1" s="1"/>
  <c r="AM325" i="1" s="1"/>
  <c r="AM326" i="1" s="1"/>
  <c r="AM327" i="1" s="1"/>
  <c r="AM328" i="1" s="1"/>
  <c r="AM329" i="1" s="1"/>
  <c r="AM330" i="1" s="1"/>
  <c r="AM331" i="1" s="1"/>
  <c r="AM332" i="1" s="1"/>
  <c r="AM333" i="1" s="1"/>
  <c r="AM334" i="1" s="1"/>
  <c r="AM335" i="1" s="1"/>
  <c r="AM336" i="1" s="1"/>
  <c r="AM337" i="1" s="1"/>
  <c r="AM338" i="1" s="1"/>
  <c r="AM339" i="1" s="1"/>
  <c r="AM340" i="1" s="1"/>
  <c r="AM341" i="1" s="1"/>
  <c r="AM342" i="1" s="1"/>
  <c r="AM343" i="1" s="1"/>
  <c r="AM344" i="1" s="1"/>
  <c r="AM345" i="1" s="1"/>
  <c r="AM346" i="1" s="1"/>
  <c r="AM347" i="1" s="1"/>
  <c r="AM348" i="1" s="1"/>
  <c r="AM349" i="1" s="1"/>
  <c r="AM350" i="1" s="1"/>
  <c r="AM351" i="1" s="1"/>
  <c r="AM352" i="1" s="1"/>
  <c r="AM353" i="1" s="1"/>
  <c r="AM354" i="1" s="1"/>
  <c r="AM355" i="1" s="1"/>
  <c r="AM356" i="1" s="1"/>
  <c r="AM357" i="1" s="1"/>
  <c r="AM358" i="1" s="1"/>
  <c r="AM359" i="1" s="1"/>
  <c r="AM360" i="1" s="1"/>
  <c r="AM361" i="1" s="1"/>
  <c r="AM362" i="1" s="1"/>
  <c r="AM363" i="1" s="1"/>
  <c r="AM364" i="1" s="1"/>
  <c r="AM365" i="1" s="1"/>
  <c r="AM366" i="1" s="1"/>
  <c r="AM367" i="1" s="1"/>
  <c r="AM368" i="1" s="1"/>
  <c r="AM369" i="1" s="1"/>
  <c r="AM370" i="1" s="1"/>
  <c r="AM371" i="1" s="1"/>
  <c r="AM372" i="1" s="1"/>
  <c r="AM373" i="1" s="1"/>
  <c r="AM374" i="1" s="1"/>
  <c r="AM375" i="1" s="1"/>
  <c r="AM376" i="1" s="1"/>
  <c r="AM377" i="1" s="1"/>
  <c r="AM378" i="1" s="1"/>
  <c r="AM379" i="1" s="1"/>
  <c r="AM380" i="1" s="1"/>
  <c r="AM381" i="1" s="1"/>
  <c r="AM382" i="1" s="1"/>
  <c r="AM383" i="1" s="1"/>
  <c r="AM384" i="1" s="1"/>
  <c r="AM385" i="1" s="1"/>
  <c r="AM386" i="1" s="1"/>
  <c r="AM387" i="1" s="1"/>
  <c r="AM388" i="1" s="1"/>
  <c r="AM389" i="1" s="1"/>
  <c r="AM390" i="1" s="1"/>
  <c r="AM391" i="1" s="1"/>
  <c r="AM392" i="1" s="1"/>
  <c r="AM393" i="1" s="1"/>
  <c r="AM394" i="1" s="1"/>
  <c r="AM395" i="1" s="1"/>
  <c r="AM396" i="1" s="1"/>
  <c r="AM397" i="1" s="1"/>
  <c r="AM398" i="1" s="1"/>
  <c r="AM399" i="1" s="1"/>
  <c r="AM400" i="1" s="1"/>
  <c r="AM401" i="1" s="1"/>
  <c r="AM402" i="1" s="1"/>
  <c r="AM403" i="1" s="1"/>
  <c r="AM404" i="1" s="1"/>
  <c r="AM405" i="1" s="1"/>
  <c r="AM406" i="1" s="1"/>
  <c r="AM407" i="1" s="1"/>
  <c r="AM408" i="1" s="1"/>
  <c r="AM409" i="1" s="1"/>
  <c r="AM410" i="1" s="1"/>
  <c r="AM411" i="1" s="1"/>
  <c r="AM412" i="1" s="1"/>
  <c r="AM413" i="1" s="1"/>
  <c r="AM414" i="1" s="1"/>
  <c r="AM415" i="1" s="1"/>
  <c r="AM416" i="1" s="1"/>
  <c r="AM417" i="1" s="1"/>
  <c r="AM418" i="1" s="1"/>
  <c r="AM419" i="1" s="1"/>
  <c r="AM420" i="1" s="1"/>
  <c r="AM421" i="1" s="1"/>
  <c r="AM422" i="1" s="1"/>
  <c r="AM423" i="1" s="1"/>
  <c r="AM424" i="1" s="1"/>
  <c r="AM425" i="1" s="1"/>
  <c r="AM426" i="1" s="1"/>
  <c r="AM427" i="1" s="1"/>
  <c r="AM428" i="1" s="1"/>
  <c r="AM429" i="1" s="1"/>
  <c r="AM430" i="1" s="1"/>
  <c r="AM431" i="1" s="1"/>
  <c r="AM432" i="1" s="1"/>
  <c r="AM433" i="1" s="1"/>
  <c r="AM434" i="1" s="1"/>
  <c r="AM435" i="1" s="1"/>
  <c r="AM436" i="1" s="1"/>
  <c r="AM437" i="1" s="1"/>
  <c r="AM438" i="1" s="1"/>
  <c r="AM439" i="1" s="1"/>
  <c r="AM440" i="1" s="1"/>
  <c r="AM441" i="1" s="1"/>
  <c r="AM442" i="1" s="1"/>
  <c r="AM443" i="1" s="1"/>
  <c r="AM444" i="1" s="1"/>
  <c r="AM445" i="1" s="1"/>
  <c r="AM446" i="1" s="1"/>
  <c r="AM447" i="1" s="1"/>
  <c r="AM448" i="1" s="1"/>
  <c r="AM449" i="1" s="1"/>
  <c r="AM450" i="1" s="1"/>
  <c r="AM451" i="1" s="1"/>
  <c r="AM452" i="1" s="1"/>
  <c r="AM453" i="1" s="1"/>
  <c r="AM454" i="1" s="1"/>
  <c r="AM455" i="1" s="1"/>
  <c r="AM456" i="1" s="1"/>
  <c r="AM457" i="1" s="1"/>
  <c r="AM458" i="1" s="1"/>
  <c r="AM459" i="1" s="1"/>
  <c r="AM460" i="1" s="1"/>
  <c r="AM461" i="1" s="1"/>
  <c r="AM462" i="1" s="1"/>
  <c r="AM463" i="1" s="1"/>
  <c r="AM464" i="1" s="1"/>
  <c r="AM465" i="1" s="1"/>
  <c r="AM466" i="1" s="1"/>
  <c r="AM467" i="1" s="1"/>
  <c r="AM468" i="1" s="1"/>
  <c r="AM469" i="1" s="1"/>
  <c r="AM470" i="1" s="1"/>
  <c r="AM471" i="1" s="1"/>
  <c r="AM472" i="1" s="1"/>
  <c r="AM473" i="1" s="1"/>
  <c r="AM474" i="1" s="1"/>
  <c r="AM475" i="1" s="1"/>
  <c r="AM476" i="1" s="1"/>
  <c r="AM477" i="1" s="1"/>
  <c r="AM478" i="1" s="1"/>
  <c r="AM479" i="1" s="1"/>
  <c r="AM480" i="1" s="1"/>
  <c r="AM481" i="1" s="1"/>
  <c r="AM482" i="1" s="1"/>
  <c r="AM483" i="1" s="1"/>
  <c r="AM484" i="1" s="1"/>
  <c r="AM485" i="1" s="1"/>
  <c r="AM486" i="1" s="1"/>
  <c r="AM487" i="1" s="1"/>
  <c r="AM488" i="1" s="1"/>
  <c r="AM489" i="1" s="1"/>
  <c r="AM490" i="1" s="1"/>
  <c r="AM491" i="1" s="1"/>
  <c r="AM492" i="1" s="1"/>
  <c r="AM493" i="1" s="1"/>
  <c r="AM494" i="1" s="1"/>
  <c r="AM495" i="1" s="1"/>
  <c r="AM496" i="1" s="1"/>
  <c r="AM497" i="1" s="1"/>
  <c r="AM498" i="1" s="1"/>
  <c r="AM499" i="1" s="1"/>
  <c r="AM500" i="1" s="1"/>
  <c r="AM501" i="1" s="1"/>
  <c r="AM502" i="1" s="1"/>
  <c r="AM503" i="1" s="1"/>
  <c r="AM504" i="1" s="1"/>
  <c r="AM505" i="1" s="1"/>
  <c r="AM506" i="1" s="1"/>
  <c r="AM507" i="1" s="1"/>
  <c r="AM508" i="1" s="1"/>
  <c r="AM509" i="1" s="1"/>
  <c r="AM510" i="1" s="1"/>
  <c r="AM511" i="1" s="1"/>
  <c r="AM512" i="1" s="1"/>
  <c r="AM513" i="1" s="1"/>
  <c r="AM514" i="1" s="1"/>
  <c r="AM515" i="1" s="1"/>
  <c r="AM516" i="1" s="1"/>
  <c r="AM517" i="1" s="1"/>
  <c r="AM518" i="1" s="1"/>
  <c r="AM519" i="1" s="1"/>
  <c r="AM520" i="1" s="1"/>
  <c r="AM521" i="1" s="1"/>
  <c r="AM522" i="1" s="1"/>
  <c r="AM523" i="1" s="1"/>
  <c r="AM524" i="1" s="1"/>
  <c r="AM525" i="1" s="1"/>
  <c r="AM526" i="1" s="1"/>
  <c r="AM527" i="1" s="1"/>
  <c r="AM528" i="1" s="1"/>
  <c r="AM529" i="1" s="1"/>
  <c r="AM530" i="1" s="1"/>
  <c r="AM531" i="1" s="1"/>
  <c r="AM532" i="1" s="1"/>
  <c r="AM533" i="1" s="1"/>
  <c r="AM534" i="1" s="1"/>
  <c r="AM535" i="1" s="1"/>
  <c r="AM536" i="1" s="1"/>
  <c r="AM537" i="1" s="1"/>
  <c r="AM538" i="1" s="1"/>
  <c r="AM539" i="1" s="1"/>
  <c r="AM540" i="1" s="1"/>
  <c r="AM541" i="1" s="1"/>
  <c r="AM542" i="1" s="1"/>
  <c r="AM543" i="1" s="1"/>
  <c r="AM544" i="1" s="1"/>
  <c r="AM545" i="1" s="1"/>
  <c r="AM546" i="1" s="1"/>
  <c r="AM547" i="1" s="1"/>
  <c r="AM548" i="1" s="1"/>
  <c r="AM549" i="1" s="1"/>
  <c r="AM550" i="1" s="1"/>
  <c r="AM551" i="1" s="1"/>
  <c r="AM552" i="1" s="1"/>
  <c r="AM553" i="1" s="1"/>
  <c r="AM554" i="1" s="1"/>
  <c r="AM555" i="1" s="1"/>
  <c r="AM556" i="1" s="1"/>
  <c r="AM557" i="1" s="1"/>
  <c r="AM558" i="1" s="1"/>
  <c r="AM559" i="1" s="1"/>
  <c r="AM560" i="1" s="1"/>
  <c r="AM561" i="1" s="1"/>
  <c r="AM562" i="1" s="1"/>
  <c r="AM563" i="1" s="1"/>
  <c r="AM564" i="1" s="1"/>
  <c r="AM565" i="1" s="1"/>
  <c r="AM566" i="1" s="1"/>
  <c r="AM567" i="1" s="1"/>
  <c r="AM568" i="1" s="1"/>
  <c r="AM569" i="1" s="1"/>
  <c r="AM570" i="1" s="1"/>
  <c r="AM571" i="1" s="1"/>
  <c r="AM572" i="1" s="1"/>
  <c r="AM573" i="1" s="1"/>
  <c r="AM574" i="1" s="1"/>
  <c r="AM575" i="1" s="1"/>
  <c r="AM576" i="1" s="1"/>
  <c r="AM577" i="1" s="1"/>
  <c r="AM578" i="1" s="1"/>
  <c r="AM579" i="1" s="1"/>
  <c r="AM580" i="1" s="1"/>
  <c r="AM581" i="1" s="1"/>
  <c r="AM582" i="1" s="1"/>
  <c r="AM583" i="1" s="1"/>
  <c r="AM584" i="1" s="1"/>
  <c r="AM585" i="1" s="1"/>
  <c r="AM586" i="1" s="1"/>
  <c r="AM587" i="1" s="1"/>
  <c r="AM588" i="1" s="1"/>
  <c r="AM589" i="1" s="1"/>
  <c r="AM590" i="1" s="1"/>
  <c r="AM591" i="1" s="1"/>
  <c r="AM592" i="1" s="1"/>
  <c r="AM593" i="1" s="1"/>
  <c r="AM594" i="1" s="1"/>
  <c r="AM595" i="1" s="1"/>
  <c r="AM596" i="1" s="1"/>
  <c r="AM597" i="1" s="1"/>
  <c r="AM598" i="1" s="1"/>
  <c r="AM599" i="1" s="1"/>
  <c r="AM600" i="1" s="1"/>
  <c r="AM601" i="1" s="1"/>
  <c r="AM602" i="1" s="1"/>
  <c r="AM603" i="1" s="1"/>
  <c r="AM604" i="1" s="1"/>
  <c r="AM605" i="1" s="1"/>
  <c r="AM606" i="1" s="1"/>
  <c r="AM607" i="1" s="1"/>
  <c r="AM608" i="1" s="1"/>
  <c r="AM609" i="1" s="1"/>
  <c r="AM610" i="1" s="1"/>
  <c r="AM611" i="1" s="1"/>
  <c r="AM612" i="1" s="1"/>
  <c r="AM613" i="1" s="1"/>
  <c r="AM614" i="1" s="1"/>
  <c r="AM615" i="1" s="1"/>
  <c r="AM616" i="1" s="1"/>
  <c r="AM617" i="1" s="1"/>
  <c r="AM618" i="1" s="1"/>
  <c r="AM619" i="1" s="1"/>
  <c r="AM620" i="1" s="1"/>
  <c r="AM621" i="1" s="1"/>
  <c r="AM622" i="1" s="1"/>
  <c r="AM623" i="1" s="1"/>
  <c r="AM624" i="1" s="1"/>
  <c r="AM625" i="1" s="1"/>
  <c r="AM626" i="1" s="1"/>
  <c r="AM627" i="1" s="1"/>
  <c r="AM628" i="1" s="1"/>
  <c r="AM629" i="1" s="1"/>
  <c r="AM630" i="1" s="1"/>
  <c r="AM631" i="1" s="1"/>
  <c r="AM632" i="1" s="1"/>
  <c r="AM633" i="1" s="1"/>
  <c r="AM634" i="1" s="1"/>
  <c r="AM635" i="1" s="1"/>
  <c r="AM636" i="1" s="1"/>
  <c r="AM637" i="1" s="1"/>
  <c r="AM638" i="1" s="1"/>
  <c r="AM639" i="1" s="1"/>
  <c r="AM640" i="1" s="1"/>
  <c r="AM641" i="1" s="1"/>
  <c r="AM642" i="1" s="1"/>
  <c r="AM643" i="1" s="1"/>
  <c r="AM644" i="1" s="1"/>
  <c r="AM645" i="1" s="1"/>
  <c r="AM646" i="1" s="1"/>
  <c r="AM647" i="1" s="1"/>
  <c r="AM648" i="1" s="1"/>
  <c r="AM649" i="1" s="1"/>
  <c r="AM650" i="1" s="1"/>
  <c r="AM651" i="1" s="1"/>
  <c r="AM652" i="1" s="1"/>
  <c r="AM653" i="1" s="1"/>
  <c r="AM654" i="1" s="1"/>
  <c r="AM655" i="1" s="1"/>
  <c r="AM656" i="1" s="1"/>
  <c r="AM657" i="1" s="1"/>
  <c r="AM658" i="1" s="1"/>
  <c r="AM659" i="1" s="1"/>
  <c r="AM660" i="1" s="1"/>
  <c r="AM661" i="1" s="1"/>
  <c r="AM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X7" i="3"/>
  <c r="F35" i="1"/>
  <c r="H35" i="1" s="1"/>
  <c r="F32" i="1"/>
  <c r="G32" i="1" s="1"/>
  <c r="AE648" i="1"/>
  <c r="U648" i="1"/>
  <c r="T648" i="1"/>
  <c r="AD648" i="1"/>
  <c r="V648" i="1"/>
  <c r="AD519" i="1"/>
  <c r="T519" i="1"/>
  <c r="U519" i="1"/>
  <c r="V519" i="1"/>
  <c r="AE519" i="1"/>
  <c r="T462" i="1"/>
  <c r="U462" i="1"/>
  <c r="V462" i="1"/>
  <c r="AD462" i="1"/>
  <c r="AE462" i="1"/>
  <c r="AD533" i="1"/>
  <c r="T533" i="1"/>
  <c r="U533" i="1"/>
  <c r="AE533" i="1"/>
  <c r="V533" i="1"/>
  <c r="AD572" i="1"/>
  <c r="AE572" i="1"/>
  <c r="U572" i="1"/>
  <c r="V572" i="1"/>
  <c r="T572" i="1"/>
  <c r="AD577" i="1"/>
  <c r="AE577" i="1"/>
  <c r="U577" i="1"/>
  <c r="V577" i="1"/>
  <c r="T577" i="1"/>
  <c r="AD497" i="1"/>
  <c r="T497" i="1"/>
  <c r="AE497" i="1"/>
  <c r="V497" i="1"/>
  <c r="U497" i="1"/>
  <c r="AE617" i="1"/>
  <c r="U617" i="1"/>
  <c r="T617" i="1"/>
  <c r="V617" i="1"/>
  <c r="AD617" i="1"/>
  <c r="AE640" i="1"/>
  <c r="AD640" i="1"/>
  <c r="T640" i="1"/>
  <c r="U640" i="1"/>
  <c r="V640" i="1"/>
  <c r="AD576" i="1"/>
  <c r="AE576" i="1"/>
  <c r="U576" i="1"/>
  <c r="V576" i="1"/>
  <c r="T576" i="1"/>
  <c r="AD512" i="1"/>
  <c r="T512" i="1"/>
  <c r="V512" i="1"/>
  <c r="AE512" i="1"/>
  <c r="U512" i="1"/>
  <c r="T448" i="1"/>
  <c r="U448" i="1"/>
  <c r="V448" i="1"/>
  <c r="AD448" i="1"/>
  <c r="AE448" i="1"/>
  <c r="AE639" i="1"/>
  <c r="U639" i="1"/>
  <c r="AD639" i="1"/>
  <c r="T639" i="1"/>
  <c r="V639" i="1"/>
  <c r="AD575" i="1"/>
  <c r="AE575" i="1"/>
  <c r="U575" i="1"/>
  <c r="V575" i="1"/>
  <c r="T575" i="1"/>
  <c r="AD511" i="1"/>
  <c r="T511" i="1"/>
  <c r="U511" i="1"/>
  <c r="V511" i="1"/>
  <c r="AE511" i="1"/>
  <c r="T447" i="1"/>
  <c r="U447" i="1"/>
  <c r="V447" i="1"/>
  <c r="AD447" i="1"/>
  <c r="AE447" i="1"/>
  <c r="AE646" i="1"/>
  <c r="U646" i="1"/>
  <c r="T646" i="1"/>
  <c r="V646" i="1"/>
  <c r="AD646" i="1"/>
  <c r="AD582" i="1"/>
  <c r="AE582" i="1"/>
  <c r="U582" i="1"/>
  <c r="V582" i="1"/>
  <c r="T582" i="1"/>
  <c r="AD518" i="1"/>
  <c r="T518" i="1"/>
  <c r="U518" i="1"/>
  <c r="AE518" i="1"/>
  <c r="V518" i="1"/>
  <c r="T454" i="1"/>
  <c r="U454" i="1"/>
  <c r="V454" i="1"/>
  <c r="AD454" i="1"/>
  <c r="AE454" i="1"/>
  <c r="AD653" i="1"/>
  <c r="AE653" i="1"/>
  <c r="U653" i="1"/>
  <c r="T653" i="1"/>
  <c r="V653" i="1"/>
  <c r="AD589" i="1"/>
  <c r="AE589" i="1"/>
  <c r="U589" i="1"/>
  <c r="V589" i="1"/>
  <c r="T589" i="1"/>
  <c r="AD525" i="1"/>
  <c r="T525" i="1"/>
  <c r="U525" i="1"/>
  <c r="AE525" i="1"/>
  <c r="V525" i="1"/>
  <c r="T461" i="1"/>
  <c r="U461" i="1"/>
  <c r="V461" i="1"/>
  <c r="AD461" i="1"/>
  <c r="AE461" i="1"/>
  <c r="T397" i="1"/>
  <c r="U397" i="1"/>
  <c r="V397" i="1"/>
  <c r="AD397" i="1"/>
  <c r="AE397" i="1"/>
  <c r="AE628" i="1"/>
  <c r="U628" i="1"/>
  <c r="T628" i="1"/>
  <c r="AD628" i="1"/>
  <c r="V628" i="1"/>
  <c r="AD564" i="1"/>
  <c r="AE564" i="1"/>
  <c r="U564" i="1"/>
  <c r="V564" i="1"/>
  <c r="T564" i="1"/>
  <c r="AD500" i="1"/>
  <c r="T500" i="1"/>
  <c r="V500" i="1"/>
  <c r="AE500" i="1"/>
  <c r="U500" i="1"/>
  <c r="T436" i="1"/>
  <c r="U436" i="1"/>
  <c r="V436" i="1"/>
  <c r="AD436" i="1"/>
  <c r="AE436" i="1"/>
  <c r="AE635" i="1"/>
  <c r="T635" i="1"/>
  <c r="U635" i="1"/>
  <c r="V635" i="1"/>
  <c r="AD635" i="1"/>
  <c r="AD571" i="1"/>
  <c r="AE571" i="1"/>
  <c r="U571" i="1"/>
  <c r="V571" i="1"/>
  <c r="T571" i="1"/>
  <c r="AD507" i="1"/>
  <c r="T507" i="1"/>
  <c r="U507" i="1"/>
  <c r="V507" i="1"/>
  <c r="AE507" i="1"/>
  <c r="T443" i="1"/>
  <c r="U443" i="1"/>
  <c r="V443" i="1"/>
  <c r="AD443" i="1"/>
  <c r="AE443" i="1"/>
  <c r="AE642" i="1"/>
  <c r="U642" i="1"/>
  <c r="T642" i="1"/>
  <c r="V642" i="1"/>
  <c r="AD642" i="1"/>
  <c r="AD578" i="1"/>
  <c r="AE578" i="1"/>
  <c r="U578" i="1"/>
  <c r="V578" i="1"/>
  <c r="T578" i="1"/>
  <c r="AD514" i="1"/>
  <c r="T514" i="1"/>
  <c r="U514" i="1"/>
  <c r="V514" i="1"/>
  <c r="AE514" i="1"/>
  <c r="T450" i="1"/>
  <c r="U450" i="1"/>
  <c r="V450" i="1"/>
  <c r="AD450" i="1"/>
  <c r="AE450" i="1"/>
  <c r="T473" i="1"/>
  <c r="U473" i="1"/>
  <c r="V473" i="1"/>
  <c r="AD473" i="1"/>
  <c r="AE473" i="1"/>
  <c r="AD520" i="1"/>
  <c r="T520" i="1"/>
  <c r="V520" i="1"/>
  <c r="AE520" i="1"/>
  <c r="U520" i="1"/>
  <c r="T455" i="1"/>
  <c r="U455" i="1"/>
  <c r="V455" i="1"/>
  <c r="AD455" i="1"/>
  <c r="AE455" i="1"/>
  <c r="T405" i="1"/>
  <c r="U405" i="1"/>
  <c r="V405" i="1"/>
  <c r="AD405" i="1"/>
  <c r="AE405" i="1"/>
  <c r="AD508" i="1"/>
  <c r="T508" i="1"/>
  <c r="V508" i="1"/>
  <c r="AE508" i="1"/>
  <c r="U508" i="1"/>
  <c r="AD593" i="1"/>
  <c r="AE593" i="1"/>
  <c r="U593" i="1"/>
  <c r="V593" i="1"/>
  <c r="T593" i="1"/>
  <c r="T449" i="1"/>
  <c r="U449" i="1"/>
  <c r="V449" i="1"/>
  <c r="AD449" i="1"/>
  <c r="AE449" i="1"/>
  <c r="T433" i="1"/>
  <c r="U433" i="1"/>
  <c r="V433" i="1"/>
  <c r="AD433" i="1"/>
  <c r="AE433" i="1"/>
  <c r="AD529" i="1"/>
  <c r="T529" i="1"/>
  <c r="AE529" i="1"/>
  <c r="V529" i="1"/>
  <c r="U529" i="1"/>
  <c r="AD553" i="1"/>
  <c r="T553" i="1"/>
  <c r="AE553" i="1"/>
  <c r="U553" i="1"/>
  <c r="V553" i="1"/>
  <c r="T409" i="1"/>
  <c r="U409" i="1"/>
  <c r="V409" i="1"/>
  <c r="AD409" i="1"/>
  <c r="AE409" i="1"/>
  <c r="AD609" i="1"/>
  <c r="AE609" i="1"/>
  <c r="U609" i="1"/>
  <c r="T609" i="1"/>
  <c r="V609" i="1"/>
  <c r="AE632" i="1"/>
  <c r="U632" i="1"/>
  <c r="T632" i="1"/>
  <c r="V632" i="1"/>
  <c r="AD632" i="1"/>
  <c r="AD568" i="1"/>
  <c r="AE568" i="1"/>
  <c r="U568" i="1"/>
  <c r="V568" i="1"/>
  <c r="T568" i="1"/>
  <c r="AD504" i="1"/>
  <c r="T504" i="1"/>
  <c r="V504" i="1"/>
  <c r="AE504" i="1"/>
  <c r="U504" i="1"/>
  <c r="T440" i="1"/>
  <c r="U440" i="1"/>
  <c r="V440" i="1"/>
  <c r="AD440" i="1"/>
  <c r="AE440" i="1"/>
  <c r="AD631" i="1"/>
  <c r="AE631" i="1"/>
  <c r="U631" i="1"/>
  <c r="T631" i="1"/>
  <c r="V631" i="1"/>
  <c r="AD567" i="1"/>
  <c r="AE567" i="1"/>
  <c r="U567" i="1"/>
  <c r="V567" i="1"/>
  <c r="T567" i="1"/>
  <c r="AD503" i="1"/>
  <c r="T503" i="1"/>
  <c r="U503" i="1"/>
  <c r="V503" i="1"/>
  <c r="AE503" i="1"/>
  <c r="T439" i="1"/>
  <c r="U439" i="1"/>
  <c r="V439" i="1"/>
  <c r="AD439" i="1"/>
  <c r="AE439" i="1"/>
  <c r="AD638" i="1"/>
  <c r="AE638" i="1"/>
  <c r="T638" i="1"/>
  <c r="U638" i="1"/>
  <c r="V638" i="1"/>
  <c r="AD574" i="1"/>
  <c r="AE574" i="1"/>
  <c r="U574" i="1"/>
  <c r="V574" i="1"/>
  <c r="T574" i="1"/>
  <c r="AD510" i="1"/>
  <c r="T510" i="1"/>
  <c r="U510" i="1"/>
  <c r="AE510" i="1"/>
  <c r="V510" i="1"/>
  <c r="T446" i="1"/>
  <c r="U446" i="1"/>
  <c r="V446" i="1"/>
  <c r="AD446" i="1"/>
  <c r="AE446" i="1"/>
  <c r="AE645" i="1"/>
  <c r="U645" i="1"/>
  <c r="T645" i="1"/>
  <c r="V645" i="1"/>
  <c r="AD645" i="1"/>
  <c r="AD581" i="1"/>
  <c r="AE581" i="1"/>
  <c r="U581" i="1"/>
  <c r="V581" i="1"/>
  <c r="T581" i="1"/>
  <c r="AD517" i="1"/>
  <c r="T517" i="1"/>
  <c r="U517" i="1"/>
  <c r="AE517" i="1"/>
  <c r="V517" i="1"/>
  <c r="T453" i="1"/>
  <c r="U453" i="1"/>
  <c r="V453" i="1"/>
  <c r="AD453" i="1"/>
  <c r="AE453" i="1"/>
  <c r="AD620" i="1"/>
  <c r="AE620" i="1"/>
  <c r="T620" i="1"/>
  <c r="U620" i="1"/>
  <c r="V620" i="1"/>
  <c r="AD556" i="1"/>
  <c r="AE556" i="1"/>
  <c r="U556" i="1"/>
  <c r="V556" i="1"/>
  <c r="T556" i="1"/>
  <c r="AD492" i="1"/>
  <c r="T492" i="1"/>
  <c r="V492" i="1"/>
  <c r="AE492" i="1"/>
  <c r="U492" i="1"/>
  <c r="T428" i="1"/>
  <c r="U428" i="1"/>
  <c r="V428" i="1"/>
  <c r="AD428" i="1"/>
  <c r="AE428" i="1"/>
  <c r="AD627" i="1"/>
  <c r="AE627" i="1"/>
  <c r="U627" i="1"/>
  <c r="T627" i="1"/>
  <c r="V627" i="1"/>
  <c r="AD563" i="1"/>
  <c r="AE563" i="1"/>
  <c r="U563" i="1"/>
  <c r="V563" i="1"/>
  <c r="T563" i="1"/>
  <c r="AD499" i="1"/>
  <c r="T499" i="1"/>
  <c r="U499" i="1"/>
  <c r="V499" i="1"/>
  <c r="AE499" i="1"/>
  <c r="T435" i="1"/>
  <c r="U435" i="1"/>
  <c r="V435" i="1"/>
  <c r="AD435" i="1"/>
  <c r="AE435" i="1"/>
  <c r="AE634" i="1"/>
  <c r="U634" i="1"/>
  <c r="T634" i="1"/>
  <c r="AD634" i="1"/>
  <c r="V634" i="1"/>
  <c r="AD570" i="1"/>
  <c r="AE570" i="1"/>
  <c r="U570" i="1"/>
  <c r="V570" i="1"/>
  <c r="T570" i="1"/>
  <c r="AD506" i="1"/>
  <c r="T506" i="1"/>
  <c r="U506" i="1"/>
  <c r="V506" i="1"/>
  <c r="AE506" i="1"/>
  <c r="T442" i="1"/>
  <c r="U442" i="1"/>
  <c r="V442" i="1"/>
  <c r="AD442" i="1"/>
  <c r="AE442" i="1"/>
  <c r="AD583" i="1"/>
  <c r="AE583" i="1"/>
  <c r="U583" i="1"/>
  <c r="V583" i="1"/>
  <c r="T583" i="1"/>
  <c r="T398" i="1"/>
  <c r="U398" i="1"/>
  <c r="V398" i="1"/>
  <c r="AD398" i="1"/>
  <c r="AE398" i="1"/>
  <c r="T469" i="1"/>
  <c r="U469" i="1"/>
  <c r="V469" i="1"/>
  <c r="AD469" i="1"/>
  <c r="AE469" i="1"/>
  <c r="AE636" i="1"/>
  <c r="U636" i="1"/>
  <c r="T636" i="1"/>
  <c r="V636" i="1"/>
  <c r="AD636" i="1"/>
  <c r="T444" i="1"/>
  <c r="U444" i="1"/>
  <c r="V444" i="1"/>
  <c r="AD444" i="1"/>
  <c r="AE444" i="1"/>
  <c r="AE643" i="1"/>
  <c r="U643" i="1"/>
  <c r="T643" i="1"/>
  <c r="AD643" i="1"/>
  <c r="V643" i="1"/>
  <c r="AD579" i="1"/>
  <c r="AE579" i="1"/>
  <c r="U579" i="1"/>
  <c r="V579" i="1"/>
  <c r="T579" i="1"/>
  <c r="AD515" i="1"/>
  <c r="T515" i="1"/>
  <c r="U515" i="1"/>
  <c r="V515" i="1"/>
  <c r="AE515" i="1"/>
  <c r="T451" i="1"/>
  <c r="U451" i="1"/>
  <c r="V451" i="1"/>
  <c r="AD451" i="1"/>
  <c r="AE451" i="1"/>
  <c r="AE650" i="1"/>
  <c r="U650" i="1"/>
  <c r="T650" i="1"/>
  <c r="V650" i="1"/>
  <c r="AD650" i="1"/>
  <c r="AD586" i="1"/>
  <c r="AE586" i="1"/>
  <c r="U586" i="1"/>
  <c r="V586" i="1"/>
  <c r="T586" i="1"/>
  <c r="AD522" i="1"/>
  <c r="T522" i="1"/>
  <c r="U522" i="1"/>
  <c r="V522" i="1"/>
  <c r="AE522" i="1"/>
  <c r="T401" i="1"/>
  <c r="U401" i="1"/>
  <c r="V401" i="1"/>
  <c r="AD401" i="1"/>
  <c r="AE401" i="1"/>
  <c r="AD489" i="1"/>
  <c r="T489" i="1"/>
  <c r="AE489" i="1"/>
  <c r="V489" i="1"/>
  <c r="U489" i="1"/>
  <c r="AD545" i="1"/>
  <c r="T545" i="1"/>
  <c r="AE545" i="1"/>
  <c r="U545" i="1"/>
  <c r="V545" i="1"/>
  <c r="AD624" i="1"/>
  <c r="AE624" i="1"/>
  <c r="T624" i="1"/>
  <c r="U624" i="1"/>
  <c r="V624" i="1"/>
  <c r="AD560" i="1"/>
  <c r="AE560" i="1"/>
  <c r="U560" i="1"/>
  <c r="V560" i="1"/>
  <c r="T560" i="1"/>
  <c r="AD496" i="1"/>
  <c r="T496" i="1"/>
  <c r="V496" i="1"/>
  <c r="AE496" i="1"/>
  <c r="U496" i="1"/>
  <c r="T432" i="1"/>
  <c r="U432" i="1"/>
  <c r="V432" i="1"/>
  <c r="AD432" i="1"/>
  <c r="AE432" i="1"/>
  <c r="AD623" i="1"/>
  <c r="AE623" i="1"/>
  <c r="U623" i="1"/>
  <c r="T623" i="1"/>
  <c r="V623" i="1"/>
  <c r="AD559" i="1"/>
  <c r="AE559" i="1"/>
  <c r="U559" i="1"/>
  <c r="V559" i="1"/>
  <c r="T559" i="1"/>
  <c r="AD495" i="1"/>
  <c r="T495" i="1"/>
  <c r="U495" i="1"/>
  <c r="V495" i="1"/>
  <c r="AE495" i="1"/>
  <c r="T431" i="1"/>
  <c r="U431" i="1"/>
  <c r="V431" i="1"/>
  <c r="AD431" i="1"/>
  <c r="AE431" i="1"/>
  <c r="AE630" i="1"/>
  <c r="AD630" i="1"/>
  <c r="T630" i="1"/>
  <c r="U630" i="1"/>
  <c r="V630" i="1"/>
  <c r="AD566" i="1"/>
  <c r="AE566" i="1"/>
  <c r="U566" i="1"/>
  <c r="V566" i="1"/>
  <c r="T566" i="1"/>
  <c r="AD502" i="1"/>
  <c r="T502" i="1"/>
  <c r="U502" i="1"/>
  <c r="V502" i="1"/>
  <c r="AE502" i="1"/>
  <c r="T438" i="1"/>
  <c r="U438" i="1"/>
  <c r="V438" i="1"/>
  <c r="AD438" i="1"/>
  <c r="AE438" i="1"/>
  <c r="AE637" i="1"/>
  <c r="U637" i="1"/>
  <c r="T637" i="1"/>
  <c r="AD637" i="1"/>
  <c r="V637" i="1"/>
  <c r="AD573" i="1"/>
  <c r="AE573" i="1"/>
  <c r="U573" i="1"/>
  <c r="V573" i="1"/>
  <c r="T573" i="1"/>
  <c r="AD509" i="1"/>
  <c r="T509" i="1"/>
  <c r="U509" i="1"/>
  <c r="AE509" i="1"/>
  <c r="V509" i="1"/>
  <c r="T445" i="1"/>
  <c r="U445" i="1"/>
  <c r="V445" i="1"/>
  <c r="AD445" i="1"/>
  <c r="AE445" i="1"/>
  <c r="AE612" i="1"/>
  <c r="U612" i="1"/>
  <c r="AD612" i="1"/>
  <c r="T612" i="1"/>
  <c r="V612" i="1"/>
  <c r="AD548" i="1"/>
  <c r="T548" i="1"/>
  <c r="V548" i="1"/>
  <c r="AE548" i="1"/>
  <c r="U548" i="1"/>
  <c r="AD484" i="1"/>
  <c r="T484" i="1"/>
  <c r="V484" i="1"/>
  <c r="AE484" i="1"/>
  <c r="U484" i="1"/>
  <c r="T420" i="1"/>
  <c r="U420" i="1"/>
  <c r="V420" i="1"/>
  <c r="AD420" i="1"/>
  <c r="AE420" i="1"/>
  <c r="AD619" i="1"/>
  <c r="AE619" i="1"/>
  <c r="U619" i="1"/>
  <c r="T619" i="1"/>
  <c r="V619" i="1"/>
  <c r="T555" i="1"/>
  <c r="AD555" i="1"/>
  <c r="AE555" i="1"/>
  <c r="U555" i="1"/>
  <c r="V555" i="1"/>
  <c r="AD491" i="1"/>
  <c r="T491" i="1"/>
  <c r="U491" i="1"/>
  <c r="V491" i="1"/>
  <c r="AE491" i="1"/>
  <c r="T427" i="1"/>
  <c r="U427" i="1"/>
  <c r="V427" i="1"/>
  <c r="AD427" i="1"/>
  <c r="AE427" i="1"/>
  <c r="AE626" i="1"/>
  <c r="U626" i="1"/>
  <c r="T626" i="1"/>
  <c r="V626" i="1"/>
  <c r="AD626" i="1"/>
  <c r="AD562" i="1"/>
  <c r="AE562" i="1"/>
  <c r="U562" i="1"/>
  <c r="V562" i="1"/>
  <c r="T562" i="1"/>
  <c r="AD498" i="1"/>
  <c r="T498" i="1"/>
  <c r="U498" i="1"/>
  <c r="V498" i="1"/>
  <c r="AE498" i="1"/>
  <c r="T434" i="1"/>
  <c r="U434" i="1"/>
  <c r="V434" i="1"/>
  <c r="AD434" i="1"/>
  <c r="AE434" i="1"/>
  <c r="T456" i="1"/>
  <c r="U456" i="1"/>
  <c r="V456" i="1"/>
  <c r="AD456" i="1"/>
  <c r="AE456" i="1"/>
  <c r="AD526" i="1"/>
  <c r="T526" i="1"/>
  <c r="U526" i="1"/>
  <c r="V526" i="1"/>
  <c r="AE526" i="1"/>
  <c r="AE661" i="1"/>
  <c r="U661" i="1"/>
  <c r="T661" i="1"/>
  <c r="AD661" i="1"/>
  <c r="V661" i="1"/>
  <c r="AE649" i="1"/>
  <c r="U649" i="1"/>
  <c r="AD649" i="1"/>
  <c r="T649" i="1"/>
  <c r="V649" i="1"/>
  <c r="AD505" i="1"/>
  <c r="T505" i="1"/>
  <c r="AE505" i="1"/>
  <c r="U505" i="1"/>
  <c r="V505" i="1"/>
  <c r="T425" i="1"/>
  <c r="U425" i="1"/>
  <c r="V425" i="1"/>
  <c r="AD425" i="1"/>
  <c r="AE425" i="1"/>
  <c r="AE657" i="1"/>
  <c r="AD657" i="1"/>
  <c r="U657" i="1"/>
  <c r="T657" i="1"/>
  <c r="V657" i="1"/>
  <c r="AD481" i="1"/>
  <c r="T481" i="1"/>
  <c r="AE481" i="1"/>
  <c r="U481" i="1"/>
  <c r="V481" i="1"/>
  <c r="AE616" i="1"/>
  <c r="U616" i="1"/>
  <c r="T616" i="1"/>
  <c r="V616" i="1"/>
  <c r="AD616" i="1"/>
  <c r="AD552" i="1"/>
  <c r="T552" i="1"/>
  <c r="V552" i="1"/>
  <c r="AE552" i="1"/>
  <c r="U552" i="1"/>
  <c r="AD488" i="1"/>
  <c r="T488" i="1"/>
  <c r="V488" i="1"/>
  <c r="AE488" i="1"/>
  <c r="U488" i="1"/>
  <c r="T424" i="1"/>
  <c r="U424" i="1"/>
  <c r="V424" i="1"/>
  <c r="AD424" i="1"/>
  <c r="AE424" i="1"/>
  <c r="AD615" i="1"/>
  <c r="AE615" i="1"/>
  <c r="T615" i="1"/>
  <c r="U615" i="1"/>
  <c r="V615" i="1"/>
  <c r="AD551" i="1"/>
  <c r="T551" i="1"/>
  <c r="U551" i="1"/>
  <c r="V551" i="1"/>
  <c r="AE551" i="1"/>
  <c r="AD487" i="1"/>
  <c r="T487" i="1"/>
  <c r="U487" i="1"/>
  <c r="V487" i="1"/>
  <c r="AE487" i="1"/>
  <c r="T423" i="1"/>
  <c r="U423" i="1"/>
  <c r="V423" i="1"/>
  <c r="AD423" i="1"/>
  <c r="AE423" i="1"/>
  <c r="AD622" i="1"/>
  <c r="AE622" i="1"/>
  <c r="U622" i="1"/>
  <c r="T622" i="1"/>
  <c r="V622" i="1"/>
  <c r="AD558" i="1"/>
  <c r="AE558" i="1"/>
  <c r="U558" i="1"/>
  <c r="V558" i="1"/>
  <c r="T558" i="1"/>
  <c r="AD494" i="1"/>
  <c r="T494" i="1"/>
  <c r="U494" i="1"/>
  <c r="V494" i="1"/>
  <c r="AE494" i="1"/>
  <c r="T430" i="1"/>
  <c r="U430" i="1"/>
  <c r="V430" i="1"/>
  <c r="AD430" i="1"/>
  <c r="AE430" i="1"/>
  <c r="AE629" i="1"/>
  <c r="U629" i="1"/>
  <c r="AD629" i="1"/>
  <c r="T629" i="1"/>
  <c r="V629" i="1"/>
  <c r="AD565" i="1"/>
  <c r="AE565" i="1"/>
  <c r="U565" i="1"/>
  <c r="V565" i="1"/>
  <c r="T565" i="1"/>
  <c r="AD501" i="1"/>
  <c r="T501" i="1"/>
  <c r="U501" i="1"/>
  <c r="AE501" i="1"/>
  <c r="V501" i="1"/>
  <c r="T437" i="1"/>
  <c r="U437" i="1"/>
  <c r="V437" i="1"/>
  <c r="AD437" i="1"/>
  <c r="AE437" i="1"/>
  <c r="AD604" i="1"/>
  <c r="AE604" i="1"/>
  <c r="U604" i="1"/>
  <c r="V604" i="1"/>
  <c r="T604" i="1"/>
  <c r="AD540" i="1"/>
  <c r="T540" i="1"/>
  <c r="V540" i="1"/>
  <c r="AE540" i="1"/>
  <c r="U540" i="1"/>
  <c r="T476" i="1"/>
  <c r="U476" i="1"/>
  <c r="V476" i="1"/>
  <c r="AD476" i="1"/>
  <c r="AE476" i="1"/>
  <c r="T412" i="1"/>
  <c r="U412" i="1"/>
  <c r="V412" i="1"/>
  <c r="AD412" i="1"/>
  <c r="AE412" i="1"/>
  <c r="AD611" i="1"/>
  <c r="AE611" i="1"/>
  <c r="U611" i="1"/>
  <c r="T611" i="1"/>
  <c r="V611" i="1"/>
  <c r="AD547" i="1"/>
  <c r="T547" i="1"/>
  <c r="U547" i="1"/>
  <c r="V547" i="1"/>
  <c r="AE547" i="1"/>
  <c r="AD483" i="1"/>
  <c r="T483" i="1"/>
  <c r="U483" i="1"/>
  <c r="V483" i="1"/>
  <c r="AE483" i="1"/>
  <c r="T419" i="1"/>
  <c r="U419" i="1"/>
  <c r="V419" i="1"/>
  <c r="AD419" i="1"/>
  <c r="AE419" i="1"/>
  <c r="AD618" i="1"/>
  <c r="AE618" i="1"/>
  <c r="U618" i="1"/>
  <c r="T618" i="1"/>
  <c r="V618" i="1"/>
  <c r="AD554" i="1"/>
  <c r="T554" i="1"/>
  <c r="U554" i="1"/>
  <c r="V554" i="1"/>
  <c r="AE554" i="1"/>
  <c r="AD490" i="1"/>
  <c r="T490" i="1"/>
  <c r="U490" i="1"/>
  <c r="V490" i="1"/>
  <c r="AE490" i="1"/>
  <c r="T426" i="1"/>
  <c r="U426" i="1"/>
  <c r="V426" i="1"/>
  <c r="AD426" i="1"/>
  <c r="AE426" i="1"/>
  <c r="T465" i="1"/>
  <c r="U465" i="1"/>
  <c r="V465" i="1"/>
  <c r="AD465" i="1"/>
  <c r="AE465" i="1"/>
  <c r="AD584" i="1"/>
  <c r="AE584" i="1"/>
  <c r="U584" i="1"/>
  <c r="V584" i="1"/>
  <c r="T584" i="1"/>
  <c r="AE654" i="1"/>
  <c r="U654" i="1"/>
  <c r="T654" i="1"/>
  <c r="V654" i="1"/>
  <c r="AD654" i="1"/>
  <c r="AD585" i="1"/>
  <c r="AE585" i="1"/>
  <c r="U585" i="1"/>
  <c r="V585" i="1"/>
  <c r="T585" i="1"/>
  <c r="AE633" i="1"/>
  <c r="U633" i="1"/>
  <c r="T633" i="1"/>
  <c r="V633" i="1"/>
  <c r="AD633" i="1"/>
  <c r="AE641" i="1"/>
  <c r="U641" i="1"/>
  <c r="T641" i="1"/>
  <c r="V641" i="1"/>
  <c r="AD641" i="1"/>
  <c r="T417" i="1"/>
  <c r="U417" i="1"/>
  <c r="V417" i="1"/>
  <c r="AD417" i="1"/>
  <c r="AE417" i="1"/>
  <c r="AD608" i="1"/>
  <c r="AE608" i="1"/>
  <c r="U608" i="1"/>
  <c r="T608" i="1"/>
  <c r="V608" i="1"/>
  <c r="AD544" i="1"/>
  <c r="T544" i="1"/>
  <c r="V544" i="1"/>
  <c r="AE544" i="1"/>
  <c r="U544" i="1"/>
  <c r="T480" i="1"/>
  <c r="U480" i="1"/>
  <c r="V480" i="1"/>
  <c r="AD480" i="1"/>
  <c r="AE480" i="1"/>
  <c r="T416" i="1"/>
  <c r="U416" i="1"/>
  <c r="V416" i="1"/>
  <c r="AD416" i="1"/>
  <c r="AE416" i="1"/>
  <c r="AD607" i="1"/>
  <c r="AE607" i="1"/>
  <c r="U607" i="1"/>
  <c r="V607" i="1"/>
  <c r="T607" i="1"/>
  <c r="AD543" i="1"/>
  <c r="T543" i="1"/>
  <c r="U543" i="1"/>
  <c r="V543" i="1"/>
  <c r="AE543" i="1"/>
  <c r="T479" i="1"/>
  <c r="U479" i="1"/>
  <c r="V479" i="1"/>
  <c r="AD479" i="1"/>
  <c r="AE479" i="1"/>
  <c r="T415" i="1"/>
  <c r="U415" i="1"/>
  <c r="V415" i="1"/>
  <c r="AD415" i="1"/>
  <c r="AE415" i="1"/>
  <c r="AE614" i="1"/>
  <c r="U614" i="1"/>
  <c r="T614" i="1"/>
  <c r="AD614" i="1"/>
  <c r="V614" i="1"/>
  <c r="AD550" i="1"/>
  <c r="T550" i="1"/>
  <c r="U550" i="1"/>
  <c r="AE550" i="1"/>
  <c r="V550" i="1"/>
  <c r="AD486" i="1"/>
  <c r="T486" i="1"/>
  <c r="U486" i="1"/>
  <c r="AE486" i="1"/>
  <c r="V486" i="1"/>
  <c r="T422" i="1"/>
  <c r="U422" i="1"/>
  <c r="V422" i="1"/>
  <c r="AD422" i="1"/>
  <c r="AE422" i="1"/>
  <c r="AE621" i="1"/>
  <c r="U621" i="1"/>
  <c r="T621" i="1"/>
  <c r="AD621" i="1"/>
  <c r="V621" i="1"/>
  <c r="AD557" i="1"/>
  <c r="AE557" i="1"/>
  <c r="U557" i="1"/>
  <c r="V557" i="1"/>
  <c r="T557" i="1"/>
  <c r="AD493" i="1"/>
  <c r="T493" i="1"/>
  <c r="U493" i="1"/>
  <c r="AE493" i="1"/>
  <c r="V493" i="1"/>
  <c r="T429" i="1"/>
  <c r="U429" i="1"/>
  <c r="V429" i="1"/>
  <c r="AD429" i="1"/>
  <c r="AE429" i="1"/>
  <c r="AE660" i="1"/>
  <c r="U660" i="1"/>
  <c r="T660" i="1"/>
  <c r="V660" i="1"/>
  <c r="AD660" i="1"/>
  <c r="AD596" i="1"/>
  <c r="AE596" i="1"/>
  <c r="U596" i="1"/>
  <c r="V596" i="1"/>
  <c r="T596" i="1"/>
  <c r="AD532" i="1"/>
  <c r="T532" i="1"/>
  <c r="V532" i="1"/>
  <c r="AE532" i="1"/>
  <c r="U532" i="1"/>
  <c r="T468" i="1"/>
  <c r="U468" i="1"/>
  <c r="V468" i="1"/>
  <c r="AD468" i="1"/>
  <c r="AE468" i="1"/>
  <c r="T404" i="1"/>
  <c r="U404" i="1"/>
  <c r="V404" i="1"/>
  <c r="AD404" i="1"/>
  <c r="AE404" i="1"/>
  <c r="AD603" i="1"/>
  <c r="AE603" i="1"/>
  <c r="U603" i="1"/>
  <c r="V603" i="1"/>
  <c r="T603" i="1"/>
  <c r="AD539" i="1"/>
  <c r="T539" i="1"/>
  <c r="U539" i="1"/>
  <c r="V539" i="1"/>
  <c r="AE539" i="1"/>
  <c r="T475" i="1"/>
  <c r="U475" i="1"/>
  <c r="V475" i="1"/>
  <c r="AD475" i="1"/>
  <c r="AE475" i="1"/>
  <c r="T411" i="1"/>
  <c r="U411" i="1"/>
  <c r="V411" i="1"/>
  <c r="AD411" i="1"/>
  <c r="AE411" i="1"/>
  <c r="AD610" i="1"/>
  <c r="AE610" i="1"/>
  <c r="U610" i="1"/>
  <c r="V610" i="1"/>
  <c r="T610" i="1"/>
  <c r="AD546" i="1"/>
  <c r="T546" i="1"/>
  <c r="U546" i="1"/>
  <c r="V546" i="1"/>
  <c r="AE546" i="1"/>
  <c r="AD482" i="1"/>
  <c r="T482" i="1"/>
  <c r="U482" i="1"/>
  <c r="V482" i="1"/>
  <c r="AE482" i="1"/>
  <c r="T418" i="1"/>
  <c r="U418" i="1"/>
  <c r="V418" i="1"/>
  <c r="AD418" i="1"/>
  <c r="AE418" i="1"/>
  <c r="AD561" i="1"/>
  <c r="AE561" i="1"/>
  <c r="U561" i="1"/>
  <c r="V561" i="1"/>
  <c r="T561" i="1"/>
  <c r="AD590" i="1"/>
  <c r="AE590" i="1"/>
  <c r="U590" i="1"/>
  <c r="V590" i="1"/>
  <c r="T590" i="1"/>
  <c r="AD597" i="1"/>
  <c r="AE597" i="1"/>
  <c r="U597" i="1"/>
  <c r="V597" i="1"/>
  <c r="T597" i="1"/>
  <c r="AD521" i="1"/>
  <c r="T521" i="1"/>
  <c r="AE521" i="1"/>
  <c r="U521" i="1"/>
  <c r="V521" i="1"/>
  <c r="AD601" i="1"/>
  <c r="AE601" i="1"/>
  <c r="U601" i="1"/>
  <c r="V601" i="1"/>
  <c r="T601" i="1"/>
  <c r="T441" i="1"/>
  <c r="U441" i="1"/>
  <c r="V441" i="1"/>
  <c r="AD441" i="1"/>
  <c r="AE441" i="1"/>
  <c r="AD513" i="1"/>
  <c r="T513" i="1"/>
  <c r="AE513" i="1"/>
  <c r="U513" i="1"/>
  <c r="V513" i="1"/>
  <c r="AD600" i="1"/>
  <c r="AE600" i="1"/>
  <c r="U600" i="1"/>
  <c r="V600" i="1"/>
  <c r="T600" i="1"/>
  <c r="AD536" i="1"/>
  <c r="T536" i="1"/>
  <c r="V536" i="1"/>
  <c r="AE536" i="1"/>
  <c r="U536" i="1"/>
  <c r="T472" i="1"/>
  <c r="U472" i="1"/>
  <c r="V472" i="1"/>
  <c r="AD472" i="1"/>
  <c r="AE472" i="1"/>
  <c r="T408" i="1"/>
  <c r="U408" i="1"/>
  <c r="V408" i="1"/>
  <c r="AD408" i="1"/>
  <c r="AE408" i="1"/>
  <c r="AD599" i="1"/>
  <c r="AE599" i="1"/>
  <c r="U599" i="1"/>
  <c r="V599" i="1"/>
  <c r="T599" i="1"/>
  <c r="AD535" i="1"/>
  <c r="T535" i="1"/>
  <c r="U535" i="1"/>
  <c r="V535" i="1"/>
  <c r="AE535" i="1"/>
  <c r="T471" i="1"/>
  <c r="U471" i="1"/>
  <c r="V471" i="1"/>
  <c r="AD471" i="1"/>
  <c r="AE471" i="1"/>
  <c r="T407" i="1"/>
  <c r="U407" i="1"/>
  <c r="V407" i="1"/>
  <c r="AD407" i="1"/>
  <c r="AE407" i="1"/>
  <c r="AD606" i="1"/>
  <c r="AE606" i="1"/>
  <c r="U606" i="1"/>
  <c r="T606" i="1"/>
  <c r="V606" i="1"/>
  <c r="AD542" i="1"/>
  <c r="T542" i="1"/>
  <c r="U542" i="1"/>
  <c r="V542" i="1"/>
  <c r="AE542" i="1"/>
  <c r="T478" i="1"/>
  <c r="U478" i="1"/>
  <c r="V478" i="1"/>
  <c r="AD478" i="1"/>
  <c r="AE478" i="1"/>
  <c r="T414" i="1"/>
  <c r="U414" i="1"/>
  <c r="V414" i="1"/>
  <c r="AD414" i="1"/>
  <c r="AE414" i="1"/>
  <c r="AE613" i="1"/>
  <c r="U613" i="1"/>
  <c r="AD613" i="1"/>
  <c r="T613" i="1"/>
  <c r="V613" i="1"/>
  <c r="AD549" i="1"/>
  <c r="T549" i="1"/>
  <c r="U549" i="1"/>
  <c r="AE549" i="1"/>
  <c r="V549" i="1"/>
  <c r="AD485" i="1"/>
  <c r="T485" i="1"/>
  <c r="U485" i="1"/>
  <c r="AE485" i="1"/>
  <c r="V485" i="1"/>
  <c r="T421" i="1"/>
  <c r="U421" i="1"/>
  <c r="V421" i="1"/>
  <c r="AD421" i="1"/>
  <c r="AE421" i="1"/>
  <c r="AE652" i="1"/>
  <c r="T652" i="1"/>
  <c r="U652" i="1"/>
  <c r="AD652" i="1"/>
  <c r="V652" i="1"/>
  <c r="AD588" i="1"/>
  <c r="AE588" i="1"/>
  <c r="U588" i="1"/>
  <c r="V588" i="1"/>
  <c r="T588" i="1"/>
  <c r="AD524" i="1"/>
  <c r="T524" i="1"/>
  <c r="V524" i="1"/>
  <c r="AE524" i="1"/>
  <c r="U524" i="1"/>
  <c r="T460" i="1"/>
  <c r="U460" i="1"/>
  <c r="V460" i="1"/>
  <c r="AD460" i="1"/>
  <c r="AE460" i="1"/>
  <c r="T396" i="1"/>
  <c r="U396" i="1"/>
  <c r="V396" i="1"/>
  <c r="AD396" i="1"/>
  <c r="AE396" i="1"/>
  <c r="AE659" i="1"/>
  <c r="U659" i="1"/>
  <c r="T659" i="1"/>
  <c r="V659" i="1"/>
  <c r="AD659" i="1"/>
  <c r="AD595" i="1"/>
  <c r="AE595" i="1"/>
  <c r="U595" i="1"/>
  <c r="V595" i="1"/>
  <c r="T595" i="1"/>
  <c r="AD531" i="1"/>
  <c r="T531" i="1"/>
  <c r="U531" i="1"/>
  <c r="V531" i="1"/>
  <c r="AE531" i="1"/>
  <c r="T467" i="1"/>
  <c r="U467" i="1"/>
  <c r="V467" i="1"/>
  <c r="AD467" i="1"/>
  <c r="AE467" i="1"/>
  <c r="T403" i="1"/>
  <c r="U403" i="1"/>
  <c r="V403" i="1"/>
  <c r="AD403" i="1"/>
  <c r="AE403" i="1"/>
  <c r="AD602" i="1"/>
  <c r="AE602" i="1"/>
  <c r="U602" i="1"/>
  <c r="V602" i="1"/>
  <c r="T602" i="1"/>
  <c r="AD538" i="1"/>
  <c r="T538" i="1"/>
  <c r="U538" i="1"/>
  <c r="V538" i="1"/>
  <c r="AE538" i="1"/>
  <c r="T474" i="1"/>
  <c r="U474" i="1"/>
  <c r="V474" i="1"/>
  <c r="AD474" i="1"/>
  <c r="AE474" i="1"/>
  <c r="T410" i="1"/>
  <c r="U410" i="1"/>
  <c r="V410" i="1"/>
  <c r="AD410" i="1"/>
  <c r="AE410" i="1"/>
  <c r="AD569" i="1"/>
  <c r="AE569" i="1"/>
  <c r="U569" i="1"/>
  <c r="V569" i="1"/>
  <c r="T569" i="1"/>
  <c r="AE647" i="1"/>
  <c r="AD647" i="1"/>
  <c r="T647" i="1"/>
  <c r="U647" i="1"/>
  <c r="V647" i="1"/>
  <c r="T458" i="1"/>
  <c r="U458" i="1"/>
  <c r="V458" i="1"/>
  <c r="AD458" i="1"/>
  <c r="AE458" i="1"/>
  <c r="AD537" i="1"/>
  <c r="T537" i="1"/>
  <c r="AE537" i="1"/>
  <c r="U537" i="1"/>
  <c r="V537" i="1"/>
  <c r="T457" i="1"/>
  <c r="U457" i="1"/>
  <c r="V457" i="1"/>
  <c r="AD457" i="1"/>
  <c r="AE457" i="1"/>
  <c r="AE625" i="1"/>
  <c r="U625" i="1"/>
  <c r="T625" i="1"/>
  <c r="V625" i="1"/>
  <c r="AD625" i="1"/>
  <c r="AE656" i="1"/>
  <c r="U656" i="1"/>
  <c r="AD656" i="1"/>
  <c r="T656" i="1"/>
  <c r="V656" i="1"/>
  <c r="AD592" i="1"/>
  <c r="AE592" i="1"/>
  <c r="U592" i="1"/>
  <c r="V592" i="1"/>
  <c r="T592" i="1"/>
  <c r="AD528" i="1"/>
  <c r="T528" i="1"/>
  <c r="V528" i="1"/>
  <c r="AE528" i="1"/>
  <c r="U528" i="1"/>
  <c r="T464" i="1"/>
  <c r="U464" i="1"/>
  <c r="V464" i="1"/>
  <c r="AD464" i="1"/>
  <c r="AE464" i="1"/>
  <c r="T400" i="1"/>
  <c r="U400" i="1"/>
  <c r="V400" i="1"/>
  <c r="AD400" i="1"/>
  <c r="AE400" i="1"/>
  <c r="AE655" i="1"/>
  <c r="T655" i="1"/>
  <c r="U655" i="1"/>
  <c r="V655" i="1"/>
  <c r="AD655" i="1"/>
  <c r="AD591" i="1"/>
  <c r="AE591" i="1"/>
  <c r="U591" i="1"/>
  <c r="V591" i="1"/>
  <c r="T591" i="1"/>
  <c r="AD527" i="1"/>
  <c r="T527" i="1"/>
  <c r="U527" i="1"/>
  <c r="V527" i="1"/>
  <c r="AE527" i="1"/>
  <c r="T463" i="1"/>
  <c r="U463" i="1"/>
  <c r="V463" i="1"/>
  <c r="AD463" i="1"/>
  <c r="AE463" i="1"/>
  <c r="T399" i="1"/>
  <c r="U399" i="1"/>
  <c r="V399" i="1"/>
  <c r="AD399" i="1"/>
  <c r="AE399" i="1"/>
  <c r="AD662" i="1"/>
  <c r="AE662" i="1"/>
  <c r="U662" i="1"/>
  <c r="T662" i="1"/>
  <c r="V662" i="1"/>
  <c r="AD598" i="1"/>
  <c r="AE598" i="1"/>
  <c r="U598" i="1"/>
  <c r="V598" i="1"/>
  <c r="T598" i="1"/>
  <c r="AD534" i="1"/>
  <c r="T534" i="1"/>
  <c r="U534" i="1"/>
  <c r="V534" i="1"/>
  <c r="AE534" i="1"/>
  <c r="T470" i="1"/>
  <c r="U470" i="1"/>
  <c r="V470" i="1"/>
  <c r="AD470" i="1"/>
  <c r="AE470" i="1"/>
  <c r="T406" i="1"/>
  <c r="U406" i="1"/>
  <c r="V406" i="1"/>
  <c r="AD406" i="1"/>
  <c r="AE406" i="1"/>
  <c r="AD605" i="1"/>
  <c r="AE605" i="1"/>
  <c r="U605" i="1"/>
  <c r="V605" i="1"/>
  <c r="T605" i="1"/>
  <c r="AD541" i="1"/>
  <c r="T541" i="1"/>
  <c r="U541" i="1"/>
  <c r="AE541" i="1"/>
  <c r="V541" i="1"/>
  <c r="T477" i="1"/>
  <c r="U477" i="1"/>
  <c r="V477" i="1"/>
  <c r="AD477" i="1"/>
  <c r="AE477" i="1"/>
  <c r="T413" i="1"/>
  <c r="U413" i="1"/>
  <c r="V413" i="1"/>
  <c r="AD413" i="1"/>
  <c r="AE413" i="1"/>
  <c r="AD644" i="1"/>
  <c r="AE644" i="1"/>
  <c r="T644" i="1"/>
  <c r="U644" i="1"/>
  <c r="V644" i="1"/>
  <c r="AD580" i="1"/>
  <c r="AE580" i="1"/>
  <c r="U580" i="1"/>
  <c r="V580" i="1"/>
  <c r="T580" i="1"/>
  <c r="AD516" i="1"/>
  <c r="T516" i="1"/>
  <c r="V516" i="1"/>
  <c r="AE516" i="1"/>
  <c r="U516" i="1"/>
  <c r="T452" i="1"/>
  <c r="U452" i="1"/>
  <c r="V452" i="1"/>
  <c r="AD452" i="1"/>
  <c r="AE452" i="1"/>
  <c r="AE651" i="1"/>
  <c r="U651" i="1"/>
  <c r="T651" i="1"/>
  <c r="V651" i="1"/>
  <c r="AD651" i="1"/>
  <c r="AD587" i="1"/>
  <c r="AE587" i="1"/>
  <c r="U587" i="1"/>
  <c r="V587" i="1"/>
  <c r="T587" i="1"/>
  <c r="AD523" i="1"/>
  <c r="T523" i="1"/>
  <c r="U523" i="1"/>
  <c r="V523" i="1"/>
  <c r="AE523" i="1"/>
  <c r="T459" i="1"/>
  <c r="U459" i="1"/>
  <c r="V459" i="1"/>
  <c r="AD459" i="1"/>
  <c r="AE459" i="1"/>
  <c r="AE658" i="1"/>
  <c r="T658" i="1"/>
  <c r="U658" i="1"/>
  <c r="AD658" i="1"/>
  <c r="V658" i="1"/>
  <c r="AD594" i="1"/>
  <c r="AE594" i="1"/>
  <c r="U594" i="1"/>
  <c r="V594" i="1"/>
  <c r="T594" i="1"/>
  <c r="AD530" i="1"/>
  <c r="T530" i="1"/>
  <c r="U530" i="1"/>
  <c r="V530" i="1"/>
  <c r="AE530" i="1"/>
  <c r="T466" i="1"/>
  <c r="U466" i="1"/>
  <c r="V466" i="1"/>
  <c r="AD466" i="1"/>
  <c r="AE466" i="1"/>
  <c r="T402" i="1"/>
  <c r="U402" i="1"/>
  <c r="V402" i="1"/>
  <c r="AD402" i="1"/>
  <c r="AE402" i="1"/>
  <c r="F38" i="1"/>
  <c r="H38" i="1" s="1"/>
  <c r="AH589" i="1"/>
  <c r="AI589" i="1"/>
  <c r="AJ589" i="1"/>
  <c r="AH625" i="1"/>
  <c r="AI625" i="1"/>
  <c r="AJ625" i="1"/>
  <c r="AH453" i="1"/>
  <c r="AI453" i="1"/>
  <c r="AJ453" i="1"/>
  <c r="AH417" i="1"/>
  <c r="AI417" i="1"/>
  <c r="AJ417" i="1"/>
  <c r="AH441" i="1"/>
  <c r="AI441" i="1"/>
  <c r="AJ441" i="1"/>
  <c r="AH632" i="1"/>
  <c r="AI632" i="1"/>
  <c r="AJ632" i="1"/>
  <c r="AH568" i="1"/>
  <c r="AI568" i="1"/>
  <c r="AJ568" i="1"/>
  <c r="AH504" i="1"/>
  <c r="AI504" i="1"/>
  <c r="AJ504" i="1"/>
  <c r="AH440" i="1"/>
  <c r="AI440" i="1"/>
  <c r="AJ440" i="1"/>
  <c r="AH639" i="1"/>
  <c r="AI639" i="1"/>
  <c r="AJ639" i="1"/>
  <c r="AH575" i="1"/>
  <c r="AI575" i="1"/>
  <c r="AJ575" i="1"/>
  <c r="AH511" i="1"/>
  <c r="AI511" i="1"/>
  <c r="AJ511" i="1"/>
  <c r="AH447" i="1"/>
  <c r="AI447" i="1"/>
  <c r="AJ447" i="1"/>
  <c r="AH654" i="1"/>
  <c r="AI654" i="1"/>
  <c r="AJ654" i="1"/>
  <c r="AH590" i="1"/>
  <c r="AI590" i="1"/>
  <c r="AJ590" i="1"/>
  <c r="AH526" i="1"/>
  <c r="AI526" i="1"/>
  <c r="AJ526" i="1"/>
  <c r="AH462" i="1"/>
  <c r="AI462" i="1"/>
  <c r="AJ462" i="1"/>
  <c r="AH398" i="1"/>
  <c r="AI398" i="1"/>
  <c r="AJ398" i="1"/>
  <c r="AH628" i="1"/>
  <c r="AI628" i="1"/>
  <c r="AJ628" i="1"/>
  <c r="AH564" i="1"/>
  <c r="AI564" i="1"/>
  <c r="AJ564" i="1"/>
  <c r="AH500" i="1"/>
  <c r="AI500" i="1"/>
  <c r="AJ500" i="1"/>
  <c r="AH436" i="1"/>
  <c r="AI436" i="1"/>
  <c r="AJ436" i="1"/>
  <c r="AH635" i="1"/>
  <c r="AI635" i="1"/>
  <c r="AJ635" i="1"/>
  <c r="AH571" i="1"/>
  <c r="AI571" i="1"/>
  <c r="AJ571" i="1"/>
  <c r="AH507" i="1"/>
  <c r="AI507" i="1"/>
  <c r="AJ507" i="1"/>
  <c r="AH443" i="1"/>
  <c r="AI443" i="1"/>
  <c r="AJ443" i="1"/>
  <c r="AH650" i="1"/>
  <c r="AI650" i="1"/>
  <c r="AJ650" i="1"/>
  <c r="AH586" i="1"/>
  <c r="AI586" i="1"/>
  <c r="AJ586" i="1"/>
  <c r="AH522" i="1"/>
  <c r="AI522" i="1"/>
  <c r="AJ522" i="1"/>
  <c r="AH458" i="1"/>
  <c r="AI458" i="1"/>
  <c r="AJ458" i="1"/>
  <c r="AH557" i="1"/>
  <c r="AI557" i="1"/>
  <c r="AJ557" i="1"/>
  <c r="AH629" i="1"/>
  <c r="AI629" i="1"/>
  <c r="AJ629" i="1"/>
  <c r="AH593" i="1"/>
  <c r="AI593" i="1"/>
  <c r="AJ593" i="1"/>
  <c r="AH649" i="1"/>
  <c r="AI649" i="1"/>
  <c r="AJ649" i="1"/>
  <c r="AH413" i="1"/>
  <c r="AI413" i="1"/>
  <c r="AJ413" i="1"/>
  <c r="AH409" i="1"/>
  <c r="AI409" i="1"/>
  <c r="AJ409" i="1"/>
  <c r="AH624" i="1"/>
  <c r="AI624" i="1"/>
  <c r="AJ624" i="1"/>
  <c r="AH560" i="1"/>
  <c r="AI560" i="1"/>
  <c r="AJ560" i="1"/>
  <c r="AH496" i="1"/>
  <c r="AI496" i="1"/>
  <c r="AJ496" i="1"/>
  <c r="AH432" i="1"/>
  <c r="AI432" i="1"/>
  <c r="AJ432" i="1"/>
  <c r="AH631" i="1"/>
  <c r="AI631" i="1"/>
  <c r="AJ631" i="1"/>
  <c r="AH567" i="1"/>
  <c r="AI567" i="1"/>
  <c r="AJ567" i="1"/>
  <c r="AH503" i="1"/>
  <c r="AI503" i="1"/>
  <c r="AJ503" i="1"/>
  <c r="AH439" i="1"/>
  <c r="AI439" i="1"/>
  <c r="AJ439" i="1"/>
  <c r="AH646" i="1"/>
  <c r="AI646" i="1"/>
  <c r="AJ646" i="1"/>
  <c r="AH582" i="1"/>
  <c r="AI582" i="1"/>
  <c r="AJ582" i="1"/>
  <c r="AH518" i="1"/>
  <c r="AI518" i="1"/>
  <c r="AJ518" i="1"/>
  <c r="AH454" i="1"/>
  <c r="AI454" i="1"/>
  <c r="AJ454" i="1"/>
  <c r="AH620" i="1"/>
  <c r="AI620" i="1"/>
  <c r="AJ620" i="1"/>
  <c r="AH556" i="1"/>
  <c r="AI556" i="1"/>
  <c r="AJ556" i="1"/>
  <c r="AH492" i="1"/>
  <c r="AI492" i="1"/>
  <c r="AJ492" i="1"/>
  <c r="AH428" i="1"/>
  <c r="AI428" i="1"/>
  <c r="AJ428" i="1"/>
  <c r="AH627" i="1"/>
  <c r="AI627" i="1"/>
  <c r="AJ627" i="1"/>
  <c r="AH563" i="1"/>
  <c r="AI563" i="1"/>
  <c r="AJ563" i="1"/>
  <c r="AH499" i="1"/>
  <c r="AI499" i="1"/>
  <c r="AJ499" i="1"/>
  <c r="AH435" i="1"/>
  <c r="AI435" i="1"/>
  <c r="AJ435" i="1"/>
  <c r="AH642" i="1"/>
  <c r="AI642" i="1"/>
  <c r="AJ642" i="1"/>
  <c r="AH578" i="1"/>
  <c r="AI578" i="1"/>
  <c r="AJ578" i="1"/>
  <c r="AH514" i="1"/>
  <c r="AI514" i="1"/>
  <c r="AJ514" i="1"/>
  <c r="AH450" i="1"/>
  <c r="AI450" i="1"/>
  <c r="AJ450" i="1"/>
  <c r="B29" i="1"/>
  <c r="H29" i="1" s="1"/>
  <c r="AH525" i="1"/>
  <c r="AI525" i="1"/>
  <c r="AJ525" i="1"/>
  <c r="AH501" i="1"/>
  <c r="AI501" i="1"/>
  <c r="AJ501" i="1"/>
  <c r="AH529" i="1"/>
  <c r="AI529" i="1"/>
  <c r="AJ529" i="1"/>
  <c r="AH617" i="1"/>
  <c r="AI617" i="1"/>
  <c r="AJ617" i="1"/>
  <c r="AH645" i="1"/>
  <c r="AI645" i="1"/>
  <c r="AJ645" i="1"/>
  <c r="AH637" i="1"/>
  <c r="AI637" i="1"/>
  <c r="AJ637" i="1"/>
  <c r="AH633" i="1"/>
  <c r="AI633" i="1"/>
  <c r="AJ633" i="1"/>
  <c r="AH616" i="1"/>
  <c r="AI616" i="1"/>
  <c r="AJ616" i="1"/>
  <c r="AH552" i="1"/>
  <c r="AI552" i="1"/>
  <c r="AJ552" i="1"/>
  <c r="AH488" i="1"/>
  <c r="AI488" i="1"/>
  <c r="AJ488" i="1"/>
  <c r="AH424" i="1"/>
  <c r="AI424" i="1"/>
  <c r="AJ424" i="1"/>
  <c r="AH623" i="1"/>
  <c r="AI623" i="1"/>
  <c r="AJ623" i="1"/>
  <c r="AH559" i="1"/>
  <c r="AI559" i="1"/>
  <c r="AJ559" i="1"/>
  <c r="AH495" i="1"/>
  <c r="AI495" i="1"/>
  <c r="AJ495" i="1"/>
  <c r="AH431" i="1"/>
  <c r="AI431" i="1"/>
  <c r="AJ431" i="1"/>
  <c r="AH638" i="1"/>
  <c r="AI638" i="1"/>
  <c r="AJ638" i="1"/>
  <c r="AH574" i="1"/>
  <c r="AI574" i="1"/>
  <c r="AJ574" i="1"/>
  <c r="AH510" i="1"/>
  <c r="AI510" i="1"/>
  <c r="AJ510" i="1"/>
  <c r="AH446" i="1"/>
  <c r="AI446" i="1"/>
  <c r="AJ446" i="1"/>
  <c r="AH612" i="1"/>
  <c r="AI612" i="1"/>
  <c r="AJ612" i="1"/>
  <c r="AH548" i="1"/>
  <c r="AI548" i="1"/>
  <c r="AJ548" i="1"/>
  <c r="AH484" i="1"/>
  <c r="AI484" i="1"/>
  <c r="AJ484" i="1"/>
  <c r="AH420" i="1"/>
  <c r="AI420" i="1"/>
  <c r="AJ420" i="1"/>
  <c r="AH619" i="1"/>
  <c r="AI619" i="1"/>
  <c r="AJ619" i="1"/>
  <c r="AH555" i="1"/>
  <c r="AI555" i="1"/>
  <c r="AJ555" i="1"/>
  <c r="AH491" i="1"/>
  <c r="AI491" i="1"/>
  <c r="AJ491" i="1"/>
  <c r="AH427" i="1"/>
  <c r="AI427" i="1"/>
  <c r="AJ427" i="1"/>
  <c r="AH634" i="1"/>
  <c r="AI634" i="1"/>
  <c r="AJ634" i="1"/>
  <c r="AH570" i="1"/>
  <c r="AI570" i="1"/>
  <c r="AJ570" i="1"/>
  <c r="AH506" i="1"/>
  <c r="AI506" i="1"/>
  <c r="AJ506" i="1"/>
  <c r="AH442" i="1"/>
  <c r="AI442" i="1"/>
  <c r="AJ442" i="1"/>
  <c r="AH597" i="1"/>
  <c r="AI597" i="1"/>
  <c r="AJ597" i="1"/>
  <c r="F39" i="1"/>
  <c r="B39" i="1" s="1"/>
  <c r="AH661" i="1"/>
  <c r="AI661" i="1"/>
  <c r="AJ661" i="1"/>
  <c r="AH657" i="1"/>
  <c r="AI657" i="1"/>
  <c r="AJ657" i="1"/>
  <c r="AH493" i="1"/>
  <c r="AI493" i="1"/>
  <c r="AJ493" i="1"/>
  <c r="AH405" i="1"/>
  <c r="AI405" i="1"/>
  <c r="AJ405" i="1"/>
  <c r="AH433" i="1"/>
  <c r="AI433" i="1"/>
  <c r="AJ433" i="1"/>
  <c r="AH585" i="1"/>
  <c r="AI585" i="1"/>
  <c r="AJ585" i="1"/>
  <c r="AH581" i="1"/>
  <c r="AI581" i="1"/>
  <c r="AJ581" i="1"/>
  <c r="AH605" i="1"/>
  <c r="AI605" i="1"/>
  <c r="AJ605" i="1"/>
  <c r="AH601" i="1"/>
  <c r="AI601" i="1"/>
  <c r="AJ601" i="1"/>
  <c r="AH608" i="1"/>
  <c r="AI608" i="1"/>
  <c r="AJ608" i="1"/>
  <c r="AH544" i="1"/>
  <c r="AI544" i="1"/>
  <c r="AJ544" i="1"/>
  <c r="AH480" i="1"/>
  <c r="AI480" i="1"/>
  <c r="AJ480" i="1"/>
  <c r="AH416" i="1"/>
  <c r="AI416" i="1"/>
  <c r="AJ416" i="1"/>
  <c r="AH615" i="1"/>
  <c r="AI615" i="1"/>
  <c r="AJ615" i="1"/>
  <c r="AH551" i="1"/>
  <c r="AI551" i="1"/>
  <c r="AJ551" i="1"/>
  <c r="AH487" i="1"/>
  <c r="AI487" i="1"/>
  <c r="AJ487" i="1"/>
  <c r="AH423" i="1"/>
  <c r="AI423" i="1"/>
  <c r="AJ423" i="1"/>
  <c r="AH630" i="1"/>
  <c r="AI630" i="1"/>
  <c r="AJ630" i="1"/>
  <c r="AH566" i="1"/>
  <c r="AI566" i="1"/>
  <c r="AJ566" i="1"/>
  <c r="AH502" i="1"/>
  <c r="AI502" i="1"/>
  <c r="AJ502" i="1"/>
  <c r="AH438" i="1"/>
  <c r="AI438" i="1"/>
  <c r="AJ438" i="1"/>
  <c r="AH604" i="1"/>
  <c r="AI604" i="1"/>
  <c r="AJ604" i="1"/>
  <c r="AH540" i="1"/>
  <c r="AI540" i="1"/>
  <c r="AJ540" i="1"/>
  <c r="AH476" i="1"/>
  <c r="AI476" i="1"/>
  <c r="AJ476" i="1"/>
  <c r="AH412" i="1"/>
  <c r="AI412" i="1"/>
  <c r="AJ412" i="1"/>
  <c r="AH611" i="1"/>
  <c r="AI611" i="1"/>
  <c r="AJ611" i="1"/>
  <c r="AH547" i="1"/>
  <c r="AI547" i="1"/>
  <c r="AJ547" i="1"/>
  <c r="AH483" i="1"/>
  <c r="AI483" i="1"/>
  <c r="AJ483" i="1"/>
  <c r="AH419" i="1"/>
  <c r="AI419" i="1"/>
  <c r="AJ419" i="1"/>
  <c r="AH626" i="1"/>
  <c r="AI626" i="1"/>
  <c r="AJ626" i="1"/>
  <c r="AH562" i="1"/>
  <c r="AI562" i="1"/>
  <c r="AJ562" i="1"/>
  <c r="AH498" i="1"/>
  <c r="AI498" i="1"/>
  <c r="AJ498" i="1"/>
  <c r="AH434" i="1"/>
  <c r="AI434" i="1"/>
  <c r="AJ434" i="1"/>
  <c r="AH425" i="1"/>
  <c r="AI425" i="1"/>
  <c r="AJ425" i="1"/>
  <c r="F33" i="1"/>
  <c r="B33" i="1" s="1"/>
  <c r="AH533" i="1"/>
  <c r="AI533" i="1"/>
  <c r="AJ533" i="1"/>
  <c r="AH561" i="1"/>
  <c r="AI561" i="1"/>
  <c r="AJ561" i="1"/>
  <c r="AH461" i="1"/>
  <c r="AI461" i="1"/>
  <c r="AJ461" i="1"/>
  <c r="AH553" i="1"/>
  <c r="AI553" i="1"/>
  <c r="AJ553" i="1"/>
  <c r="AH437" i="1"/>
  <c r="AI437" i="1"/>
  <c r="AJ437" i="1"/>
  <c r="AH517" i="1"/>
  <c r="AI517" i="1"/>
  <c r="AJ517" i="1"/>
  <c r="AH573" i="1"/>
  <c r="AI573" i="1"/>
  <c r="AJ573" i="1"/>
  <c r="AH569" i="1"/>
  <c r="AI569" i="1"/>
  <c r="AJ569" i="1"/>
  <c r="AH600" i="1"/>
  <c r="AI600" i="1"/>
  <c r="AJ600" i="1"/>
  <c r="AH536" i="1"/>
  <c r="AI536" i="1"/>
  <c r="AJ536" i="1"/>
  <c r="AH472" i="1"/>
  <c r="AI472" i="1"/>
  <c r="AJ472" i="1"/>
  <c r="AH408" i="1"/>
  <c r="AI408" i="1"/>
  <c r="AJ408" i="1"/>
  <c r="AH607" i="1"/>
  <c r="AI607" i="1"/>
  <c r="AJ607" i="1"/>
  <c r="AH543" i="1"/>
  <c r="AI543" i="1"/>
  <c r="AJ543" i="1"/>
  <c r="AH479" i="1"/>
  <c r="AI479" i="1"/>
  <c r="AJ479" i="1"/>
  <c r="AH415" i="1"/>
  <c r="AI415" i="1"/>
  <c r="AJ415" i="1"/>
  <c r="AH622" i="1"/>
  <c r="AI622" i="1"/>
  <c r="AJ622" i="1"/>
  <c r="AH558" i="1"/>
  <c r="AI558" i="1"/>
  <c r="AJ558" i="1"/>
  <c r="AH494" i="1"/>
  <c r="AI494" i="1"/>
  <c r="AJ494" i="1"/>
  <c r="AH430" i="1"/>
  <c r="AI430" i="1"/>
  <c r="AJ430" i="1"/>
  <c r="AH660" i="1"/>
  <c r="AI660" i="1"/>
  <c r="AJ660" i="1"/>
  <c r="AH596" i="1"/>
  <c r="AI596" i="1"/>
  <c r="AJ596" i="1"/>
  <c r="AH532" i="1"/>
  <c r="AI532" i="1"/>
  <c r="AJ532" i="1"/>
  <c r="AH468" i="1"/>
  <c r="AI468" i="1"/>
  <c r="AJ468" i="1"/>
  <c r="AH404" i="1"/>
  <c r="AI404" i="1"/>
  <c r="AJ404" i="1"/>
  <c r="AH603" i="1"/>
  <c r="AI603" i="1"/>
  <c r="AJ603" i="1"/>
  <c r="AH539" i="1"/>
  <c r="AI539" i="1"/>
  <c r="AJ539" i="1"/>
  <c r="AH475" i="1"/>
  <c r="AI475" i="1"/>
  <c r="AJ475" i="1"/>
  <c r="AH411" i="1"/>
  <c r="AI411" i="1"/>
  <c r="AJ411" i="1"/>
  <c r="AH618" i="1"/>
  <c r="AI618" i="1"/>
  <c r="AJ618" i="1"/>
  <c r="AH554" i="1"/>
  <c r="AI554" i="1"/>
  <c r="AJ554" i="1"/>
  <c r="AH490" i="1"/>
  <c r="AI490" i="1"/>
  <c r="AJ490" i="1"/>
  <c r="AH426" i="1"/>
  <c r="AI426" i="1"/>
  <c r="AJ426" i="1"/>
  <c r="AH445" i="1"/>
  <c r="AI445" i="1"/>
  <c r="AJ445" i="1"/>
  <c r="F30" i="1"/>
  <c r="G30" i="1" s="1"/>
  <c r="AH469" i="1"/>
  <c r="AI469" i="1"/>
  <c r="AJ469" i="1"/>
  <c r="AH497" i="1"/>
  <c r="AI497" i="1"/>
  <c r="AJ497" i="1"/>
  <c r="AH429" i="1"/>
  <c r="AI429" i="1"/>
  <c r="AJ429" i="1"/>
  <c r="AH521" i="1"/>
  <c r="AI521" i="1"/>
  <c r="AJ521" i="1"/>
  <c r="AH613" i="1"/>
  <c r="AI613" i="1"/>
  <c r="AJ613" i="1"/>
  <c r="AH485" i="1"/>
  <c r="AI485" i="1"/>
  <c r="AJ485" i="1"/>
  <c r="AH641" i="1"/>
  <c r="AI641" i="1"/>
  <c r="AJ641" i="1"/>
  <c r="AH541" i="1"/>
  <c r="AI541" i="1"/>
  <c r="AJ541" i="1"/>
  <c r="AH565" i="1"/>
  <c r="AI565" i="1"/>
  <c r="AJ565" i="1"/>
  <c r="AH537" i="1"/>
  <c r="AI537" i="1"/>
  <c r="AJ537" i="1"/>
  <c r="AH656" i="1"/>
  <c r="AI656" i="1"/>
  <c r="AJ656" i="1"/>
  <c r="AH592" i="1"/>
  <c r="AI592" i="1"/>
  <c r="AJ592" i="1"/>
  <c r="AH528" i="1"/>
  <c r="AI528" i="1"/>
  <c r="AJ528" i="1"/>
  <c r="AH464" i="1"/>
  <c r="AI464" i="1"/>
  <c r="AJ464" i="1"/>
  <c r="AH400" i="1"/>
  <c r="AI400" i="1"/>
  <c r="AJ400" i="1"/>
  <c r="AH599" i="1"/>
  <c r="AI599" i="1"/>
  <c r="AJ599" i="1"/>
  <c r="AH535" i="1"/>
  <c r="AI535" i="1"/>
  <c r="AJ535" i="1"/>
  <c r="AH471" i="1"/>
  <c r="AI471" i="1"/>
  <c r="AJ471" i="1"/>
  <c r="AH407" i="1"/>
  <c r="AI407" i="1"/>
  <c r="AJ407" i="1"/>
  <c r="AH614" i="1"/>
  <c r="AI614" i="1"/>
  <c r="AJ614" i="1"/>
  <c r="AH550" i="1"/>
  <c r="AI550" i="1"/>
  <c r="AJ550" i="1"/>
  <c r="AH486" i="1"/>
  <c r="AI486" i="1"/>
  <c r="AJ486" i="1"/>
  <c r="AH422" i="1"/>
  <c r="AI422" i="1"/>
  <c r="AJ422" i="1"/>
  <c r="AH652" i="1"/>
  <c r="AI652" i="1"/>
  <c r="AJ652" i="1"/>
  <c r="AH588" i="1"/>
  <c r="AI588" i="1"/>
  <c r="AJ588" i="1"/>
  <c r="AH524" i="1"/>
  <c r="AI524" i="1"/>
  <c r="AJ524" i="1"/>
  <c r="AH460" i="1"/>
  <c r="AI460" i="1"/>
  <c r="AJ460" i="1"/>
  <c r="AH396" i="1"/>
  <c r="AI396" i="1"/>
  <c r="AJ396" i="1"/>
  <c r="AH659" i="1"/>
  <c r="AI659" i="1"/>
  <c r="AJ659" i="1"/>
  <c r="AH595" i="1"/>
  <c r="AI595" i="1"/>
  <c r="AJ595" i="1"/>
  <c r="AH531" i="1"/>
  <c r="AI531" i="1"/>
  <c r="AJ531" i="1"/>
  <c r="AH467" i="1"/>
  <c r="AI467" i="1"/>
  <c r="AJ467" i="1"/>
  <c r="AH403" i="1"/>
  <c r="AI403" i="1"/>
  <c r="AJ403" i="1"/>
  <c r="AH610" i="1"/>
  <c r="AI610" i="1"/>
  <c r="AJ610" i="1"/>
  <c r="AH546" i="1"/>
  <c r="AI546" i="1"/>
  <c r="AJ546" i="1"/>
  <c r="AH482" i="1"/>
  <c r="AI482" i="1"/>
  <c r="AJ482" i="1"/>
  <c r="AH418" i="1"/>
  <c r="AI418" i="1"/>
  <c r="AJ418" i="1"/>
  <c r="AH465" i="1"/>
  <c r="AI465" i="1"/>
  <c r="AJ465" i="1"/>
  <c r="AH653" i="1"/>
  <c r="AI653" i="1"/>
  <c r="AJ653" i="1"/>
  <c r="AH397" i="1"/>
  <c r="AI397" i="1"/>
  <c r="AJ397" i="1"/>
  <c r="AH489" i="1"/>
  <c r="AI489" i="1"/>
  <c r="AJ489" i="1"/>
  <c r="AH577" i="1"/>
  <c r="AI577" i="1"/>
  <c r="AJ577" i="1"/>
  <c r="AH421" i="1"/>
  <c r="AI421" i="1"/>
  <c r="AJ421" i="1"/>
  <c r="AH545" i="1"/>
  <c r="AI545" i="1"/>
  <c r="AJ545" i="1"/>
  <c r="AH509" i="1"/>
  <c r="AI509" i="1"/>
  <c r="AJ509" i="1"/>
  <c r="AH609" i="1"/>
  <c r="AI609" i="1"/>
  <c r="AJ609" i="1"/>
  <c r="AH505" i="1"/>
  <c r="AI505" i="1"/>
  <c r="AJ505" i="1"/>
  <c r="AH648" i="1"/>
  <c r="AI648" i="1"/>
  <c r="AJ648" i="1"/>
  <c r="AH584" i="1"/>
  <c r="AI584" i="1"/>
  <c r="AJ584" i="1"/>
  <c r="AH520" i="1"/>
  <c r="AI520" i="1"/>
  <c r="AJ520" i="1"/>
  <c r="AH456" i="1"/>
  <c r="AI456" i="1"/>
  <c r="AJ456" i="1"/>
  <c r="AH655" i="1"/>
  <c r="AI655" i="1"/>
  <c r="AJ655" i="1"/>
  <c r="AH591" i="1"/>
  <c r="AI591" i="1"/>
  <c r="AJ591" i="1"/>
  <c r="AH527" i="1"/>
  <c r="AI527" i="1"/>
  <c r="AJ527" i="1"/>
  <c r="AH463" i="1"/>
  <c r="AI463" i="1"/>
  <c r="AJ463" i="1"/>
  <c r="AH399" i="1"/>
  <c r="AI399" i="1"/>
  <c r="AJ399" i="1"/>
  <c r="AH606" i="1"/>
  <c r="AI606" i="1"/>
  <c r="AJ606" i="1"/>
  <c r="AH542" i="1"/>
  <c r="AI542" i="1"/>
  <c r="AJ542" i="1"/>
  <c r="AH478" i="1"/>
  <c r="AI478" i="1"/>
  <c r="AJ478" i="1"/>
  <c r="AH414" i="1"/>
  <c r="AI414" i="1"/>
  <c r="AJ414" i="1"/>
  <c r="AH644" i="1"/>
  <c r="AI644" i="1"/>
  <c r="AJ644" i="1"/>
  <c r="AH580" i="1"/>
  <c r="AI580" i="1"/>
  <c r="AJ580" i="1"/>
  <c r="AH516" i="1"/>
  <c r="AI516" i="1"/>
  <c r="AJ516" i="1"/>
  <c r="AH452" i="1"/>
  <c r="AI452" i="1"/>
  <c r="AJ452" i="1"/>
  <c r="AH651" i="1"/>
  <c r="AI651" i="1"/>
  <c r="AJ651" i="1"/>
  <c r="AH587" i="1"/>
  <c r="AI587" i="1"/>
  <c r="AJ587" i="1"/>
  <c r="AH523" i="1"/>
  <c r="AI523" i="1"/>
  <c r="AJ523" i="1"/>
  <c r="AH459" i="1"/>
  <c r="AI459" i="1"/>
  <c r="AJ459" i="1"/>
  <c r="AH602" i="1"/>
  <c r="AI602" i="1"/>
  <c r="AJ602" i="1"/>
  <c r="AH538" i="1"/>
  <c r="AI538" i="1"/>
  <c r="AJ538" i="1"/>
  <c r="AH474" i="1"/>
  <c r="AI474" i="1"/>
  <c r="AJ474" i="1"/>
  <c r="AH410" i="1"/>
  <c r="AI410" i="1"/>
  <c r="AJ410" i="1"/>
  <c r="AH401" i="1"/>
  <c r="AI401" i="1"/>
  <c r="AJ401" i="1"/>
  <c r="AH621" i="1"/>
  <c r="AI621" i="1"/>
  <c r="AJ621" i="1"/>
  <c r="AH457" i="1"/>
  <c r="AI457" i="1"/>
  <c r="AJ457" i="1"/>
  <c r="AH449" i="1"/>
  <c r="AI449" i="1"/>
  <c r="AJ449" i="1"/>
  <c r="AH481" i="1"/>
  <c r="AI481" i="1"/>
  <c r="AJ481" i="1"/>
  <c r="AH477" i="1"/>
  <c r="AI477" i="1"/>
  <c r="AJ477" i="1"/>
  <c r="AH549" i="1"/>
  <c r="AI549" i="1"/>
  <c r="AJ549" i="1"/>
  <c r="AH513" i="1"/>
  <c r="AI513" i="1"/>
  <c r="AJ513" i="1"/>
  <c r="AH473" i="1"/>
  <c r="AI473" i="1"/>
  <c r="AJ473" i="1"/>
  <c r="AH640" i="1"/>
  <c r="AI640" i="1"/>
  <c r="AJ640" i="1"/>
  <c r="AH576" i="1"/>
  <c r="AI576" i="1"/>
  <c r="AJ576" i="1"/>
  <c r="AH512" i="1"/>
  <c r="AI512" i="1"/>
  <c r="AJ512" i="1"/>
  <c r="AH448" i="1"/>
  <c r="AI448" i="1"/>
  <c r="AJ448" i="1"/>
  <c r="AH647" i="1"/>
  <c r="AI647" i="1"/>
  <c r="AJ647" i="1"/>
  <c r="AH583" i="1"/>
  <c r="AI583" i="1"/>
  <c r="AJ583" i="1"/>
  <c r="AH519" i="1"/>
  <c r="AI519" i="1"/>
  <c r="AJ519" i="1"/>
  <c r="AH455" i="1"/>
  <c r="AI455" i="1"/>
  <c r="AJ455" i="1"/>
  <c r="AH662" i="1"/>
  <c r="AI662" i="1"/>
  <c r="AJ662" i="1"/>
  <c r="AH598" i="1"/>
  <c r="AI598" i="1"/>
  <c r="AJ598" i="1"/>
  <c r="AH534" i="1"/>
  <c r="AI534" i="1"/>
  <c r="AJ534" i="1"/>
  <c r="AH470" i="1"/>
  <c r="AI470" i="1"/>
  <c r="AJ470" i="1"/>
  <c r="AH406" i="1"/>
  <c r="AI406" i="1"/>
  <c r="AJ406" i="1"/>
  <c r="AH636" i="1"/>
  <c r="AI636" i="1"/>
  <c r="AJ636" i="1"/>
  <c r="AH572" i="1"/>
  <c r="AI572" i="1"/>
  <c r="AJ572" i="1"/>
  <c r="AH508" i="1"/>
  <c r="AI508" i="1"/>
  <c r="AJ508" i="1"/>
  <c r="AH444" i="1"/>
  <c r="AI444" i="1"/>
  <c r="AJ444" i="1"/>
  <c r="AH643" i="1"/>
  <c r="AI643" i="1"/>
  <c r="AJ643" i="1"/>
  <c r="AH579" i="1"/>
  <c r="AI579" i="1"/>
  <c r="AJ579" i="1"/>
  <c r="AH515" i="1"/>
  <c r="AI515" i="1"/>
  <c r="AJ515" i="1"/>
  <c r="AH451" i="1"/>
  <c r="AI451" i="1"/>
  <c r="AJ451" i="1"/>
  <c r="AH658" i="1"/>
  <c r="AI658" i="1"/>
  <c r="AJ658" i="1"/>
  <c r="AH594" i="1"/>
  <c r="AI594" i="1"/>
  <c r="AJ594" i="1"/>
  <c r="AH530" i="1"/>
  <c r="AI530" i="1"/>
  <c r="AJ530" i="1"/>
  <c r="AH466" i="1"/>
  <c r="AI466" i="1"/>
  <c r="AJ466" i="1"/>
  <c r="AH402" i="1"/>
  <c r="AI402" i="1"/>
  <c r="AJ402" i="1"/>
  <c r="F31" i="1"/>
  <c r="H31" i="1" s="1"/>
  <c r="F40" i="1"/>
  <c r="G40" i="1" s="1"/>
  <c r="B37" i="1"/>
  <c r="F34" i="1"/>
  <c r="H37" i="1"/>
  <c r="AH312" i="1"/>
  <c r="AI312" i="1"/>
  <c r="AJ312" i="1"/>
  <c r="AI304" i="1"/>
  <c r="AJ304" i="1"/>
  <c r="AH304" i="1"/>
  <c r="AH331" i="1"/>
  <c r="AJ331" i="1"/>
  <c r="AI331" i="1"/>
  <c r="AH288" i="1"/>
  <c r="AI288" i="1"/>
  <c r="AJ288" i="1"/>
  <c r="AH222" i="1"/>
  <c r="AI222" i="1"/>
  <c r="AJ222" i="1"/>
  <c r="AH314" i="1"/>
  <c r="AI314" i="1"/>
  <c r="AJ314" i="1"/>
  <c r="AJ299" i="1"/>
  <c r="AI299" i="1"/>
  <c r="AH299" i="1"/>
  <c r="AH389" i="1"/>
  <c r="AI389" i="1"/>
  <c r="AJ389" i="1"/>
  <c r="AH325" i="1"/>
  <c r="AI325" i="1"/>
  <c r="AJ325" i="1"/>
  <c r="AH212" i="1"/>
  <c r="AI212" i="1"/>
  <c r="AJ212" i="1"/>
  <c r="AI263" i="1"/>
  <c r="AH263" i="1"/>
  <c r="AJ263" i="1"/>
  <c r="AI290" i="1"/>
  <c r="AJ290" i="1"/>
  <c r="AH290" i="1"/>
  <c r="AI165" i="1"/>
  <c r="AH165" i="1"/>
  <c r="AJ165" i="1"/>
  <c r="AH255" i="1"/>
  <c r="AI255" i="1"/>
  <c r="AJ255" i="1"/>
  <c r="AH282" i="1"/>
  <c r="AJ282" i="1"/>
  <c r="AI282" i="1"/>
  <c r="AI133" i="1"/>
  <c r="AJ133" i="1"/>
  <c r="AH133" i="1"/>
  <c r="AH104" i="1"/>
  <c r="AI104" i="1"/>
  <c r="AJ104" i="1"/>
  <c r="AH110" i="1"/>
  <c r="AI110" i="1"/>
  <c r="AJ110" i="1"/>
  <c r="AJ274" i="1"/>
  <c r="AH274" i="1"/>
  <c r="AI274" i="1"/>
  <c r="AH205" i="1"/>
  <c r="AI205" i="1"/>
  <c r="AJ205" i="1"/>
  <c r="AJ101" i="1"/>
  <c r="AH101" i="1"/>
  <c r="AI101" i="1"/>
  <c r="AH96" i="1"/>
  <c r="AI96" i="1"/>
  <c r="AJ96" i="1"/>
  <c r="AH239" i="1"/>
  <c r="AI239" i="1"/>
  <c r="AJ239" i="1"/>
  <c r="AI102" i="1"/>
  <c r="AJ102" i="1"/>
  <c r="AH102" i="1"/>
  <c r="AH266" i="1"/>
  <c r="AI266" i="1"/>
  <c r="AJ266" i="1"/>
  <c r="AH132" i="1"/>
  <c r="AI132" i="1"/>
  <c r="AJ132" i="1"/>
  <c r="AH357" i="1"/>
  <c r="AI357" i="1"/>
  <c r="AJ357" i="1"/>
  <c r="AI24" i="1"/>
  <c r="AH24" i="1"/>
  <c r="AJ24" i="1"/>
  <c r="AH167" i="1"/>
  <c r="AI167" i="1"/>
  <c r="AJ167" i="1"/>
  <c r="AH30" i="1"/>
  <c r="AJ30" i="1"/>
  <c r="AI30" i="1"/>
  <c r="AH194" i="1"/>
  <c r="AI194" i="1"/>
  <c r="AJ194" i="1"/>
  <c r="AH387" i="1"/>
  <c r="AI387" i="1"/>
  <c r="AJ387" i="1"/>
  <c r="AH277" i="1"/>
  <c r="AI277" i="1"/>
  <c r="AJ277" i="1"/>
  <c r="AJ233" i="1"/>
  <c r="AH233" i="1"/>
  <c r="AI233" i="1"/>
  <c r="AJ95" i="1"/>
  <c r="AH95" i="1"/>
  <c r="AI95" i="1"/>
  <c r="AI251" i="1"/>
  <c r="AJ251" i="1"/>
  <c r="AH251" i="1"/>
  <c r="AJ122" i="1"/>
  <c r="AH122" i="1"/>
  <c r="AI122" i="1"/>
  <c r="AI333" i="1"/>
  <c r="AJ333" i="1"/>
  <c r="AH333" i="1"/>
  <c r="AJ392" i="1"/>
  <c r="AH392" i="1"/>
  <c r="AI392" i="1"/>
  <c r="AJ161" i="1"/>
  <c r="AH161" i="1"/>
  <c r="AI161" i="1"/>
  <c r="AJ23" i="1"/>
  <c r="AH23" i="1"/>
  <c r="AI23" i="1"/>
  <c r="AJ179" i="1"/>
  <c r="AH179" i="1"/>
  <c r="AI179" i="1"/>
  <c r="AI50" i="1"/>
  <c r="AH50" i="1"/>
  <c r="AJ50" i="1"/>
  <c r="AI76" i="1"/>
  <c r="AH76" i="1"/>
  <c r="AJ76" i="1"/>
  <c r="AI320" i="1"/>
  <c r="AJ320" i="1"/>
  <c r="AH320" i="1"/>
  <c r="AJ89" i="1"/>
  <c r="AI89" i="1"/>
  <c r="AH89" i="1"/>
  <c r="AH326" i="1"/>
  <c r="AI326" i="1"/>
  <c r="AJ326" i="1"/>
  <c r="AI107" i="1"/>
  <c r="AJ107" i="1"/>
  <c r="AH107" i="1"/>
  <c r="AE339" i="1"/>
  <c r="V339" i="1"/>
  <c r="U339" i="1"/>
  <c r="AD339" i="1"/>
  <c r="T339" i="1"/>
  <c r="AE240" i="1"/>
  <c r="U240" i="1"/>
  <c r="T240" i="1"/>
  <c r="AD240" i="1"/>
  <c r="V240" i="1"/>
  <c r="AE184" i="1"/>
  <c r="U184" i="1"/>
  <c r="AD184" i="1"/>
  <c r="V184" i="1"/>
  <c r="T184" i="1"/>
  <c r="AE369" i="1"/>
  <c r="V369" i="1"/>
  <c r="T369" i="1"/>
  <c r="AD369" i="1"/>
  <c r="U369" i="1"/>
  <c r="AE283" i="1"/>
  <c r="V283" i="1"/>
  <c r="T283" i="1"/>
  <c r="AD283" i="1"/>
  <c r="U283" i="1"/>
  <c r="AE202" i="1"/>
  <c r="U202" i="1"/>
  <c r="V202" i="1"/>
  <c r="T202" i="1"/>
  <c r="AD202" i="1"/>
  <c r="AE180" i="1"/>
  <c r="T180" i="1"/>
  <c r="AD180" i="1"/>
  <c r="U180" i="1"/>
  <c r="V180" i="1"/>
  <c r="AE282" i="1"/>
  <c r="U282" i="1"/>
  <c r="AD282" i="1"/>
  <c r="T282" i="1"/>
  <c r="V282" i="1"/>
  <c r="AE50" i="1"/>
  <c r="T50" i="1"/>
  <c r="AD50" i="1"/>
  <c r="U50" i="1"/>
  <c r="V50" i="1"/>
  <c r="AE160" i="1"/>
  <c r="U160" i="1"/>
  <c r="T160" i="1"/>
  <c r="V160" i="1"/>
  <c r="AD160" i="1"/>
  <c r="AE24" i="1"/>
  <c r="T24" i="1"/>
  <c r="V24" i="1"/>
  <c r="U24" i="1"/>
  <c r="AD24" i="1"/>
  <c r="AE52" i="1"/>
  <c r="U52" i="1"/>
  <c r="T52" i="1"/>
  <c r="V52" i="1"/>
  <c r="AD52" i="1"/>
  <c r="AE393" i="1"/>
  <c r="V393" i="1"/>
  <c r="U393" i="1"/>
  <c r="AD393" i="1"/>
  <c r="T393" i="1"/>
  <c r="AE342" i="1"/>
  <c r="V342" i="1"/>
  <c r="T342" i="1"/>
  <c r="AD342" i="1"/>
  <c r="U342" i="1"/>
  <c r="AE99" i="1"/>
  <c r="T99" i="1"/>
  <c r="AD99" i="1"/>
  <c r="V99" i="1"/>
  <c r="U99" i="1"/>
  <c r="AE373" i="1"/>
  <c r="U373" i="1"/>
  <c r="AD373" i="1"/>
  <c r="T373" i="1"/>
  <c r="V373" i="1"/>
  <c r="AE148" i="1"/>
  <c r="V148" i="1"/>
  <c r="AD148" i="1"/>
  <c r="T148" i="1"/>
  <c r="U148" i="1"/>
  <c r="AE113" i="1"/>
  <c r="U113" i="1"/>
  <c r="T113" i="1"/>
  <c r="V113" i="1"/>
  <c r="AD113" i="1"/>
  <c r="AE231" i="1"/>
  <c r="T231" i="1"/>
  <c r="U231" i="1"/>
  <c r="AD231" i="1"/>
  <c r="V231" i="1"/>
  <c r="AE122" i="1"/>
  <c r="U122" i="1"/>
  <c r="V122" i="1"/>
  <c r="T122" i="1"/>
  <c r="AD122" i="1"/>
  <c r="AE390" i="1"/>
  <c r="U390" i="1"/>
  <c r="AD390" i="1"/>
  <c r="T390" i="1"/>
  <c r="V390" i="1"/>
  <c r="AE175" i="1"/>
  <c r="V175" i="1"/>
  <c r="U175" i="1"/>
  <c r="T175" i="1"/>
  <c r="AD175" i="1"/>
  <c r="V81" i="1"/>
  <c r="T81" i="1"/>
  <c r="AD81" i="1"/>
  <c r="U81" i="1"/>
  <c r="AE81" i="1"/>
  <c r="U333" i="1"/>
  <c r="T333" i="1"/>
  <c r="AD333" i="1"/>
  <c r="V333" i="1"/>
  <c r="AE333" i="1"/>
  <c r="AE371" i="1"/>
  <c r="V371" i="1"/>
  <c r="AD371" i="1"/>
  <c r="T371" i="1"/>
  <c r="U371" i="1"/>
  <c r="AE315" i="1"/>
  <c r="T315" i="1"/>
  <c r="AD315" i="1"/>
  <c r="U315" i="1"/>
  <c r="V315" i="1"/>
  <c r="AE277" i="1"/>
  <c r="T277" i="1"/>
  <c r="AD277" i="1"/>
  <c r="U277" i="1"/>
  <c r="V277" i="1"/>
  <c r="AE312" i="1"/>
  <c r="T312" i="1"/>
  <c r="AD312" i="1"/>
  <c r="V312" i="1"/>
  <c r="U312" i="1"/>
  <c r="T139" i="1"/>
  <c r="AD139" i="1"/>
  <c r="V139" i="1"/>
  <c r="AE139" i="1"/>
  <c r="U139" i="1"/>
  <c r="AE39" i="1"/>
  <c r="V39" i="1"/>
  <c r="AD39" i="1"/>
  <c r="T39" i="1"/>
  <c r="U39" i="1"/>
  <c r="AE251" i="1"/>
  <c r="T251" i="1"/>
  <c r="AD251" i="1"/>
  <c r="V251" i="1"/>
  <c r="U251" i="1"/>
  <c r="AE372" i="1"/>
  <c r="U372" i="1"/>
  <c r="V372" i="1"/>
  <c r="T372" i="1"/>
  <c r="AD372" i="1"/>
  <c r="AE248" i="1"/>
  <c r="V248" i="1"/>
  <c r="AD248" i="1"/>
  <c r="U248" i="1"/>
  <c r="T248" i="1"/>
  <c r="AE59" i="1"/>
  <c r="U59" i="1"/>
  <c r="AD59" i="1"/>
  <c r="T59" i="1"/>
  <c r="V59" i="1"/>
  <c r="AE179" i="1"/>
  <c r="U179" i="1"/>
  <c r="AD179" i="1"/>
  <c r="T179" i="1"/>
  <c r="V179" i="1"/>
  <c r="AE375" i="1"/>
  <c r="V375" i="1"/>
  <c r="AD375" i="1"/>
  <c r="T375" i="1"/>
  <c r="U375" i="1"/>
  <c r="AE351" i="1"/>
  <c r="T351" i="1"/>
  <c r="AD351" i="1"/>
  <c r="V351" i="1"/>
  <c r="U351" i="1"/>
  <c r="AE317" i="1"/>
  <c r="AD317" i="1"/>
  <c r="U317" i="1"/>
  <c r="V317" i="1"/>
  <c r="T317" i="1"/>
  <c r="AE362" i="1"/>
  <c r="T362" i="1"/>
  <c r="AD362" i="1"/>
  <c r="U362" i="1"/>
  <c r="V362" i="1"/>
  <c r="AE159" i="1"/>
  <c r="V159" i="1"/>
  <c r="AD159" i="1"/>
  <c r="T159" i="1"/>
  <c r="U159" i="1"/>
  <c r="AE335" i="1"/>
  <c r="U335" i="1"/>
  <c r="T335" i="1"/>
  <c r="AD335" i="1"/>
  <c r="V335" i="1"/>
  <c r="AE137" i="1"/>
  <c r="AD137" i="1"/>
  <c r="T137" i="1"/>
  <c r="V137" i="1"/>
  <c r="U137" i="1"/>
  <c r="AE210" i="1"/>
  <c r="AD210" i="1"/>
  <c r="V210" i="1"/>
  <c r="T210" i="1"/>
  <c r="U210" i="1"/>
  <c r="U149" i="1"/>
  <c r="AD149" i="1"/>
  <c r="V149" i="1"/>
  <c r="AE149" i="1"/>
  <c r="T149" i="1"/>
  <c r="AE263" i="1"/>
  <c r="T263" i="1"/>
  <c r="AD263" i="1"/>
  <c r="V263" i="1"/>
  <c r="U263" i="1"/>
  <c r="AC18" i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AC41" i="1" s="1"/>
  <c r="AC42" i="1" s="1"/>
  <c r="AC43" i="1" s="1"/>
  <c r="AC44" i="1" s="1"/>
  <c r="AC45" i="1" s="1"/>
  <c r="AC46" i="1" s="1"/>
  <c r="AC47" i="1" s="1"/>
  <c r="AC48" i="1" s="1"/>
  <c r="AC49" i="1" s="1"/>
  <c r="AC50" i="1" s="1"/>
  <c r="AC51" i="1" s="1"/>
  <c r="AC52" i="1" s="1"/>
  <c r="AC53" i="1" s="1"/>
  <c r="AC54" i="1" s="1"/>
  <c r="AC55" i="1" s="1"/>
  <c r="AC56" i="1" s="1"/>
  <c r="AC57" i="1" s="1"/>
  <c r="AC58" i="1" s="1"/>
  <c r="AC59" i="1" s="1"/>
  <c r="AC60" i="1" s="1"/>
  <c r="AC61" i="1" s="1"/>
  <c r="AC62" i="1" s="1"/>
  <c r="AC63" i="1" s="1"/>
  <c r="AC64" i="1" s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AC105" i="1" s="1"/>
  <c r="AC106" i="1" s="1"/>
  <c r="AC107" i="1" s="1"/>
  <c r="AC108" i="1" s="1"/>
  <c r="AC109" i="1" s="1"/>
  <c r="AC110" i="1" s="1"/>
  <c r="AC111" i="1" s="1"/>
  <c r="AC112" i="1" s="1"/>
  <c r="AC113" i="1" s="1"/>
  <c r="AC114" i="1" s="1"/>
  <c r="AC115" i="1" s="1"/>
  <c r="AC116" i="1" s="1"/>
  <c r="AC117" i="1" s="1"/>
  <c r="AC118" i="1" s="1"/>
  <c r="AC119" i="1" s="1"/>
  <c r="AC120" i="1" s="1"/>
  <c r="AC121" i="1" s="1"/>
  <c r="AC122" i="1" s="1"/>
  <c r="AC123" i="1" s="1"/>
  <c r="AC124" i="1" s="1"/>
  <c r="AC125" i="1" s="1"/>
  <c r="AC126" i="1" s="1"/>
  <c r="AC127" i="1" s="1"/>
  <c r="AC128" i="1" s="1"/>
  <c r="AC129" i="1" s="1"/>
  <c r="AC130" i="1" s="1"/>
  <c r="AC131" i="1" s="1"/>
  <c r="AC132" i="1" s="1"/>
  <c r="AC133" i="1" s="1"/>
  <c r="AC134" i="1" s="1"/>
  <c r="AC135" i="1" s="1"/>
  <c r="AC136" i="1" s="1"/>
  <c r="AC137" i="1" s="1"/>
  <c r="AC138" i="1" s="1"/>
  <c r="AC139" i="1" s="1"/>
  <c r="AC140" i="1" s="1"/>
  <c r="AC141" i="1" s="1"/>
  <c r="AC142" i="1" s="1"/>
  <c r="AC143" i="1" s="1"/>
  <c r="AC144" i="1" s="1"/>
  <c r="AC145" i="1" s="1"/>
  <c r="AC146" i="1" s="1"/>
  <c r="AC147" i="1" s="1"/>
  <c r="AC148" i="1" s="1"/>
  <c r="AC149" i="1" s="1"/>
  <c r="AC150" i="1" s="1"/>
  <c r="AC151" i="1" s="1"/>
  <c r="AC152" i="1" s="1"/>
  <c r="AC153" i="1" s="1"/>
  <c r="AC154" i="1" s="1"/>
  <c r="AC155" i="1" s="1"/>
  <c r="AC156" i="1" s="1"/>
  <c r="AC157" i="1" s="1"/>
  <c r="AC158" i="1" s="1"/>
  <c r="AC159" i="1" s="1"/>
  <c r="AC160" i="1" s="1"/>
  <c r="AC161" i="1" s="1"/>
  <c r="AC162" i="1" s="1"/>
  <c r="AC163" i="1" s="1"/>
  <c r="AC164" i="1" s="1"/>
  <c r="AC165" i="1" s="1"/>
  <c r="AC166" i="1" s="1"/>
  <c r="AC167" i="1" s="1"/>
  <c r="AC168" i="1" s="1"/>
  <c r="AC169" i="1" s="1"/>
  <c r="AC170" i="1" s="1"/>
  <c r="AC171" i="1" s="1"/>
  <c r="AC172" i="1" s="1"/>
  <c r="AC173" i="1" s="1"/>
  <c r="AC174" i="1" s="1"/>
  <c r="AC175" i="1" s="1"/>
  <c r="AC176" i="1" s="1"/>
  <c r="AC177" i="1" s="1"/>
  <c r="AC178" i="1" s="1"/>
  <c r="AC179" i="1" s="1"/>
  <c r="AC180" i="1" s="1"/>
  <c r="AC181" i="1" s="1"/>
  <c r="AC182" i="1" s="1"/>
  <c r="AC183" i="1" s="1"/>
  <c r="AC184" i="1" s="1"/>
  <c r="AC185" i="1" s="1"/>
  <c r="AC186" i="1" s="1"/>
  <c r="AC187" i="1" s="1"/>
  <c r="AC188" i="1" s="1"/>
  <c r="AC189" i="1" s="1"/>
  <c r="AC190" i="1" s="1"/>
  <c r="AC191" i="1" s="1"/>
  <c r="AC192" i="1" s="1"/>
  <c r="AC193" i="1" s="1"/>
  <c r="AC194" i="1" s="1"/>
  <c r="AC195" i="1" s="1"/>
  <c r="AC196" i="1" s="1"/>
  <c r="AC197" i="1" s="1"/>
  <c r="AC198" i="1" s="1"/>
  <c r="AC199" i="1" s="1"/>
  <c r="AC200" i="1" s="1"/>
  <c r="AC201" i="1" s="1"/>
  <c r="AC202" i="1" s="1"/>
  <c r="AC203" i="1" s="1"/>
  <c r="AC204" i="1" s="1"/>
  <c r="AC205" i="1" s="1"/>
  <c r="AC206" i="1" s="1"/>
  <c r="AC207" i="1" s="1"/>
  <c r="AC208" i="1" s="1"/>
  <c r="AC209" i="1" s="1"/>
  <c r="AC210" i="1" s="1"/>
  <c r="AC211" i="1" s="1"/>
  <c r="AC212" i="1" s="1"/>
  <c r="AC213" i="1" s="1"/>
  <c r="AC214" i="1" s="1"/>
  <c r="AC215" i="1" s="1"/>
  <c r="AC216" i="1" s="1"/>
  <c r="AC217" i="1" s="1"/>
  <c r="AC218" i="1" s="1"/>
  <c r="AC219" i="1" s="1"/>
  <c r="AC220" i="1" s="1"/>
  <c r="AC221" i="1" s="1"/>
  <c r="AC222" i="1" s="1"/>
  <c r="AC223" i="1" s="1"/>
  <c r="AC224" i="1" s="1"/>
  <c r="AC225" i="1" s="1"/>
  <c r="AC226" i="1" s="1"/>
  <c r="AC227" i="1" s="1"/>
  <c r="AC228" i="1" s="1"/>
  <c r="AC229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C438" i="1" s="1"/>
  <c r="AC439" i="1" s="1"/>
  <c r="AC440" i="1" s="1"/>
  <c r="AC441" i="1" s="1"/>
  <c r="AC442" i="1" s="1"/>
  <c r="AC443" i="1" s="1"/>
  <c r="AC444" i="1" s="1"/>
  <c r="AC445" i="1" s="1"/>
  <c r="AC446" i="1" s="1"/>
  <c r="AC447" i="1" s="1"/>
  <c r="AC448" i="1" s="1"/>
  <c r="AC449" i="1" s="1"/>
  <c r="AC450" i="1" s="1"/>
  <c r="AC451" i="1" s="1"/>
  <c r="AC452" i="1" s="1"/>
  <c r="AC453" i="1" s="1"/>
  <c r="AC454" i="1" s="1"/>
  <c r="AC455" i="1" s="1"/>
  <c r="AC456" i="1" s="1"/>
  <c r="AC457" i="1" s="1"/>
  <c r="AC458" i="1" s="1"/>
  <c r="AC459" i="1" s="1"/>
  <c r="AC460" i="1" s="1"/>
  <c r="AC461" i="1" s="1"/>
  <c r="AC462" i="1" s="1"/>
  <c r="AC463" i="1" s="1"/>
  <c r="AC464" i="1" s="1"/>
  <c r="AC465" i="1" s="1"/>
  <c r="AC466" i="1" s="1"/>
  <c r="AC467" i="1" s="1"/>
  <c r="AC468" i="1" s="1"/>
  <c r="AC469" i="1" s="1"/>
  <c r="AC470" i="1" s="1"/>
  <c r="AC471" i="1" s="1"/>
  <c r="AC472" i="1" s="1"/>
  <c r="AC473" i="1" s="1"/>
  <c r="AC474" i="1" s="1"/>
  <c r="AC475" i="1" s="1"/>
  <c r="AC476" i="1" s="1"/>
  <c r="AC477" i="1" s="1"/>
  <c r="AC478" i="1" s="1"/>
  <c r="AC479" i="1" s="1"/>
  <c r="AC480" i="1" s="1"/>
  <c r="AC481" i="1" s="1"/>
  <c r="AC482" i="1" s="1"/>
  <c r="AC483" i="1" s="1"/>
  <c r="AC484" i="1" s="1"/>
  <c r="AC485" i="1" s="1"/>
  <c r="AC486" i="1" s="1"/>
  <c r="AC487" i="1" s="1"/>
  <c r="AC488" i="1" s="1"/>
  <c r="AC489" i="1" s="1"/>
  <c r="AC490" i="1" s="1"/>
  <c r="AC491" i="1" s="1"/>
  <c r="AC492" i="1" s="1"/>
  <c r="AC493" i="1" s="1"/>
  <c r="AC494" i="1" s="1"/>
  <c r="AC495" i="1" s="1"/>
  <c r="AC496" i="1" s="1"/>
  <c r="AC497" i="1" s="1"/>
  <c r="AC498" i="1" s="1"/>
  <c r="AC499" i="1" s="1"/>
  <c r="AC500" i="1" s="1"/>
  <c r="AC501" i="1" s="1"/>
  <c r="AC502" i="1" s="1"/>
  <c r="AC503" i="1" s="1"/>
  <c r="AC504" i="1" s="1"/>
  <c r="AC505" i="1" s="1"/>
  <c r="AC506" i="1" s="1"/>
  <c r="AC507" i="1" s="1"/>
  <c r="AC508" i="1" s="1"/>
  <c r="AC509" i="1" s="1"/>
  <c r="AC510" i="1" s="1"/>
  <c r="AC511" i="1" s="1"/>
  <c r="AC512" i="1" s="1"/>
  <c r="AC513" i="1" s="1"/>
  <c r="AC514" i="1" s="1"/>
  <c r="AC515" i="1" s="1"/>
  <c r="AC516" i="1" s="1"/>
  <c r="AC517" i="1" s="1"/>
  <c r="AC518" i="1" s="1"/>
  <c r="AC519" i="1" s="1"/>
  <c r="AC520" i="1" s="1"/>
  <c r="AC521" i="1" s="1"/>
  <c r="AC522" i="1" s="1"/>
  <c r="AC523" i="1" s="1"/>
  <c r="AC524" i="1" s="1"/>
  <c r="AC525" i="1" s="1"/>
  <c r="AC526" i="1" s="1"/>
  <c r="AC527" i="1" s="1"/>
  <c r="AC528" i="1" s="1"/>
  <c r="AC529" i="1" s="1"/>
  <c r="AC530" i="1" s="1"/>
  <c r="AC531" i="1" s="1"/>
  <c r="AC532" i="1" s="1"/>
  <c r="AC533" i="1" s="1"/>
  <c r="AC534" i="1" s="1"/>
  <c r="AC535" i="1" s="1"/>
  <c r="AC536" i="1" s="1"/>
  <c r="AC537" i="1" s="1"/>
  <c r="AC538" i="1" s="1"/>
  <c r="AC539" i="1" s="1"/>
  <c r="AC540" i="1" s="1"/>
  <c r="AC541" i="1" s="1"/>
  <c r="AC542" i="1" s="1"/>
  <c r="AC543" i="1" s="1"/>
  <c r="AC544" i="1" s="1"/>
  <c r="AC545" i="1" s="1"/>
  <c r="AC546" i="1" s="1"/>
  <c r="AC547" i="1" s="1"/>
  <c r="AC548" i="1" s="1"/>
  <c r="AC549" i="1" s="1"/>
  <c r="AC550" i="1" s="1"/>
  <c r="AC551" i="1" s="1"/>
  <c r="AC552" i="1" s="1"/>
  <c r="AC553" i="1" s="1"/>
  <c r="AC554" i="1" s="1"/>
  <c r="AC555" i="1" s="1"/>
  <c r="AC556" i="1" s="1"/>
  <c r="AC557" i="1" s="1"/>
  <c r="AC558" i="1" s="1"/>
  <c r="AC559" i="1" s="1"/>
  <c r="AC560" i="1" s="1"/>
  <c r="AC561" i="1" s="1"/>
  <c r="AC562" i="1" s="1"/>
  <c r="AC563" i="1" s="1"/>
  <c r="AC564" i="1" s="1"/>
  <c r="AC565" i="1" s="1"/>
  <c r="AC566" i="1" s="1"/>
  <c r="AC567" i="1" s="1"/>
  <c r="AC568" i="1" s="1"/>
  <c r="AC569" i="1" s="1"/>
  <c r="AC570" i="1" s="1"/>
  <c r="AC571" i="1" s="1"/>
  <c r="AC572" i="1" s="1"/>
  <c r="AC573" i="1" s="1"/>
  <c r="AC574" i="1" s="1"/>
  <c r="AC575" i="1" s="1"/>
  <c r="AC576" i="1" s="1"/>
  <c r="AC577" i="1" s="1"/>
  <c r="AC578" i="1" s="1"/>
  <c r="AC579" i="1" s="1"/>
  <c r="AC580" i="1" s="1"/>
  <c r="AC581" i="1" s="1"/>
  <c r="AC582" i="1" s="1"/>
  <c r="AC583" i="1" s="1"/>
  <c r="AC584" i="1" s="1"/>
  <c r="AC585" i="1" s="1"/>
  <c r="AC586" i="1" s="1"/>
  <c r="AC587" i="1" s="1"/>
  <c r="AC588" i="1" s="1"/>
  <c r="AC589" i="1" s="1"/>
  <c r="AC590" i="1" s="1"/>
  <c r="AC591" i="1" s="1"/>
  <c r="AC592" i="1" s="1"/>
  <c r="AC593" i="1" s="1"/>
  <c r="AC594" i="1" s="1"/>
  <c r="AC595" i="1" s="1"/>
  <c r="AC596" i="1" s="1"/>
  <c r="AC597" i="1" s="1"/>
  <c r="AC598" i="1" s="1"/>
  <c r="AC599" i="1" s="1"/>
  <c r="AC600" i="1" s="1"/>
  <c r="AC601" i="1" s="1"/>
  <c r="AC602" i="1" s="1"/>
  <c r="AC603" i="1" s="1"/>
  <c r="AC604" i="1" s="1"/>
  <c r="AC605" i="1" s="1"/>
  <c r="AC606" i="1" s="1"/>
  <c r="AC607" i="1" s="1"/>
  <c r="AC608" i="1" s="1"/>
  <c r="AC609" i="1" s="1"/>
  <c r="AC610" i="1" s="1"/>
  <c r="AC611" i="1" s="1"/>
  <c r="AC612" i="1" s="1"/>
  <c r="AC613" i="1" s="1"/>
  <c r="AC614" i="1" s="1"/>
  <c r="AC615" i="1" s="1"/>
  <c r="AC616" i="1" s="1"/>
  <c r="AC617" i="1" s="1"/>
  <c r="AC618" i="1" s="1"/>
  <c r="AC619" i="1" s="1"/>
  <c r="AC620" i="1" s="1"/>
  <c r="AC621" i="1" s="1"/>
  <c r="AC622" i="1" s="1"/>
  <c r="AC623" i="1" s="1"/>
  <c r="AC624" i="1" s="1"/>
  <c r="AC625" i="1" s="1"/>
  <c r="AC626" i="1" s="1"/>
  <c r="AC627" i="1" s="1"/>
  <c r="AC628" i="1" s="1"/>
  <c r="AC629" i="1" s="1"/>
  <c r="AC630" i="1" s="1"/>
  <c r="AC631" i="1" s="1"/>
  <c r="AC632" i="1" s="1"/>
  <c r="AC633" i="1" s="1"/>
  <c r="AC634" i="1" s="1"/>
  <c r="AC635" i="1" s="1"/>
  <c r="AC636" i="1" s="1"/>
  <c r="AC637" i="1" s="1"/>
  <c r="AC638" i="1" s="1"/>
  <c r="AC639" i="1" s="1"/>
  <c r="AC640" i="1" s="1"/>
  <c r="AC641" i="1" s="1"/>
  <c r="AC642" i="1" s="1"/>
  <c r="AC643" i="1" s="1"/>
  <c r="AC644" i="1" s="1"/>
  <c r="AC645" i="1" s="1"/>
  <c r="AC646" i="1" s="1"/>
  <c r="AC647" i="1" s="1"/>
  <c r="AC648" i="1" s="1"/>
  <c r="AC649" i="1" s="1"/>
  <c r="AC650" i="1" s="1"/>
  <c r="AC651" i="1" s="1"/>
  <c r="AC652" i="1" s="1"/>
  <c r="AC653" i="1" s="1"/>
  <c r="AC654" i="1" s="1"/>
  <c r="AC655" i="1" s="1"/>
  <c r="AC656" i="1" s="1"/>
  <c r="AC657" i="1" s="1"/>
  <c r="AC658" i="1" s="1"/>
  <c r="AC659" i="1" s="1"/>
  <c r="AC660" i="1" s="1"/>
  <c r="AC661" i="1" s="1"/>
  <c r="AC662" i="1" s="1"/>
  <c r="V18" i="1"/>
  <c r="AD18" i="1"/>
  <c r="U18" i="1"/>
  <c r="AE18" i="1"/>
  <c r="T18" i="1"/>
  <c r="V114" i="1"/>
  <c r="AE114" i="1"/>
  <c r="U114" i="1"/>
  <c r="AD114" i="1"/>
  <c r="T114" i="1"/>
  <c r="AJ379" i="1"/>
  <c r="AI379" i="1"/>
  <c r="AH379" i="1"/>
  <c r="AH292" i="1"/>
  <c r="AJ292" i="1"/>
  <c r="AI292" i="1"/>
  <c r="AH164" i="1"/>
  <c r="AI164" i="1"/>
  <c r="AJ164" i="1"/>
  <c r="AI60" i="1"/>
  <c r="AH60" i="1"/>
  <c r="AJ60" i="1"/>
  <c r="AJ386" i="1"/>
  <c r="AI386" i="1"/>
  <c r="AH386" i="1"/>
  <c r="AI347" i="1"/>
  <c r="AJ347" i="1"/>
  <c r="AH347" i="1"/>
  <c r="AH221" i="1"/>
  <c r="AI221" i="1"/>
  <c r="AJ221" i="1"/>
  <c r="AH93" i="1"/>
  <c r="AI93" i="1"/>
  <c r="AJ93" i="1"/>
  <c r="AH341" i="1"/>
  <c r="AI341" i="1"/>
  <c r="AJ341" i="1"/>
  <c r="AJ232" i="1"/>
  <c r="AH232" i="1"/>
  <c r="AI232" i="1"/>
  <c r="AJ380" i="1"/>
  <c r="AH380" i="1"/>
  <c r="AI380" i="1"/>
  <c r="AH120" i="1"/>
  <c r="AJ120" i="1"/>
  <c r="AI120" i="1"/>
  <c r="AH126" i="1"/>
  <c r="AI126" i="1"/>
  <c r="AJ126" i="1"/>
  <c r="AJ269" i="1"/>
  <c r="AH269" i="1"/>
  <c r="AI269" i="1"/>
  <c r="AI112" i="1"/>
  <c r="AJ112" i="1"/>
  <c r="AH112" i="1"/>
  <c r="AH118" i="1"/>
  <c r="AI118" i="1"/>
  <c r="AJ118" i="1"/>
  <c r="AJ237" i="1"/>
  <c r="AH237" i="1"/>
  <c r="AI237" i="1"/>
  <c r="AI247" i="1"/>
  <c r="AH247" i="1"/>
  <c r="AJ247" i="1"/>
  <c r="AJ45" i="1"/>
  <c r="AH45" i="1"/>
  <c r="AI45" i="1"/>
  <c r="AI68" i="1"/>
  <c r="AH68" i="1"/>
  <c r="AJ68" i="1"/>
  <c r="AH56" i="1"/>
  <c r="AJ56" i="1"/>
  <c r="AI56" i="1"/>
  <c r="AJ199" i="1"/>
  <c r="AI199" i="1"/>
  <c r="AH199" i="1"/>
  <c r="AJ62" i="1"/>
  <c r="AI62" i="1"/>
  <c r="AH62" i="1"/>
  <c r="AJ226" i="1"/>
  <c r="AH226" i="1"/>
  <c r="AI226" i="1"/>
  <c r="AH363" i="1"/>
  <c r="AJ363" i="1"/>
  <c r="AI363" i="1"/>
  <c r="AI345" i="1"/>
  <c r="AJ345" i="1"/>
  <c r="AH345" i="1"/>
  <c r="AI48" i="1"/>
  <c r="AH48" i="1"/>
  <c r="AJ48" i="1"/>
  <c r="AH191" i="1"/>
  <c r="AI191" i="1"/>
  <c r="AJ191" i="1"/>
  <c r="AH54" i="1"/>
  <c r="AI54" i="1"/>
  <c r="AJ54" i="1"/>
  <c r="AH218" i="1"/>
  <c r="AI218" i="1"/>
  <c r="AJ218" i="1"/>
  <c r="AJ315" i="1"/>
  <c r="AH315" i="1"/>
  <c r="AI315" i="1"/>
  <c r="AJ253" i="1"/>
  <c r="AH253" i="1"/>
  <c r="AI253" i="1"/>
  <c r="AH40" i="1"/>
  <c r="AJ40" i="1"/>
  <c r="AI40" i="1"/>
  <c r="AJ183" i="1"/>
  <c r="AH183" i="1"/>
  <c r="AI183" i="1"/>
  <c r="AI46" i="1"/>
  <c r="AH46" i="1"/>
  <c r="AJ46" i="1"/>
  <c r="AH210" i="1"/>
  <c r="AI210" i="1"/>
  <c r="AJ210" i="1"/>
  <c r="AJ228" i="1"/>
  <c r="AH228" i="1"/>
  <c r="AI228" i="1"/>
  <c r="AJ29" i="1"/>
  <c r="AH29" i="1"/>
  <c r="AI29" i="1"/>
  <c r="AI32" i="1"/>
  <c r="AH32" i="1"/>
  <c r="AJ32" i="1"/>
  <c r="AJ175" i="1"/>
  <c r="AH175" i="1"/>
  <c r="AI175" i="1"/>
  <c r="AI38" i="1"/>
  <c r="AJ38" i="1"/>
  <c r="AH38" i="1"/>
  <c r="AI202" i="1"/>
  <c r="AH202" i="1"/>
  <c r="AJ202" i="1"/>
  <c r="AJ28" i="1"/>
  <c r="AH28" i="1"/>
  <c r="AI28" i="1"/>
  <c r="AH308" i="1"/>
  <c r="AJ308" i="1"/>
  <c r="AI308" i="1"/>
  <c r="AH241" i="1"/>
  <c r="AJ241" i="1"/>
  <c r="AI241" i="1"/>
  <c r="AI103" i="1"/>
  <c r="AJ103" i="1"/>
  <c r="AH103" i="1"/>
  <c r="AI259" i="1"/>
  <c r="AH259" i="1"/>
  <c r="AJ259" i="1"/>
  <c r="AH130" i="1"/>
  <c r="AJ130" i="1"/>
  <c r="AI130" i="1"/>
  <c r="AJ365" i="1"/>
  <c r="AI365" i="1"/>
  <c r="AH365" i="1"/>
  <c r="AJ21" i="1"/>
  <c r="AI21" i="1"/>
  <c r="AH21" i="1"/>
  <c r="AJ169" i="1"/>
  <c r="AI169" i="1"/>
  <c r="AH169" i="1"/>
  <c r="AJ31" i="1"/>
  <c r="AH31" i="1"/>
  <c r="AI31" i="1"/>
  <c r="AI187" i="1"/>
  <c r="AJ187" i="1"/>
  <c r="AH187" i="1"/>
  <c r="AI58" i="1"/>
  <c r="AH58" i="1"/>
  <c r="AJ58" i="1"/>
  <c r="AJ108" i="1"/>
  <c r="AH108" i="1"/>
  <c r="AI108" i="1"/>
  <c r="AJ328" i="1"/>
  <c r="AI328" i="1"/>
  <c r="AH328" i="1"/>
  <c r="AJ97" i="1"/>
  <c r="AH97" i="1"/>
  <c r="AI97" i="1"/>
  <c r="AH334" i="1"/>
  <c r="AI334" i="1"/>
  <c r="AJ334" i="1"/>
  <c r="AJ115" i="1"/>
  <c r="AH115" i="1"/>
  <c r="AI115" i="1"/>
  <c r="AJ189" i="1"/>
  <c r="AH189" i="1"/>
  <c r="AI189" i="1"/>
  <c r="AJ157" i="1"/>
  <c r="AI157" i="1"/>
  <c r="AH157" i="1"/>
  <c r="AH256" i="1"/>
  <c r="AI256" i="1"/>
  <c r="AJ256" i="1"/>
  <c r="AJ25" i="1"/>
  <c r="AI25" i="1"/>
  <c r="AH25" i="1"/>
  <c r="AI262" i="1"/>
  <c r="AJ262" i="1"/>
  <c r="AH262" i="1"/>
  <c r="AJ43" i="1"/>
  <c r="AH43" i="1"/>
  <c r="AI43" i="1"/>
  <c r="G36" i="1"/>
  <c r="H36" i="1"/>
  <c r="B36" i="1"/>
  <c r="AE208" i="1"/>
  <c r="V208" i="1"/>
  <c r="AD208" i="1"/>
  <c r="U208" i="1"/>
  <c r="T208" i="1"/>
  <c r="AE84" i="1"/>
  <c r="V84" i="1"/>
  <c r="AD84" i="1"/>
  <c r="T84" i="1"/>
  <c r="U84" i="1"/>
  <c r="AE229" i="1"/>
  <c r="T229" i="1"/>
  <c r="U229" i="1"/>
  <c r="V229" i="1"/>
  <c r="AD229" i="1"/>
  <c r="AE23" i="1"/>
  <c r="T23" i="1"/>
  <c r="V23" i="1"/>
  <c r="U23" i="1"/>
  <c r="AD23" i="1"/>
  <c r="AE205" i="1"/>
  <c r="V205" i="1"/>
  <c r="T205" i="1"/>
  <c r="AD205" i="1"/>
  <c r="U205" i="1"/>
  <c r="U254" i="1"/>
  <c r="V254" i="1"/>
  <c r="T254" i="1"/>
  <c r="AE254" i="1"/>
  <c r="AD254" i="1"/>
  <c r="AE37" i="1"/>
  <c r="V37" i="1"/>
  <c r="AD37" i="1"/>
  <c r="U37" i="1"/>
  <c r="T37" i="1"/>
  <c r="AE21" i="1"/>
  <c r="T21" i="1"/>
  <c r="AD21" i="1"/>
  <c r="V21" i="1"/>
  <c r="U21" i="1"/>
  <c r="AE354" i="1"/>
  <c r="U354" i="1"/>
  <c r="AD354" i="1"/>
  <c r="T354" i="1"/>
  <c r="V354" i="1"/>
  <c r="AE60" i="1"/>
  <c r="T60" i="1"/>
  <c r="U60" i="1"/>
  <c r="AD60" i="1"/>
  <c r="V60" i="1"/>
  <c r="AE242" i="1"/>
  <c r="T242" i="1"/>
  <c r="AD242" i="1"/>
  <c r="V242" i="1"/>
  <c r="U242" i="1"/>
  <c r="AE166" i="1"/>
  <c r="U166" i="1"/>
  <c r="AD166" i="1"/>
  <c r="V166" i="1"/>
  <c r="T166" i="1"/>
  <c r="AE218" i="1"/>
  <c r="T218" i="1"/>
  <c r="U218" i="1"/>
  <c r="AD218" i="1"/>
  <c r="V218" i="1"/>
  <c r="AE387" i="1"/>
  <c r="V387" i="1"/>
  <c r="T387" i="1"/>
  <c r="U387" i="1"/>
  <c r="AD387" i="1"/>
  <c r="AE96" i="1"/>
  <c r="V96" i="1"/>
  <c r="AD96" i="1"/>
  <c r="U96" i="1"/>
  <c r="T96" i="1"/>
  <c r="AE26" i="1"/>
  <c r="U26" i="1"/>
  <c r="V26" i="1"/>
  <c r="AD26" i="1"/>
  <c r="T26" i="1"/>
  <c r="AE142" i="1"/>
  <c r="T142" i="1"/>
  <c r="AD142" i="1"/>
  <c r="V142" i="1"/>
  <c r="U142" i="1"/>
  <c r="AE328" i="1"/>
  <c r="T328" i="1"/>
  <c r="V328" i="1"/>
  <c r="AD328" i="1"/>
  <c r="U328" i="1"/>
  <c r="AE45" i="1"/>
  <c r="V45" i="1"/>
  <c r="AD45" i="1"/>
  <c r="T45" i="1"/>
  <c r="U45" i="1"/>
  <c r="AE300" i="1"/>
  <c r="T300" i="1"/>
  <c r="U300" i="1"/>
  <c r="AD300" i="1"/>
  <c r="V300" i="1"/>
  <c r="AE233" i="1"/>
  <c r="V233" i="1"/>
  <c r="AD233" i="1"/>
  <c r="U233" i="1"/>
  <c r="T233" i="1"/>
  <c r="V219" i="1"/>
  <c r="AE219" i="1"/>
  <c r="U219" i="1"/>
  <c r="T219" i="1"/>
  <c r="AD219" i="1"/>
  <c r="V123" i="1"/>
  <c r="U123" i="1"/>
  <c r="AD123" i="1"/>
  <c r="T123" i="1"/>
  <c r="AE123" i="1"/>
  <c r="V102" i="1"/>
  <c r="U102" i="1"/>
  <c r="AD102" i="1"/>
  <c r="T102" i="1"/>
  <c r="AE102" i="1"/>
  <c r="AE324" i="1"/>
  <c r="T324" i="1"/>
  <c r="AD324" i="1"/>
  <c r="V324" i="1"/>
  <c r="U324" i="1"/>
  <c r="AE246" i="1"/>
  <c r="U246" i="1"/>
  <c r="AD246" i="1"/>
  <c r="V246" i="1"/>
  <c r="T246" i="1"/>
  <c r="AE322" i="1"/>
  <c r="V322" i="1"/>
  <c r="U322" i="1"/>
  <c r="AD322" i="1"/>
  <c r="T322" i="1"/>
  <c r="AE132" i="1"/>
  <c r="V132" i="1"/>
  <c r="AD132" i="1"/>
  <c r="T132" i="1"/>
  <c r="U132" i="1"/>
  <c r="AE54" i="1"/>
  <c r="T54" i="1"/>
  <c r="AD54" i="1"/>
  <c r="V54" i="1"/>
  <c r="U54" i="1"/>
  <c r="AE79" i="1"/>
  <c r="T79" i="1"/>
  <c r="U79" i="1"/>
  <c r="AD79" i="1"/>
  <c r="V79" i="1"/>
  <c r="AE182" i="1"/>
  <c r="T182" i="1"/>
  <c r="AD182" i="1"/>
  <c r="U182" i="1"/>
  <c r="V182" i="1"/>
  <c r="AE35" i="1"/>
  <c r="T35" i="1"/>
  <c r="V35" i="1"/>
  <c r="AD35" i="1"/>
  <c r="U35" i="1"/>
  <c r="AE340" i="1"/>
  <c r="T340" i="1"/>
  <c r="AD340" i="1"/>
  <c r="V340" i="1"/>
  <c r="U340" i="1"/>
  <c r="AE341" i="1"/>
  <c r="U341" i="1"/>
  <c r="AD341" i="1"/>
  <c r="V341" i="1"/>
  <c r="T341" i="1"/>
  <c r="AE51" i="1"/>
  <c r="U51" i="1"/>
  <c r="V51" i="1"/>
  <c r="AD51" i="1"/>
  <c r="T51" i="1"/>
  <c r="AE100" i="1"/>
  <c r="T100" i="1"/>
  <c r="AD100" i="1"/>
  <c r="U100" i="1"/>
  <c r="V100" i="1"/>
  <c r="AE309" i="1"/>
  <c r="U309" i="1"/>
  <c r="AD309" i="1"/>
  <c r="V309" i="1"/>
  <c r="T309" i="1"/>
  <c r="AE169" i="1"/>
  <c r="AD169" i="1"/>
  <c r="U169" i="1"/>
  <c r="V169" i="1"/>
  <c r="T169" i="1"/>
  <c r="AE361" i="1"/>
  <c r="U361" i="1"/>
  <c r="AD361" i="1"/>
  <c r="V361" i="1"/>
  <c r="T361" i="1"/>
  <c r="AE143" i="1"/>
  <c r="U143" i="1"/>
  <c r="AD143" i="1"/>
  <c r="V143" i="1"/>
  <c r="T143" i="1"/>
  <c r="AE156" i="1"/>
  <c r="V156" i="1"/>
  <c r="U156" i="1"/>
  <c r="T156" i="1"/>
  <c r="AD156" i="1"/>
  <c r="AE46" i="1"/>
  <c r="U46" i="1"/>
  <c r="AD46" i="1"/>
  <c r="T46" i="1"/>
  <c r="V46" i="1"/>
  <c r="AE106" i="1"/>
  <c r="V106" i="1"/>
  <c r="AD106" i="1"/>
  <c r="U106" i="1"/>
  <c r="T106" i="1"/>
  <c r="AE258" i="1"/>
  <c r="T258" i="1"/>
  <c r="AD258" i="1"/>
  <c r="V258" i="1"/>
  <c r="U258" i="1"/>
  <c r="AE207" i="1"/>
  <c r="U207" i="1"/>
  <c r="AD207" i="1"/>
  <c r="V207" i="1"/>
  <c r="T207" i="1"/>
  <c r="T299" i="1"/>
  <c r="U299" i="1"/>
  <c r="AE299" i="1"/>
  <c r="AD299" i="1"/>
  <c r="V299" i="1"/>
  <c r="V281" i="1"/>
  <c r="AE281" i="1"/>
  <c r="U281" i="1"/>
  <c r="T281" i="1"/>
  <c r="AD281" i="1"/>
  <c r="AJ395" i="1"/>
  <c r="AI395" i="1"/>
  <c r="AH395" i="1"/>
  <c r="AH296" i="1"/>
  <c r="AI296" i="1"/>
  <c r="AJ296" i="1"/>
  <c r="AH92" i="1"/>
  <c r="AI92" i="1"/>
  <c r="AJ92" i="1"/>
  <c r="AI353" i="1"/>
  <c r="AJ353" i="1"/>
  <c r="AH353" i="1"/>
  <c r="AJ109" i="1"/>
  <c r="AI109" i="1"/>
  <c r="AH109" i="1"/>
  <c r="AI388" i="1"/>
  <c r="AH388" i="1"/>
  <c r="AJ388" i="1"/>
  <c r="AJ61" i="1"/>
  <c r="AH61" i="1"/>
  <c r="AI61" i="1"/>
  <c r="AI383" i="1"/>
  <c r="AJ383" i="1"/>
  <c r="AH383" i="1"/>
  <c r="AH375" i="1"/>
  <c r="AI375" i="1"/>
  <c r="AJ375" i="1"/>
  <c r="AH184" i="1"/>
  <c r="AI184" i="1"/>
  <c r="AJ184" i="1"/>
  <c r="AJ125" i="1"/>
  <c r="AH125" i="1"/>
  <c r="AI125" i="1"/>
  <c r="AI372" i="1"/>
  <c r="AJ372" i="1"/>
  <c r="AH372" i="1"/>
  <c r="AH291" i="1"/>
  <c r="AI291" i="1"/>
  <c r="AJ291" i="1"/>
  <c r="AJ356" i="1"/>
  <c r="AI356" i="1"/>
  <c r="AH356" i="1"/>
  <c r="AH283" i="1"/>
  <c r="AI283" i="1"/>
  <c r="AJ283" i="1"/>
  <c r="AH309" i="1"/>
  <c r="AI309" i="1"/>
  <c r="AJ309" i="1"/>
  <c r="AH340" i="1"/>
  <c r="AI340" i="1"/>
  <c r="AJ340" i="1"/>
  <c r="AH257" i="1"/>
  <c r="AJ257" i="1"/>
  <c r="AI257" i="1"/>
  <c r="AH275" i="1"/>
  <c r="AJ275" i="1"/>
  <c r="AI275" i="1"/>
  <c r="AJ146" i="1"/>
  <c r="AH146" i="1"/>
  <c r="AI146" i="1"/>
  <c r="AH188" i="1"/>
  <c r="AJ188" i="1"/>
  <c r="AI188" i="1"/>
  <c r="AI324" i="1"/>
  <c r="AJ324" i="1"/>
  <c r="AH324" i="1"/>
  <c r="AI249" i="1"/>
  <c r="AJ249" i="1"/>
  <c r="AH249" i="1"/>
  <c r="AJ111" i="1"/>
  <c r="AH111" i="1"/>
  <c r="AI111" i="1"/>
  <c r="AI267" i="1"/>
  <c r="AJ267" i="1"/>
  <c r="AH267" i="1"/>
  <c r="AH138" i="1"/>
  <c r="AI138" i="1"/>
  <c r="AJ138" i="1"/>
  <c r="AH84" i="1"/>
  <c r="AI84" i="1"/>
  <c r="AJ84" i="1"/>
  <c r="AH53" i="1"/>
  <c r="AI53" i="1"/>
  <c r="AJ53" i="1"/>
  <c r="AJ177" i="1"/>
  <c r="AH177" i="1"/>
  <c r="AI177" i="1"/>
  <c r="AJ39" i="1"/>
  <c r="AH39" i="1"/>
  <c r="AI39" i="1"/>
  <c r="AI195" i="1"/>
  <c r="AJ195" i="1"/>
  <c r="AH195" i="1"/>
  <c r="AI66" i="1"/>
  <c r="AH66" i="1"/>
  <c r="AJ66" i="1"/>
  <c r="AH140" i="1"/>
  <c r="AI140" i="1"/>
  <c r="AJ140" i="1"/>
  <c r="AI336" i="1"/>
  <c r="AJ336" i="1"/>
  <c r="AH336" i="1"/>
  <c r="AJ105" i="1"/>
  <c r="AI105" i="1"/>
  <c r="AH105" i="1"/>
  <c r="AI342" i="1"/>
  <c r="AJ342" i="1"/>
  <c r="AH342" i="1"/>
  <c r="AJ123" i="1"/>
  <c r="AH123" i="1"/>
  <c r="AI123" i="1"/>
  <c r="AH329" i="1"/>
  <c r="AI329" i="1"/>
  <c r="AJ329" i="1"/>
  <c r="AI285" i="1"/>
  <c r="AH285" i="1"/>
  <c r="AJ285" i="1"/>
  <c r="AI264" i="1"/>
  <c r="AJ264" i="1"/>
  <c r="AH264" i="1"/>
  <c r="AH33" i="1"/>
  <c r="AI33" i="1"/>
  <c r="AJ33" i="1"/>
  <c r="AH270" i="1"/>
  <c r="AI270" i="1"/>
  <c r="AJ270" i="1"/>
  <c r="AH51" i="1"/>
  <c r="AI51" i="1"/>
  <c r="AJ51" i="1"/>
  <c r="AH276" i="1"/>
  <c r="AJ276" i="1"/>
  <c r="AI276" i="1"/>
  <c r="AJ349" i="1"/>
  <c r="AI349" i="1"/>
  <c r="AH349" i="1"/>
  <c r="AI192" i="1"/>
  <c r="AJ192" i="1"/>
  <c r="AH192" i="1"/>
  <c r="AI335" i="1"/>
  <c r="AH335" i="1"/>
  <c r="AJ335" i="1"/>
  <c r="AH198" i="1"/>
  <c r="AI198" i="1"/>
  <c r="AJ198" i="1"/>
  <c r="AJ362" i="1"/>
  <c r="AH362" i="1"/>
  <c r="AI362" i="1"/>
  <c r="AE344" i="1"/>
  <c r="V344" i="1"/>
  <c r="AD344" i="1"/>
  <c r="T344" i="1"/>
  <c r="U344" i="1"/>
  <c r="AE189" i="1"/>
  <c r="T189" i="1"/>
  <c r="AD189" i="1"/>
  <c r="U189" i="1"/>
  <c r="V189" i="1"/>
  <c r="AE256" i="1"/>
  <c r="V256" i="1"/>
  <c r="AD256" i="1"/>
  <c r="T256" i="1"/>
  <c r="U256" i="1"/>
  <c r="AE147" i="1"/>
  <c r="T147" i="1"/>
  <c r="U147" i="1"/>
  <c r="V147" i="1"/>
  <c r="AD147" i="1"/>
  <c r="AE65" i="1"/>
  <c r="V65" i="1"/>
  <c r="T65" i="1"/>
  <c r="U65" i="1"/>
  <c r="AD65" i="1"/>
  <c r="AE289" i="1"/>
  <c r="V289" i="1"/>
  <c r="U289" i="1"/>
  <c r="T289" i="1"/>
  <c r="AD289" i="1"/>
  <c r="AE185" i="1"/>
  <c r="U185" i="1"/>
  <c r="V185" i="1"/>
  <c r="T185" i="1"/>
  <c r="AD185" i="1"/>
  <c r="AE194" i="1"/>
  <c r="U194" i="1"/>
  <c r="T194" i="1"/>
  <c r="AD194" i="1"/>
  <c r="V194" i="1"/>
  <c r="AE302" i="1"/>
  <c r="T302" i="1"/>
  <c r="AD302" i="1"/>
  <c r="U302" i="1"/>
  <c r="V302" i="1"/>
  <c r="AE126" i="1"/>
  <c r="U126" i="1"/>
  <c r="AD126" i="1"/>
  <c r="V126" i="1"/>
  <c r="T126" i="1"/>
  <c r="AE234" i="1"/>
  <c r="V234" i="1"/>
  <c r="T234" i="1"/>
  <c r="AD234" i="1"/>
  <c r="U234" i="1"/>
  <c r="AE188" i="1"/>
  <c r="T188" i="1"/>
  <c r="AD188" i="1"/>
  <c r="V188" i="1"/>
  <c r="U188" i="1"/>
  <c r="AE332" i="1"/>
  <c r="U332" i="1"/>
  <c r="AD332" i="1"/>
  <c r="V332" i="1"/>
  <c r="T332" i="1"/>
  <c r="AE120" i="1"/>
  <c r="U120" i="1"/>
  <c r="V120" i="1"/>
  <c r="T120" i="1"/>
  <c r="AD120" i="1"/>
  <c r="AE374" i="1"/>
  <c r="T374" i="1"/>
  <c r="U374" i="1"/>
  <c r="AD374" i="1"/>
  <c r="V374" i="1"/>
  <c r="AE140" i="1"/>
  <c r="T140" i="1"/>
  <c r="AD140" i="1"/>
  <c r="U140" i="1"/>
  <c r="V140" i="1"/>
  <c r="AE298" i="1"/>
  <c r="T298" i="1"/>
  <c r="AD298" i="1"/>
  <c r="U298" i="1"/>
  <c r="V298" i="1"/>
  <c r="AE199" i="1"/>
  <c r="T199" i="1"/>
  <c r="AD199" i="1"/>
  <c r="U199" i="1"/>
  <c r="V199" i="1"/>
  <c r="AE278" i="1"/>
  <c r="U278" i="1"/>
  <c r="AD278" i="1"/>
  <c r="V278" i="1"/>
  <c r="T278" i="1"/>
  <c r="AE257" i="1"/>
  <c r="V257" i="1"/>
  <c r="U257" i="1"/>
  <c r="AD257" i="1"/>
  <c r="T257" i="1"/>
  <c r="AE245" i="1"/>
  <c r="V245" i="1"/>
  <c r="AD245" i="1"/>
  <c r="T245" i="1"/>
  <c r="U245" i="1"/>
  <c r="AE86" i="1"/>
  <c r="T86" i="1"/>
  <c r="V86" i="1"/>
  <c r="U86" i="1"/>
  <c r="AD86" i="1"/>
  <c r="T62" i="1"/>
  <c r="AE62" i="1"/>
  <c r="U62" i="1"/>
  <c r="V62" i="1"/>
  <c r="AD62" i="1"/>
  <c r="V89" i="1"/>
  <c r="AE89" i="1"/>
  <c r="U89" i="1"/>
  <c r="T89" i="1"/>
  <c r="AD89" i="1"/>
  <c r="AE58" i="1"/>
  <c r="V58" i="1"/>
  <c r="AD58" i="1"/>
  <c r="U58" i="1"/>
  <c r="T58" i="1"/>
  <c r="AE336" i="1"/>
  <c r="T336" i="1"/>
  <c r="AD336" i="1"/>
  <c r="U336" i="1"/>
  <c r="V336" i="1"/>
  <c r="AE111" i="1"/>
  <c r="U111" i="1"/>
  <c r="AD111" i="1"/>
  <c r="T111" i="1"/>
  <c r="V111" i="1"/>
  <c r="AE255" i="1"/>
  <c r="V255" i="1"/>
  <c r="AD255" i="1"/>
  <c r="T255" i="1"/>
  <c r="U255" i="1"/>
  <c r="AE97" i="1"/>
  <c r="T97" i="1"/>
  <c r="AD97" i="1"/>
  <c r="U97" i="1"/>
  <c r="V97" i="1"/>
  <c r="AE187" i="1"/>
  <c r="T187" i="1"/>
  <c r="U187" i="1"/>
  <c r="AD187" i="1"/>
  <c r="V187" i="1"/>
  <c r="AE57" i="1"/>
  <c r="T57" i="1"/>
  <c r="U57" i="1"/>
  <c r="AD57" i="1"/>
  <c r="V57" i="1"/>
  <c r="AE32" i="1"/>
  <c r="U32" i="1"/>
  <c r="AD32" i="1"/>
  <c r="T32" i="1"/>
  <c r="V32" i="1"/>
  <c r="AE165" i="1"/>
  <c r="U165" i="1"/>
  <c r="AD165" i="1"/>
  <c r="T165" i="1"/>
  <c r="V165" i="1"/>
  <c r="AE378" i="1"/>
  <c r="T378" i="1"/>
  <c r="AD378" i="1"/>
  <c r="U378" i="1"/>
  <c r="V378" i="1"/>
  <c r="AE348" i="1"/>
  <c r="V348" i="1"/>
  <c r="AD348" i="1"/>
  <c r="U348" i="1"/>
  <c r="T348" i="1"/>
  <c r="AE287" i="1"/>
  <c r="V287" i="1"/>
  <c r="AD287" i="1"/>
  <c r="U287" i="1"/>
  <c r="T287" i="1"/>
  <c r="AE308" i="1"/>
  <c r="T308" i="1"/>
  <c r="AD308" i="1"/>
  <c r="U308" i="1"/>
  <c r="V308" i="1"/>
  <c r="AE117" i="1"/>
  <c r="T117" i="1"/>
  <c r="AD117" i="1"/>
  <c r="V117" i="1"/>
  <c r="U117" i="1"/>
  <c r="AE183" i="1"/>
  <c r="AD183" i="1"/>
  <c r="V183" i="1"/>
  <c r="T183" i="1"/>
  <c r="U183" i="1"/>
  <c r="AE190" i="1"/>
  <c r="AD190" i="1"/>
  <c r="T190" i="1"/>
  <c r="V190" i="1"/>
  <c r="U190" i="1"/>
  <c r="AE200" i="1"/>
  <c r="AD200" i="1"/>
  <c r="U200" i="1"/>
  <c r="T200" i="1"/>
  <c r="V200" i="1"/>
  <c r="AE146" i="1"/>
  <c r="T146" i="1"/>
  <c r="AD146" i="1"/>
  <c r="U146" i="1"/>
  <c r="V146" i="1"/>
  <c r="AE386" i="1"/>
  <c r="U386" i="1"/>
  <c r="AD386" i="1"/>
  <c r="T386" i="1"/>
  <c r="V386" i="1"/>
  <c r="AE47" i="1"/>
  <c r="V47" i="1"/>
  <c r="AD47" i="1"/>
  <c r="U47" i="1"/>
  <c r="T47" i="1"/>
  <c r="AE320" i="1"/>
  <c r="V320" i="1"/>
  <c r="AD320" i="1"/>
  <c r="U320" i="1"/>
  <c r="T320" i="1"/>
  <c r="U90" i="1"/>
  <c r="V90" i="1"/>
  <c r="AE90" i="1"/>
  <c r="AD90" i="1"/>
  <c r="T90" i="1"/>
  <c r="T121" i="1"/>
  <c r="V121" i="1"/>
  <c r="AD121" i="1"/>
  <c r="U121" i="1"/>
  <c r="AE121" i="1"/>
  <c r="AJ81" i="1"/>
  <c r="AH81" i="1"/>
  <c r="AI81" i="1"/>
  <c r="AH310" i="1"/>
  <c r="AI310" i="1"/>
  <c r="AJ310" i="1"/>
  <c r="AH196" i="1"/>
  <c r="AI196" i="1"/>
  <c r="AJ196" i="1"/>
  <c r="AI294" i="1"/>
  <c r="AJ294" i="1"/>
  <c r="AH294" i="1"/>
  <c r="AH293" i="1"/>
  <c r="AI293" i="1"/>
  <c r="AJ293" i="1"/>
  <c r="AH215" i="1"/>
  <c r="AI215" i="1"/>
  <c r="AJ215" i="1"/>
  <c r="AH281" i="1"/>
  <c r="AI281" i="1"/>
  <c r="AJ281" i="1"/>
  <c r="AJ248" i="1"/>
  <c r="AH248" i="1"/>
  <c r="AI248" i="1"/>
  <c r="AH246" i="1"/>
  <c r="AI246" i="1"/>
  <c r="AJ246" i="1"/>
  <c r="AJ220" i="1"/>
  <c r="AH220" i="1"/>
  <c r="AI220" i="1"/>
  <c r="AJ301" i="1"/>
  <c r="AI301" i="1"/>
  <c r="AH301" i="1"/>
  <c r="AH273" i="1"/>
  <c r="AJ273" i="1"/>
  <c r="AI273" i="1"/>
  <c r="AJ162" i="1"/>
  <c r="AI162" i="1"/>
  <c r="AH162" i="1"/>
  <c r="AH265" i="1"/>
  <c r="AI265" i="1"/>
  <c r="AJ265" i="1"/>
  <c r="AI154" i="1"/>
  <c r="AJ154" i="1"/>
  <c r="AH154" i="1"/>
  <c r="AI119" i="1"/>
  <c r="AJ119" i="1"/>
  <c r="AH119" i="1"/>
  <c r="AJ305" i="1"/>
  <c r="AH305" i="1"/>
  <c r="AI305" i="1"/>
  <c r="AJ181" i="1"/>
  <c r="AH181" i="1"/>
  <c r="AI181" i="1"/>
  <c r="AJ209" i="1"/>
  <c r="AH209" i="1"/>
  <c r="AI209" i="1"/>
  <c r="AJ71" i="1"/>
  <c r="AH71" i="1"/>
  <c r="AI71" i="1"/>
  <c r="AH227" i="1"/>
  <c r="AI227" i="1"/>
  <c r="AJ227" i="1"/>
  <c r="AJ98" i="1"/>
  <c r="AI98" i="1"/>
  <c r="AH98" i="1"/>
  <c r="AH244" i="1"/>
  <c r="AI244" i="1"/>
  <c r="AJ244" i="1"/>
  <c r="AI149" i="1"/>
  <c r="AJ149" i="1"/>
  <c r="AH149" i="1"/>
  <c r="AH201" i="1"/>
  <c r="AI201" i="1"/>
  <c r="AJ201" i="1"/>
  <c r="AJ63" i="1"/>
  <c r="AH63" i="1"/>
  <c r="AI63" i="1"/>
  <c r="AH219" i="1"/>
  <c r="AI219" i="1"/>
  <c r="AJ219" i="1"/>
  <c r="AH90" i="1"/>
  <c r="AJ90" i="1"/>
  <c r="AI90" i="1"/>
  <c r="AJ180" i="1"/>
  <c r="AH180" i="1"/>
  <c r="AI180" i="1"/>
  <c r="AJ117" i="1"/>
  <c r="AH117" i="1"/>
  <c r="AI117" i="1"/>
  <c r="AJ193" i="1"/>
  <c r="AH193" i="1"/>
  <c r="AI193" i="1"/>
  <c r="AJ55" i="1"/>
  <c r="AH55" i="1"/>
  <c r="AI55" i="1"/>
  <c r="AH211" i="1"/>
  <c r="AI211" i="1"/>
  <c r="AJ211" i="1"/>
  <c r="AH82" i="1"/>
  <c r="AI82" i="1"/>
  <c r="AJ82" i="1"/>
  <c r="AI148" i="1"/>
  <c r="AH148" i="1"/>
  <c r="AJ148" i="1"/>
  <c r="AJ85" i="1"/>
  <c r="AH85" i="1"/>
  <c r="AI85" i="1"/>
  <c r="AI185" i="1"/>
  <c r="AH185" i="1"/>
  <c r="AJ185" i="1"/>
  <c r="AJ47" i="1"/>
  <c r="AI47" i="1"/>
  <c r="AH47" i="1"/>
  <c r="AH203" i="1"/>
  <c r="AI203" i="1"/>
  <c r="AJ203" i="1"/>
  <c r="AI74" i="1"/>
  <c r="AH74" i="1"/>
  <c r="AJ74" i="1"/>
  <c r="AI172" i="1"/>
  <c r="AJ172" i="1"/>
  <c r="AH172" i="1"/>
  <c r="AJ344" i="1"/>
  <c r="AH344" i="1"/>
  <c r="AI344" i="1"/>
  <c r="AJ113" i="1"/>
  <c r="AI113" i="1"/>
  <c r="AH113" i="1"/>
  <c r="AH350" i="1"/>
  <c r="AI350" i="1"/>
  <c r="AJ350" i="1"/>
  <c r="AJ131" i="1"/>
  <c r="AH131" i="1"/>
  <c r="AI131" i="1"/>
  <c r="AH393" i="1"/>
  <c r="AJ393" i="1"/>
  <c r="AI393" i="1"/>
  <c r="AH361" i="1"/>
  <c r="AI361" i="1"/>
  <c r="AJ361" i="1"/>
  <c r="AI272" i="1"/>
  <c r="AJ272" i="1"/>
  <c r="AH272" i="1"/>
  <c r="AJ41" i="1"/>
  <c r="AI41" i="1"/>
  <c r="AH41" i="1"/>
  <c r="AI278" i="1"/>
  <c r="AH278" i="1"/>
  <c r="AJ278" i="1"/>
  <c r="AJ59" i="1"/>
  <c r="AI59" i="1"/>
  <c r="AH59" i="1"/>
  <c r="AH323" i="1"/>
  <c r="AJ323" i="1"/>
  <c r="AI323" i="1"/>
  <c r="AH381" i="1"/>
  <c r="AI381" i="1"/>
  <c r="AJ381" i="1"/>
  <c r="AH200" i="1"/>
  <c r="AJ200" i="1"/>
  <c r="AI200" i="1"/>
  <c r="AI343" i="1"/>
  <c r="AJ343" i="1"/>
  <c r="AH343" i="1"/>
  <c r="AI206" i="1"/>
  <c r="AH206" i="1"/>
  <c r="AJ206" i="1"/>
  <c r="AJ370" i="1"/>
  <c r="AH370" i="1"/>
  <c r="AI370" i="1"/>
  <c r="AH321" i="1"/>
  <c r="AJ321" i="1"/>
  <c r="AI321" i="1"/>
  <c r="AH229" i="1"/>
  <c r="AI229" i="1"/>
  <c r="AJ229" i="1"/>
  <c r="AI128" i="1"/>
  <c r="AJ128" i="1"/>
  <c r="AH128" i="1"/>
  <c r="AH271" i="1"/>
  <c r="AI271" i="1"/>
  <c r="AJ271" i="1"/>
  <c r="AI134" i="1"/>
  <c r="AH134" i="1"/>
  <c r="AJ134" i="1"/>
  <c r="AJ298" i="1"/>
  <c r="AI298" i="1"/>
  <c r="AH298" i="1"/>
  <c r="AE244" i="1"/>
  <c r="T244" i="1"/>
  <c r="V244" i="1"/>
  <c r="AD244" i="1"/>
  <c r="U244" i="1"/>
  <c r="AE105" i="1"/>
  <c r="U105" i="1"/>
  <c r="V105" i="1"/>
  <c r="AD105" i="1"/>
  <c r="T105" i="1"/>
  <c r="AE356" i="1"/>
  <c r="T356" i="1"/>
  <c r="AD356" i="1"/>
  <c r="U356" i="1"/>
  <c r="V356" i="1"/>
  <c r="AE153" i="1"/>
  <c r="T153" i="1"/>
  <c r="AD153" i="1"/>
  <c r="U153" i="1"/>
  <c r="V153" i="1"/>
  <c r="AE53" i="1"/>
  <c r="T53" i="1"/>
  <c r="U53" i="1"/>
  <c r="AD53" i="1"/>
  <c r="V53" i="1"/>
  <c r="AE288" i="1"/>
  <c r="V288" i="1"/>
  <c r="AD288" i="1"/>
  <c r="U288" i="1"/>
  <c r="T288" i="1"/>
  <c r="AE61" i="1"/>
  <c r="V61" i="1"/>
  <c r="AD61" i="1"/>
  <c r="T61" i="1"/>
  <c r="U61" i="1"/>
  <c r="AE326" i="1"/>
  <c r="V326" i="1"/>
  <c r="U326" i="1"/>
  <c r="T326" i="1"/>
  <c r="AD326" i="1"/>
  <c r="AE83" i="1"/>
  <c r="V83" i="1"/>
  <c r="U83" i="1"/>
  <c r="AD83" i="1"/>
  <c r="T83" i="1"/>
  <c r="AE227" i="1"/>
  <c r="V227" i="1"/>
  <c r="U227" i="1"/>
  <c r="AD227" i="1"/>
  <c r="T227" i="1"/>
  <c r="AE112" i="1"/>
  <c r="U112" i="1"/>
  <c r="V112" i="1"/>
  <c r="T112" i="1"/>
  <c r="AD112" i="1"/>
  <c r="AE222" i="1"/>
  <c r="V222" i="1"/>
  <c r="U222" i="1"/>
  <c r="AD222" i="1"/>
  <c r="T222" i="1"/>
  <c r="AE130" i="1"/>
  <c r="V130" i="1"/>
  <c r="AD130" i="1"/>
  <c r="U130" i="1"/>
  <c r="T130" i="1"/>
  <c r="AE55" i="1"/>
  <c r="AD55" i="1"/>
  <c r="V55" i="1"/>
  <c r="U55" i="1"/>
  <c r="T55" i="1"/>
  <c r="AE294" i="1"/>
  <c r="V294" i="1"/>
  <c r="AD294" i="1"/>
  <c r="U294" i="1"/>
  <c r="T294" i="1"/>
  <c r="AE346" i="1"/>
  <c r="T346" i="1"/>
  <c r="AD346" i="1"/>
  <c r="V346" i="1"/>
  <c r="U346" i="1"/>
  <c r="AE318" i="1"/>
  <c r="V318" i="1"/>
  <c r="AD318" i="1"/>
  <c r="U318" i="1"/>
  <c r="T318" i="1"/>
  <c r="AE347" i="1"/>
  <c r="U347" i="1"/>
  <c r="AD347" i="1"/>
  <c r="V347" i="1"/>
  <c r="T347" i="1"/>
  <c r="AE323" i="1"/>
  <c r="V323" i="1"/>
  <c r="T323" i="1"/>
  <c r="U323" i="1"/>
  <c r="AD323" i="1"/>
  <c r="AE192" i="1"/>
  <c r="AD192" i="1"/>
  <c r="T192" i="1"/>
  <c r="V192" i="1"/>
  <c r="U192" i="1"/>
  <c r="AE107" i="1"/>
  <c r="T107" i="1"/>
  <c r="AD107" i="1"/>
  <c r="U107" i="1"/>
  <c r="V107" i="1"/>
  <c r="AE131" i="1"/>
  <c r="U131" i="1"/>
  <c r="V131" i="1"/>
  <c r="AD131" i="1"/>
  <c r="T131" i="1"/>
  <c r="AE145" i="1"/>
  <c r="T145" i="1"/>
  <c r="U145" i="1"/>
  <c r="AD145" i="1"/>
  <c r="V145" i="1"/>
  <c r="AE260" i="1"/>
  <c r="T260" i="1"/>
  <c r="AD260" i="1"/>
  <c r="V260" i="1"/>
  <c r="U260" i="1"/>
  <c r="AE236" i="1"/>
  <c r="V236" i="1"/>
  <c r="U236" i="1"/>
  <c r="AD236" i="1"/>
  <c r="T236" i="1"/>
  <c r="AE338" i="1"/>
  <c r="AD338" i="1"/>
  <c r="U338" i="1"/>
  <c r="V338" i="1"/>
  <c r="T338" i="1"/>
  <c r="AE304" i="1"/>
  <c r="U304" i="1"/>
  <c r="V304" i="1"/>
  <c r="AD304" i="1"/>
  <c r="T304" i="1"/>
  <c r="AE44" i="1"/>
  <c r="U44" i="1"/>
  <c r="AD44" i="1"/>
  <c r="T44" i="1"/>
  <c r="V44" i="1"/>
  <c r="AE225" i="1"/>
  <c r="V225" i="1"/>
  <c r="AD225" i="1"/>
  <c r="T225" i="1"/>
  <c r="U225" i="1"/>
  <c r="AE118" i="1"/>
  <c r="V118" i="1"/>
  <c r="U118" i="1"/>
  <c r="T118" i="1"/>
  <c r="AD118" i="1"/>
  <c r="AE296" i="1"/>
  <c r="T296" i="1"/>
  <c r="U296" i="1"/>
  <c r="AD296" i="1"/>
  <c r="V296" i="1"/>
  <c r="AE285" i="1"/>
  <c r="V285" i="1"/>
  <c r="AD285" i="1"/>
  <c r="T285" i="1"/>
  <c r="U285" i="1"/>
  <c r="AE389" i="1"/>
  <c r="T389" i="1"/>
  <c r="AD389" i="1"/>
  <c r="V389" i="1"/>
  <c r="U389" i="1"/>
  <c r="AE204" i="1"/>
  <c r="V204" i="1"/>
  <c r="AD204" i="1"/>
  <c r="U204" i="1"/>
  <c r="T204" i="1"/>
  <c r="AE115" i="1"/>
  <c r="T115" i="1"/>
  <c r="AD115" i="1"/>
  <c r="V115" i="1"/>
  <c r="U115" i="1"/>
  <c r="AE158" i="1"/>
  <c r="U158" i="1"/>
  <c r="AD158" i="1"/>
  <c r="V158" i="1"/>
  <c r="T158" i="1"/>
  <c r="AE276" i="1"/>
  <c r="U276" i="1"/>
  <c r="AD276" i="1"/>
  <c r="V276" i="1"/>
  <c r="T276" i="1"/>
  <c r="AE267" i="1"/>
  <c r="U267" i="1"/>
  <c r="AD267" i="1"/>
  <c r="T267" i="1"/>
  <c r="V267" i="1"/>
  <c r="AE237" i="1"/>
  <c r="T237" i="1"/>
  <c r="V237" i="1"/>
  <c r="AD237" i="1"/>
  <c r="U237" i="1"/>
  <c r="AE94" i="1"/>
  <c r="T94" i="1"/>
  <c r="AD94" i="1"/>
  <c r="V94" i="1"/>
  <c r="U94" i="1"/>
  <c r="AE306" i="1"/>
  <c r="T306" i="1"/>
  <c r="AD306" i="1"/>
  <c r="V306" i="1"/>
  <c r="U306" i="1"/>
  <c r="AE266" i="1"/>
  <c r="AD266" i="1"/>
  <c r="T266" i="1"/>
  <c r="U266" i="1"/>
  <c r="V266" i="1"/>
  <c r="AE136" i="1"/>
  <c r="V136" i="1"/>
  <c r="AD136" i="1"/>
  <c r="T136" i="1"/>
  <c r="U136" i="1"/>
  <c r="AE33" i="1"/>
  <c r="U33" i="1"/>
  <c r="T33" i="1"/>
  <c r="AD33" i="1"/>
  <c r="V33" i="1"/>
  <c r="AE69" i="1"/>
  <c r="T69" i="1"/>
  <c r="AD69" i="1"/>
  <c r="V69" i="1"/>
  <c r="U69" i="1"/>
  <c r="T177" i="1"/>
  <c r="U177" i="1"/>
  <c r="V177" i="1"/>
  <c r="AE177" i="1"/>
  <c r="AD177" i="1"/>
  <c r="V329" i="1"/>
  <c r="AE329" i="1"/>
  <c r="U329" i="1"/>
  <c r="AD329" i="1"/>
  <c r="T329" i="1"/>
  <c r="AI44" i="1"/>
  <c r="AH44" i="1"/>
  <c r="AJ44" i="1"/>
  <c r="AJ91" i="1"/>
  <c r="AH91" i="1"/>
  <c r="AI91" i="1"/>
  <c r="AI302" i="1"/>
  <c r="AJ302" i="1"/>
  <c r="AH302" i="1"/>
  <c r="AJ75" i="1"/>
  <c r="AH75" i="1"/>
  <c r="AI75" i="1"/>
  <c r="AI144" i="1"/>
  <c r="AJ144" i="1"/>
  <c r="AH144" i="1"/>
  <c r="AI72" i="1"/>
  <c r="AH72" i="1"/>
  <c r="AJ72" i="1"/>
  <c r="AJ143" i="1"/>
  <c r="AH143" i="1"/>
  <c r="AI143" i="1"/>
  <c r="AH391" i="1"/>
  <c r="AI391" i="1"/>
  <c r="AJ391" i="1"/>
  <c r="AH240" i="1"/>
  <c r="AI240" i="1"/>
  <c r="AJ240" i="1"/>
  <c r="AH238" i="1"/>
  <c r="AI238" i="1"/>
  <c r="AJ238" i="1"/>
  <c r="AH197" i="1"/>
  <c r="AI197" i="1"/>
  <c r="AJ197" i="1"/>
  <c r="AJ135" i="1"/>
  <c r="AH135" i="1"/>
  <c r="AI135" i="1"/>
  <c r="AH373" i="1"/>
  <c r="AJ373" i="1"/>
  <c r="AI373" i="1"/>
  <c r="AJ127" i="1"/>
  <c r="AH127" i="1"/>
  <c r="AI127" i="1"/>
  <c r="AH300" i="1"/>
  <c r="AI300" i="1"/>
  <c r="AJ300" i="1"/>
  <c r="AJ376" i="1"/>
  <c r="AI376" i="1"/>
  <c r="AH376" i="1"/>
  <c r="AH145" i="1"/>
  <c r="AJ145" i="1"/>
  <c r="AI145" i="1"/>
  <c r="AI382" i="1"/>
  <c r="AH382" i="1"/>
  <c r="AJ382" i="1"/>
  <c r="AH163" i="1"/>
  <c r="AI163" i="1"/>
  <c r="AJ163" i="1"/>
  <c r="AH34" i="1"/>
  <c r="AJ34" i="1"/>
  <c r="AI34" i="1"/>
  <c r="AH268" i="1"/>
  <c r="AI268" i="1"/>
  <c r="AJ268" i="1"/>
  <c r="AH368" i="1"/>
  <c r="AJ368" i="1"/>
  <c r="AI368" i="1"/>
  <c r="AJ137" i="1"/>
  <c r="AI137" i="1"/>
  <c r="AH137" i="1"/>
  <c r="AH374" i="1"/>
  <c r="AI374" i="1"/>
  <c r="AJ374" i="1"/>
  <c r="AJ155" i="1"/>
  <c r="AH155" i="1"/>
  <c r="AI155" i="1"/>
  <c r="AI26" i="1"/>
  <c r="AH26" i="1"/>
  <c r="AJ26" i="1"/>
  <c r="AH236" i="1"/>
  <c r="AI236" i="1"/>
  <c r="AJ236" i="1"/>
  <c r="AJ360" i="1"/>
  <c r="AH360" i="1"/>
  <c r="AI360" i="1"/>
  <c r="AI129" i="1"/>
  <c r="AJ129" i="1"/>
  <c r="AH129" i="1"/>
  <c r="AJ366" i="1"/>
  <c r="AH366" i="1"/>
  <c r="AI366" i="1"/>
  <c r="AJ147" i="1"/>
  <c r="AH147" i="1"/>
  <c r="AI147" i="1"/>
  <c r="AI18" i="1"/>
  <c r="AH18" i="1"/>
  <c r="AJ18" i="1"/>
  <c r="AH204" i="1"/>
  <c r="AI204" i="1"/>
  <c r="AJ204" i="1"/>
  <c r="AI352" i="1"/>
  <c r="AJ352" i="1"/>
  <c r="AH352" i="1"/>
  <c r="AJ121" i="1"/>
  <c r="AI121" i="1"/>
  <c r="AH121" i="1"/>
  <c r="AI358" i="1"/>
  <c r="AJ358" i="1"/>
  <c r="AH358" i="1"/>
  <c r="AH139" i="1"/>
  <c r="AI139" i="1"/>
  <c r="AJ139" i="1"/>
  <c r="AH100" i="1"/>
  <c r="AJ100" i="1"/>
  <c r="AI100" i="1"/>
  <c r="AH36" i="1"/>
  <c r="AJ36" i="1"/>
  <c r="AI36" i="1"/>
  <c r="AJ280" i="1"/>
  <c r="AH280" i="1"/>
  <c r="AI280" i="1"/>
  <c r="AJ49" i="1"/>
  <c r="AI49" i="1"/>
  <c r="AH49" i="1"/>
  <c r="AH286" i="1"/>
  <c r="AI286" i="1"/>
  <c r="AJ286" i="1"/>
  <c r="AH67" i="1"/>
  <c r="AI67" i="1"/>
  <c r="AJ67" i="1"/>
  <c r="AJ371" i="1"/>
  <c r="AI371" i="1"/>
  <c r="AH371" i="1"/>
  <c r="AI20" i="1"/>
  <c r="AH20" i="1"/>
  <c r="AJ20" i="1"/>
  <c r="AH208" i="1"/>
  <c r="AI208" i="1"/>
  <c r="AJ208" i="1"/>
  <c r="AH351" i="1"/>
  <c r="AI351" i="1"/>
  <c r="AJ351" i="1"/>
  <c r="AH214" i="1"/>
  <c r="AI214" i="1"/>
  <c r="AJ214" i="1"/>
  <c r="AI378" i="1"/>
  <c r="AH378" i="1"/>
  <c r="AJ378" i="1"/>
  <c r="AH337" i="1"/>
  <c r="AI337" i="1"/>
  <c r="AJ337" i="1"/>
  <c r="AH261" i="1"/>
  <c r="AI261" i="1"/>
  <c r="AJ261" i="1"/>
  <c r="AH136" i="1"/>
  <c r="AI136" i="1"/>
  <c r="AJ136" i="1"/>
  <c r="AI279" i="1"/>
  <c r="AJ279" i="1"/>
  <c r="AH279" i="1"/>
  <c r="AH142" i="1"/>
  <c r="AI142" i="1"/>
  <c r="AJ142" i="1"/>
  <c r="AJ306" i="1"/>
  <c r="AH306" i="1"/>
  <c r="AI306" i="1"/>
  <c r="AI77" i="1"/>
  <c r="AJ77" i="1"/>
  <c r="AH77" i="1"/>
  <c r="AH260" i="1"/>
  <c r="AI260" i="1"/>
  <c r="AJ260" i="1"/>
  <c r="AI64" i="1"/>
  <c r="AH64" i="1"/>
  <c r="AJ64" i="1"/>
  <c r="AI207" i="1"/>
  <c r="AJ207" i="1"/>
  <c r="AH207" i="1"/>
  <c r="AI70" i="1"/>
  <c r="AJ70" i="1"/>
  <c r="AH70" i="1"/>
  <c r="AH234" i="1"/>
  <c r="AI234" i="1"/>
  <c r="AJ234" i="1"/>
  <c r="AE226" i="1"/>
  <c r="T226" i="1"/>
  <c r="AD226" i="1"/>
  <c r="V226" i="1"/>
  <c r="U226" i="1"/>
  <c r="AE380" i="1"/>
  <c r="U380" i="1"/>
  <c r="V380" i="1"/>
  <c r="AD380" i="1"/>
  <c r="T380" i="1"/>
  <c r="AE168" i="1"/>
  <c r="V168" i="1"/>
  <c r="T168" i="1"/>
  <c r="AD168" i="1"/>
  <c r="U168" i="1"/>
  <c r="AE34" i="1"/>
  <c r="T34" i="1"/>
  <c r="AD34" i="1"/>
  <c r="U34" i="1"/>
  <c r="V34" i="1"/>
  <c r="AE235" i="1"/>
  <c r="V235" i="1"/>
  <c r="U235" i="1"/>
  <c r="AD235" i="1"/>
  <c r="T235" i="1"/>
  <c r="AE43" i="1"/>
  <c r="V43" i="1"/>
  <c r="AD43" i="1"/>
  <c r="U43" i="1"/>
  <c r="T43" i="1"/>
  <c r="AE41" i="1"/>
  <c r="T41" i="1"/>
  <c r="U41" i="1"/>
  <c r="V41" i="1"/>
  <c r="AD41" i="1"/>
  <c r="AE133" i="1"/>
  <c r="T133" i="1"/>
  <c r="AD133" i="1"/>
  <c r="V133" i="1"/>
  <c r="U133" i="1"/>
  <c r="AE249" i="1"/>
  <c r="U249" i="1"/>
  <c r="T249" i="1"/>
  <c r="AD249" i="1"/>
  <c r="V249" i="1"/>
  <c r="AE224" i="1"/>
  <c r="V224" i="1"/>
  <c r="T224" i="1"/>
  <c r="U224" i="1"/>
  <c r="AD224" i="1"/>
  <c r="AE223" i="1"/>
  <c r="U223" i="1"/>
  <c r="T223" i="1"/>
  <c r="V223" i="1"/>
  <c r="AD223" i="1"/>
  <c r="AE268" i="1"/>
  <c r="AD268" i="1"/>
  <c r="T268" i="1"/>
  <c r="V268" i="1"/>
  <c r="U268" i="1"/>
  <c r="AE262" i="1"/>
  <c r="U262" i="1"/>
  <c r="AD262" i="1"/>
  <c r="T262" i="1"/>
  <c r="V262" i="1"/>
  <c r="AE379" i="1"/>
  <c r="U379" i="1"/>
  <c r="AD379" i="1"/>
  <c r="T379" i="1"/>
  <c r="V379" i="1"/>
  <c r="AE167" i="1"/>
  <c r="T167" i="1"/>
  <c r="AD167" i="1"/>
  <c r="V167" i="1"/>
  <c r="U167" i="1"/>
  <c r="AE70" i="1"/>
  <c r="V70" i="1"/>
  <c r="AD70" i="1"/>
  <c r="U70" i="1"/>
  <c r="T70" i="1"/>
  <c r="AE330" i="1"/>
  <c r="T330" i="1"/>
  <c r="AD330" i="1"/>
  <c r="V330" i="1"/>
  <c r="U330" i="1"/>
  <c r="AE214" i="1"/>
  <c r="T214" i="1"/>
  <c r="AD214" i="1"/>
  <c r="U214" i="1"/>
  <c r="V214" i="1"/>
  <c r="AE56" i="1"/>
  <c r="T56" i="1"/>
  <c r="AD56" i="1"/>
  <c r="V56" i="1"/>
  <c r="U56" i="1"/>
  <c r="AE292" i="1"/>
  <c r="T292" i="1"/>
  <c r="AD292" i="1"/>
  <c r="U292" i="1"/>
  <c r="V292" i="1"/>
  <c r="AE307" i="1"/>
  <c r="T307" i="1"/>
  <c r="AD307" i="1"/>
  <c r="V307" i="1"/>
  <c r="U307" i="1"/>
  <c r="T239" i="1"/>
  <c r="U239" i="1"/>
  <c r="AD239" i="1"/>
  <c r="V239" i="1"/>
  <c r="AE239" i="1"/>
  <c r="AE331" i="1"/>
  <c r="U331" i="1"/>
  <c r="V331" i="1"/>
  <c r="AD331" i="1"/>
  <c r="T331" i="1"/>
  <c r="AE383" i="1"/>
  <c r="T383" i="1"/>
  <c r="AD383" i="1"/>
  <c r="U383" i="1"/>
  <c r="V383" i="1"/>
  <c r="AE193" i="1"/>
  <c r="U193" i="1"/>
  <c r="AD193" i="1"/>
  <c r="T193" i="1"/>
  <c r="V193" i="1"/>
  <c r="AE238" i="1"/>
  <c r="V238" i="1"/>
  <c r="U238" i="1"/>
  <c r="AD238" i="1"/>
  <c r="T238" i="1"/>
  <c r="AE392" i="1"/>
  <c r="U392" i="1"/>
  <c r="AD392" i="1"/>
  <c r="V392" i="1"/>
  <c r="T392" i="1"/>
  <c r="AE376" i="1"/>
  <c r="U376" i="1"/>
  <c r="AD376" i="1"/>
  <c r="T376" i="1"/>
  <c r="V376" i="1"/>
  <c r="AE134" i="1"/>
  <c r="V134" i="1"/>
  <c r="AD134" i="1"/>
  <c r="T134" i="1"/>
  <c r="U134" i="1"/>
  <c r="AE161" i="1"/>
  <c r="U161" i="1"/>
  <c r="V161" i="1"/>
  <c r="AD161" i="1"/>
  <c r="T161" i="1"/>
  <c r="AE272" i="1"/>
  <c r="T272" i="1"/>
  <c r="U272" i="1"/>
  <c r="V272" i="1"/>
  <c r="AD272" i="1"/>
  <c r="AE135" i="1"/>
  <c r="T135" i="1"/>
  <c r="AD135" i="1"/>
  <c r="V135" i="1"/>
  <c r="U135" i="1"/>
  <c r="AE314" i="1"/>
  <c r="T314" i="1"/>
  <c r="AD314" i="1"/>
  <c r="U314" i="1"/>
  <c r="V314" i="1"/>
  <c r="AE77" i="1"/>
  <c r="V77" i="1"/>
  <c r="AD77" i="1"/>
  <c r="T77" i="1"/>
  <c r="U77" i="1"/>
  <c r="AE170" i="1"/>
  <c r="T170" i="1"/>
  <c r="AD170" i="1"/>
  <c r="U170" i="1"/>
  <c r="V170" i="1"/>
  <c r="AE181" i="1"/>
  <c r="V181" i="1"/>
  <c r="AD181" i="1"/>
  <c r="U181" i="1"/>
  <c r="T181" i="1"/>
  <c r="AE265" i="1"/>
  <c r="T265" i="1"/>
  <c r="V265" i="1"/>
  <c r="AD265" i="1"/>
  <c r="U265" i="1"/>
  <c r="AE261" i="1"/>
  <c r="AD261" i="1"/>
  <c r="U261" i="1"/>
  <c r="V261" i="1"/>
  <c r="T261" i="1"/>
  <c r="AE95" i="1"/>
  <c r="U95" i="1"/>
  <c r="V95" i="1"/>
  <c r="T95" i="1"/>
  <c r="AD95" i="1"/>
  <c r="AE319" i="1"/>
  <c r="T319" i="1"/>
  <c r="AD319" i="1"/>
  <c r="U319" i="1"/>
  <c r="V319" i="1"/>
  <c r="AE271" i="1"/>
  <c r="U271" i="1"/>
  <c r="AD271" i="1"/>
  <c r="T271" i="1"/>
  <c r="V271" i="1"/>
  <c r="AE42" i="1"/>
  <c r="U42" i="1"/>
  <c r="AD42" i="1"/>
  <c r="V42" i="1"/>
  <c r="T42" i="1"/>
  <c r="AE290" i="1"/>
  <c r="AD290" i="1"/>
  <c r="V290" i="1"/>
  <c r="U290" i="1"/>
  <c r="T290" i="1"/>
  <c r="AE119" i="1"/>
  <c r="V119" i="1"/>
  <c r="AD119" i="1"/>
  <c r="T119" i="1"/>
  <c r="U119" i="1"/>
  <c r="AE232" i="1"/>
  <c r="T232" i="1"/>
  <c r="U232" i="1"/>
  <c r="AD232" i="1"/>
  <c r="V232" i="1"/>
  <c r="V108" i="1"/>
  <c r="U108" i="1"/>
  <c r="AE108" i="1"/>
  <c r="AD108" i="1"/>
  <c r="T108" i="1"/>
  <c r="U176" i="1"/>
  <c r="AE176" i="1"/>
  <c r="T176" i="1"/>
  <c r="AD176" i="1"/>
  <c r="V176" i="1"/>
  <c r="AE279" i="1"/>
  <c r="T279" i="1"/>
  <c r="AD279" i="1"/>
  <c r="U279" i="1"/>
  <c r="V279" i="1"/>
  <c r="AE301" i="1"/>
  <c r="AD301" i="1"/>
  <c r="V301" i="1"/>
  <c r="U301" i="1"/>
  <c r="T301" i="1"/>
  <c r="U28" i="1"/>
  <c r="AE28" i="1"/>
  <c r="T28" i="1"/>
  <c r="V28" i="1"/>
  <c r="AD28" i="1"/>
  <c r="AE87" i="1"/>
  <c r="V87" i="1"/>
  <c r="AD87" i="1"/>
  <c r="T87" i="1"/>
  <c r="U87" i="1"/>
  <c r="V36" i="1"/>
  <c r="U36" i="1"/>
  <c r="AE36" i="1"/>
  <c r="T36" i="1"/>
  <c r="AD36" i="1"/>
  <c r="AE355" i="1"/>
  <c r="U355" i="1"/>
  <c r="AD355" i="1"/>
  <c r="T355" i="1"/>
  <c r="V355" i="1"/>
  <c r="AE316" i="1"/>
  <c r="V316" i="1"/>
  <c r="T316" i="1"/>
  <c r="AD316" i="1"/>
  <c r="U316" i="1"/>
  <c r="AE186" i="1"/>
  <c r="V186" i="1"/>
  <c r="AD186" i="1"/>
  <c r="U186" i="1"/>
  <c r="T186" i="1"/>
  <c r="AE353" i="1"/>
  <c r="U353" i="1"/>
  <c r="AD353" i="1"/>
  <c r="V353" i="1"/>
  <c r="T353" i="1"/>
  <c r="AE124" i="1"/>
  <c r="U124" i="1"/>
  <c r="T124" i="1"/>
  <c r="V124" i="1"/>
  <c r="AD124" i="1"/>
  <c r="AE144" i="1"/>
  <c r="T144" i="1"/>
  <c r="U144" i="1"/>
  <c r="AD144" i="1"/>
  <c r="V144" i="1"/>
  <c r="AE66" i="1"/>
  <c r="U66" i="1"/>
  <c r="T66" i="1"/>
  <c r="V66" i="1"/>
  <c r="AD66" i="1"/>
  <c r="AE241" i="1"/>
  <c r="T241" i="1"/>
  <c r="V241" i="1"/>
  <c r="AD241" i="1"/>
  <c r="U241" i="1"/>
  <c r="AE310" i="1"/>
  <c r="V310" i="1"/>
  <c r="AD310" i="1"/>
  <c r="T310" i="1"/>
  <c r="U310" i="1"/>
  <c r="AE171" i="1"/>
  <c r="T171" i="1"/>
  <c r="V171" i="1"/>
  <c r="U171" i="1"/>
  <c r="AD171" i="1"/>
  <c r="AE74" i="1"/>
  <c r="U74" i="1"/>
  <c r="T74" i="1"/>
  <c r="AD74" i="1"/>
  <c r="V74" i="1"/>
  <c r="AE73" i="1"/>
  <c r="T73" i="1"/>
  <c r="AD73" i="1"/>
  <c r="U73" i="1"/>
  <c r="V73" i="1"/>
  <c r="AE259" i="1"/>
  <c r="V259" i="1"/>
  <c r="AD259" i="1"/>
  <c r="U259" i="1"/>
  <c r="T259" i="1"/>
  <c r="AE286" i="1"/>
  <c r="V286" i="1"/>
  <c r="U286" i="1"/>
  <c r="T286" i="1"/>
  <c r="AD286" i="1"/>
  <c r="AE104" i="1"/>
  <c r="T104" i="1"/>
  <c r="AD104" i="1"/>
  <c r="U104" i="1"/>
  <c r="V104" i="1"/>
  <c r="U155" i="1"/>
  <c r="T155" i="1"/>
  <c r="AD155" i="1"/>
  <c r="V155" i="1"/>
  <c r="AE155" i="1"/>
  <c r="U72" i="1"/>
  <c r="T72" i="1"/>
  <c r="AD72" i="1"/>
  <c r="V72" i="1"/>
  <c r="AE72" i="1"/>
  <c r="AE325" i="1"/>
  <c r="V325" i="1"/>
  <c r="T325" i="1"/>
  <c r="AD325" i="1"/>
  <c r="U325" i="1"/>
  <c r="AE172" i="1"/>
  <c r="T172" i="1"/>
  <c r="AD172" i="1"/>
  <c r="V172" i="1"/>
  <c r="U172" i="1"/>
  <c r="AE75" i="1"/>
  <c r="V75" i="1"/>
  <c r="AD75" i="1"/>
  <c r="T75" i="1"/>
  <c r="U75" i="1"/>
  <c r="AE19" i="1"/>
  <c r="T19" i="1"/>
  <c r="AD19" i="1"/>
  <c r="V19" i="1"/>
  <c r="U19" i="1"/>
  <c r="AE68" i="1"/>
  <c r="T68" i="1"/>
  <c r="AD68" i="1"/>
  <c r="V68" i="1"/>
  <c r="U68" i="1"/>
  <c r="AE366" i="1"/>
  <c r="U366" i="1"/>
  <c r="AD366" i="1"/>
  <c r="T366" i="1"/>
  <c r="V366" i="1"/>
  <c r="AE82" i="1"/>
  <c r="U82" i="1"/>
  <c r="AD82" i="1"/>
  <c r="T82" i="1"/>
  <c r="V82" i="1"/>
  <c r="AE25" i="1"/>
  <c r="T25" i="1"/>
  <c r="AD25" i="1"/>
  <c r="V25" i="1"/>
  <c r="U25" i="1"/>
  <c r="AE128" i="1"/>
  <c r="V128" i="1"/>
  <c r="U128" i="1"/>
  <c r="AD128" i="1"/>
  <c r="T128" i="1"/>
  <c r="AE382" i="1"/>
  <c r="V382" i="1"/>
  <c r="AD382" i="1"/>
  <c r="T382" i="1"/>
  <c r="U382" i="1"/>
  <c r="AE213" i="1"/>
  <c r="T213" i="1"/>
  <c r="AD213" i="1"/>
  <c r="U213" i="1"/>
  <c r="V213" i="1"/>
  <c r="AE196" i="1"/>
  <c r="U196" i="1"/>
  <c r="AD196" i="1"/>
  <c r="V196" i="1"/>
  <c r="T196" i="1"/>
  <c r="AE275" i="1"/>
  <c r="V275" i="1"/>
  <c r="AD275" i="1"/>
  <c r="U275" i="1"/>
  <c r="T275" i="1"/>
  <c r="AE101" i="1"/>
  <c r="T101" i="1"/>
  <c r="AD101" i="1"/>
  <c r="U101" i="1"/>
  <c r="V101" i="1"/>
  <c r="AE174" i="1"/>
  <c r="V174" i="1"/>
  <c r="AD174" i="1"/>
  <c r="T174" i="1"/>
  <c r="U174" i="1"/>
  <c r="AE250" i="1"/>
  <c r="T250" i="1"/>
  <c r="AD250" i="1"/>
  <c r="V250" i="1"/>
  <c r="U250" i="1"/>
  <c r="AE327" i="1"/>
  <c r="T327" i="1"/>
  <c r="AD327" i="1"/>
  <c r="V327" i="1"/>
  <c r="U327" i="1"/>
  <c r="AE209" i="1"/>
  <c r="V209" i="1"/>
  <c r="U209" i="1"/>
  <c r="AD209" i="1"/>
  <c r="T209" i="1"/>
  <c r="AE138" i="1"/>
  <c r="T138" i="1"/>
  <c r="AD138" i="1"/>
  <c r="V138" i="1"/>
  <c r="U138" i="1"/>
  <c r="AE360" i="1"/>
  <c r="V360" i="1"/>
  <c r="AD360" i="1"/>
  <c r="U360" i="1"/>
  <c r="T360" i="1"/>
  <c r="AE343" i="1"/>
  <c r="T343" i="1"/>
  <c r="AD343" i="1"/>
  <c r="U343" i="1"/>
  <c r="V343" i="1"/>
  <c r="AE109" i="1"/>
  <c r="T109" i="1"/>
  <c r="AD109" i="1"/>
  <c r="U109" i="1"/>
  <c r="V109" i="1"/>
  <c r="U141" i="1"/>
  <c r="T141" i="1"/>
  <c r="AE141" i="1"/>
  <c r="AD141" i="1"/>
  <c r="V141" i="1"/>
  <c r="AE269" i="1"/>
  <c r="U269" i="1"/>
  <c r="V269" i="1"/>
  <c r="AD269" i="1"/>
  <c r="T269" i="1"/>
  <c r="U291" i="1"/>
  <c r="AE291" i="1"/>
  <c r="T291" i="1"/>
  <c r="V291" i="1"/>
  <c r="AD291" i="1"/>
  <c r="AJ99" i="1"/>
  <c r="AH99" i="1"/>
  <c r="AI99" i="1"/>
  <c r="AJ83" i="1"/>
  <c r="AH83" i="1"/>
  <c r="AI83" i="1"/>
  <c r="AH216" i="1"/>
  <c r="AJ216" i="1"/>
  <c r="AI216" i="1"/>
  <c r="AJ150" i="1"/>
  <c r="AH150" i="1"/>
  <c r="AI150" i="1"/>
  <c r="AH242" i="1"/>
  <c r="AI242" i="1"/>
  <c r="AJ242" i="1"/>
  <c r="AH254" i="1"/>
  <c r="AI254" i="1"/>
  <c r="AJ254" i="1"/>
  <c r="AH284" i="1"/>
  <c r="AI284" i="1"/>
  <c r="AJ284" i="1"/>
  <c r="AH156" i="1"/>
  <c r="AI156" i="1"/>
  <c r="AJ156" i="1"/>
  <c r="AH224" i="1"/>
  <c r="AJ224" i="1"/>
  <c r="AI224" i="1"/>
  <c r="AH367" i="1"/>
  <c r="AI367" i="1"/>
  <c r="AJ367" i="1"/>
  <c r="AH230" i="1"/>
  <c r="AI230" i="1"/>
  <c r="AJ230" i="1"/>
  <c r="AJ394" i="1"/>
  <c r="AH394" i="1"/>
  <c r="AI394" i="1"/>
  <c r="AI369" i="1"/>
  <c r="AH369" i="1"/>
  <c r="AJ369" i="1"/>
  <c r="AI316" i="1"/>
  <c r="AJ316" i="1"/>
  <c r="AH316" i="1"/>
  <c r="AI152" i="1"/>
  <c r="AJ152" i="1"/>
  <c r="AH152" i="1"/>
  <c r="AH295" i="1"/>
  <c r="AI295" i="1"/>
  <c r="AJ295" i="1"/>
  <c r="AH158" i="1"/>
  <c r="AI158" i="1"/>
  <c r="AJ158" i="1"/>
  <c r="AJ322" i="1"/>
  <c r="AH322" i="1"/>
  <c r="AI322" i="1"/>
  <c r="AJ141" i="1"/>
  <c r="AI141" i="1"/>
  <c r="AH141" i="1"/>
  <c r="AJ37" i="1"/>
  <c r="AI37" i="1"/>
  <c r="AH37" i="1"/>
  <c r="AI80" i="1"/>
  <c r="AH80" i="1"/>
  <c r="AJ80" i="1"/>
  <c r="AI223" i="1"/>
  <c r="AJ223" i="1"/>
  <c r="AH223" i="1"/>
  <c r="AJ86" i="1"/>
  <c r="AH86" i="1"/>
  <c r="AI86" i="1"/>
  <c r="AH250" i="1"/>
  <c r="AI250" i="1"/>
  <c r="AJ250" i="1"/>
  <c r="AI313" i="1"/>
  <c r="AJ313" i="1"/>
  <c r="AH313" i="1"/>
  <c r="AH124" i="1"/>
  <c r="AI124" i="1"/>
  <c r="AJ124" i="1"/>
  <c r="AJ289" i="1"/>
  <c r="AH289" i="1"/>
  <c r="AI289" i="1"/>
  <c r="AH151" i="1"/>
  <c r="AI151" i="1"/>
  <c r="AJ151" i="1"/>
  <c r="AI307" i="1"/>
  <c r="AJ307" i="1"/>
  <c r="AH307" i="1"/>
  <c r="AJ178" i="1"/>
  <c r="AI178" i="1"/>
  <c r="AH178" i="1"/>
  <c r="AH339" i="1"/>
  <c r="AI339" i="1"/>
  <c r="AJ339" i="1"/>
  <c r="AJ213" i="1"/>
  <c r="AI213" i="1"/>
  <c r="AH213" i="1"/>
  <c r="AH217" i="1"/>
  <c r="AJ217" i="1"/>
  <c r="AI217" i="1"/>
  <c r="AH79" i="1"/>
  <c r="AJ79" i="1"/>
  <c r="AI79" i="1"/>
  <c r="AI235" i="1"/>
  <c r="AJ235" i="1"/>
  <c r="AH235" i="1"/>
  <c r="AH106" i="1"/>
  <c r="AI106" i="1"/>
  <c r="AJ106" i="1"/>
  <c r="AE162" i="1"/>
  <c r="T162" i="1"/>
  <c r="AD162" i="1"/>
  <c r="V162" i="1"/>
  <c r="U162" i="1"/>
  <c r="AE29" i="1"/>
  <c r="U29" i="1"/>
  <c r="AD29" i="1"/>
  <c r="T29" i="1"/>
  <c r="V29" i="1"/>
  <c r="AE63" i="1"/>
  <c r="V63" i="1"/>
  <c r="AD63" i="1"/>
  <c r="U63" i="1"/>
  <c r="T63" i="1"/>
  <c r="AE395" i="1"/>
  <c r="V395" i="1"/>
  <c r="U395" i="1"/>
  <c r="AD395" i="1"/>
  <c r="T395" i="1"/>
  <c r="AE211" i="1"/>
  <c r="U211" i="1"/>
  <c r="T211" i="1"/>
  <c r="V211" i="1"/>
  <c r="AD211" i="1"/>
  <c r="AE284" i="1"/>
  <c r="U284" i="1"/>
  <c r="V284" i="1"/>
  <c r="T284" i="1"/>
  <c r="AD284" i="1"/>
  <c r="AE352" i="1"/>
  <c r="V352" i="1"/>
  <c r="AD352" i="1"/>
  <c r="T352" i="1"/>
  <c r="U352" i="1"/>
  <c r="AE20" i="1"/>
  <c r="U20" i="1"/>
  <c r="T20" i="1"/>
  <c r="AD20" i="1"/>
  <c r="V20" i="1"/>
  <c r="AE364" i="1"/>
  <c r="V364" i="1"/>
  <c r="AD364" i="1"/>
  <c r="T364" i="1"/>
  <c r="U364" i="1"/>
  <c r="AE358" i="1"/>
  <c r="V358" i="1"/>
  <c r="AD358" i="1"/>
  <c r="U358" i="1"/>
  <c r="T358" i="1"/>
  <c r="AE293" i="1"/>
  <c r="T293" i="1"/>
  <c r="AD293" i="1"/>
  <c r="V293" i="1"/>
  <c r="U293" i="1"/>
  <c r="AE38" i="1"/>
  <c r="V38" i="1"/>
  <c r="T38" i="1"/>
  <c r="AD38" i="1"/>
  <c r="U38" i="1"/>
  <c r="AE198" i="1"/>
  <c r="V198" i="1"/>
  <c r="AD198" i="1"/>
  <c r="U198" i="1"/>
  <c r="T198" i="1"/>
  <c r="AE313" i="1"/>
  <c r="U313" i="1"/>
  <c r="T313" i="1"/>
  <c r="V313" i="1"/>
  <c r="AD313" i="1"/>
  <c r="AE216" i="1"/>
  <c r="T216" i="1"/>
  <c r="V216" i="1"/>
  <c r="AD216" i="1"/>
  <c r="U216" i="1"/>
  <c r="AE76" i="1"/>
  <c r="T76" i="1"/>
  <c r="AD76" i="1"/>
  <c r="U76" i="1"/>
  <c r="V76" i="1"/>
  <c r="AE195" i="1"/>
  <c r="T195" i="1"/>
  <c r="AD195" i="1"/>
  <c r="U195" i="1"/>
  <c r="V195" i="1"/>
  <c r="AE217" i="1"/>
  <c r="T217" i="1"/>
  <c r="AD217" i="1"/>
  <c r="V217" i="1"/>
  <c r="U217" i="1"/>
  <c r="AE367" i="1"/>
  <c r="V367" i="1"/>
  <c r="U367" i="1"/>
  <c r="T367" i="1"/>
  <c r="AD367" i="1"/>
  <c r="AE71" i="1"/>
  <c r="V71" i="1"/>
  <c r="T71" i="1"/>
  <c r="AD71" i="1"/>
  <c r="U71" i="1"/>
  <c r="AE212" i="1"/>
  <c r="V212" i="1"/>
  <c r="AD212" i="1"/>
  <c r="U212" i="1"/>
  <c r="T212" i="1"/>
  <c r="U22" i="1"/>
  <c r="AE22" i="1"/>
  <c r="V22" i="1"/>
  <c r="T22" i="1"/>
  <c r="AD22" i="1"/>
  <c r="V303" i="1"/>
  <c r="AE303" i="1"/>
  <c r="T303" i="1"/>
  <c r="U303" i="1"/>
  <c r="AD303" i="1"/>
  <c r="AE116" i="1"/>
  <c r="U116" i="1"/>
  <c r="T116" i="1"/>
  <c r="V116" i="1"/>
  <c r="AD116" i="1"/>
  <c r="AE129" i="1"/>
  <c r="U129" i="1"/>
  <c r="AD129" i="1"/>
  <c r="V129" i="1"/>
  <c r="T129" i="1"/>
  <c r="AE203" i="1"/>
  <c r="T203" i="1"/>
  <c r="AD203" i="1"/>
  <c r="U203" i="1"/>
  <c r="V203" i="1"/>
  <c r="AE377" i="1"/>
  <c r="V377" i="1"/>
  <c r="T377" i="1"/>
  <c r="U377" i="1"/>
  <c r="AD377" i="1"/>
  <c r="AE191" i="1"/>
  <c r="T191" i="1"/>
  <c r="AD191" i="1"/>
  <c r="U191" i="1"/>
  <c r="V191" i="1"/>
  <c r="AE93" i="1"/>
  <c r="V93" i="1"/>
  <c r="AD93" i="1"/>
  <c r="T93" i="1"/>
  <c r="U93" i="1"/>
  <c r="AE391" i="1"/>
  <c r="V391" i="1"/>
  <c r="AD391" i="1"/>
  <c r="T391" i="1"/>
  <c r="U391" i="1"/>
  <c r="AE368" i="1"/>
  <c r="V368" i="1"/>
  <c r="T368" i="1"/>
  <c r="AD368" i="1"/>
  <c r="U368" i="1"/>
  <c r="AE228" i="1"/>
  <c r="V228" i="1"/>
  <c r="AD228" i="1"/>
  <c r="U228" i="1"/>
  <c r="T228" i="1"/>
  <c r="AE127" i="1"/>
  <c r="AD127" i="1"/>
  <c r="U127" i="1"/>
  <c r="V127" i="1"/>
  <c r="T127" i="1"/>
  <c r="AE337" i="1"/>
  <c r="T337" i="1"/>
  <c r="AD337" i="1"/>
  <c r="V337" i="1"/>
  <c r="U337" i="1"/>
  <c r="AE230" i="1"/>
  <c r="V230" i="1"/>
  <c r="AD230" i="1"/>
  <c r="T230" i="1"/>
  <c r="U230" i="1"/>
  <c r="AE359" i="1"/>
  <c r="V359" i="1"/>
  <c r="U359" i="1"/>
  <c r="AD359" i="1"/>
  <c r="T359" i="1"/>
  <c r="AE64" i="1"/>
  <c r="T64" i="1"/>
  <c r="AD64" i="1"/>
  <c r="V64" i="1"/>
  <c r="U64" i="1"/>
  <c r="AE274" i="1"/>
  <c r="V274" i="1"/>
  <c r="AD274" i="1"/>
  <c r="U274" i="1"/>
  <c r="T274" i="1"/>
  <c r="AE85" i="1"/>
  <c r="AD85" i="1"/>
  <c r="T85" i="1"/>
  <c r="U85" i="1"/>
  <c r="V85" i="1"/>
  <c r="AE247" i="1"/>
  <c r="AD247" i="1"/>
  <c r="U247" i="1"/>
  <c r="V247" i="1"/>
  <c r="T247" i="1"/>
  <c r="AE394" i="1"/>
  <c r="AD394" i="1"/>
  <c r="V394" i="1"/>
  <c r="U394" i="1"/>
  <c r="T394" i="1"/>
  <c r="AD357" i="1"/>
  <c r="U357" i="1"/>
  <c r="AE357" i="1"/>
  <c r="T357" i="1"/>
  <c r="V357" i="1"/>
  <c r="AE201" i="1"/>
  <c r="AD201" i="1"/>
  <c r="V201" i="1"/>
  <c r="T201" i="1"/>
  <c r="U201" i="1"/>
  <c r="AE157" i="1"/>
  <c r="T157" i="1"/>
  <c r="AD157" i="1"/>
  <c r="V157" i="1"/>
  <c r="U157" i="1"/>
  <c r="AD31" i="1"/>
  <c r="U31" i="1"/>
  <c r="AE31" i="1"/>
  <c r="V31" i="1"/>
  <c r="T31" i="1"/>
  <c r="V384" i="1"/>
  <c r="U384" i="1"/>
  <c r="T384" i="1"/>
  <c r="AE384" i="1"/>
  <c r="AD384" i="1"/>
  <c r="U370" i="1"/>
  <c r="AD370" i="1"/>
  <c r="T370" i="1"/>
  <c r="AE370" i="1"/>
  <c r="V370" i="1"/>
  <c r="V280" i="1"/>
  <c r="AD280" i="1"/>
  <c r="T280" i="1"/>
  <c r="AE280" i="1"/>
  <c r="U280" i="1"/>
  <c r="AH318" i="1"/>
  <c r="AI318" i="1"/>
  <c r="AJ318" i="1"/>
  <c r="AJ73" i="1"/>
  <c r="AI73" i="1"/>
  <c r="AH73" i="1"/>
  <c r="AJ65" i="1"/>
  <c r="AH65" i="1"/>
  <c r="AI65" i="1"/>
  <c r="AH57" i="1"/>
  <c r="AJ57" i="1"/>
  <c r="AI57" i="1"/>
  <c r="AH359" i="1"/>
  <c r="AJ359" i="1"/>
  <c r="AI359" i="1"/>
  <c r="AI287" i="1"/>
  <c r="AJ287" i="1"/>
  <c r="AH287" i="1"/>
  <c r="AI78" i="1"/>
  <c r="AJ78" i="1"/>
  <c r="AH78" i="1"/>
  <c r="AJ170" i="1"/>
  <c r="AH170" i="1"/>
  <c r="AI170" i="1"/>
  <c r="AJ35" i="1"/>
  <c r="AH35" i="1"/>
  <c r="AI35" i="1"/>
  <c r="AJ27" i="1"/>
  <c r="AI27" i="1"/>
  <c r="AH27" i="1"/>
  <c r="AJ19" i="1"/>
  <c r="AI19" i="1"/>
  <c r="AH19" i="1"/>
  <c r="AH327" i="1"/>
  <c r="AI327" i="1"/>
  <c r="AJ327" i="1"/>
  <c r="AH190" i="1"/>
  <c r="AI190" i="1"/>
  <c r="AJ190" i="1"/>
  <c r="AJ354" i="1"/>
  <c r="AH354" i="1"/>
  <c r="AI354" i="1"/>
  <c r="AH116" i="1"/>
  <c r="AJ116" i="1"/>
  <c r="AI116" i="1"/>
  <c r="AJ364" i="1"/>
  <c r="AH364" i="1"/>
  <c r="AI364" i="1"/>
  <c r="AI176" i="1"/>
  <c r="AH176" i="1"/>
  <c r="AJ176" i="1"/>
  <c r="AH319" i="1"/>
  <c r="AI319" i="1"/>
  <c r="AJ319" i="1"/>
  <c r="AH182" i="1"/>
  <c r="AI182" i="1"/>
  <c r="AJ182" i="1"/>
  <c r="AI346" i="1"/>
  <c r="AH346" i="1"/>
  <c r="AJ346" i="1"/>
  <c r="AI52" i="1"/>
  <c r="AH52" i="1"/>
  <c r="AJ52" i="1"/>
  <c r="AH348" i="1"/>
  <c r="AI348" i="1"/>
  <c r="AJ348" i="1"/>
  <c r="AH168" i="1"/>
  <c r="AI168" i="1"/>
  <c r="AJ168" i="1"/>
  <c r="AH311" i="1"/>
  <c r="AI311" i="1"/>
  <c r="AJ311" i="1"/>
  <c r="AH174" i="1"/>
  <c r="AI174" i="1"/>
  <c r="AJ174" i="1"/>
  <c r="AJ338" i="1"/>
  <c r="AI338" i="1"/>
  <c r="AH338" i="1"/>
  <c r="AH385" i="1"/>
  <c r="AI385" i="1"/>
  <c r="AJ385" i="1"/>
  <c r="AI332" i="1"/>
  <c r="AJ332" i="1"/>
  <c r="AH332" i="1"/>
  <c r="AI160" i="1"/>
  <c r="AH160" i="1"/>
  <c r="AJ160" i="1"/>
  <c r="AH303" i="1"/>
  <c r="AI303" i="1"/>
  <c r="AJ303" i="1"/>
  <c r="AI166" i="1"/>
  <c r="AJ166" i="1"/>
  <c r="AH166" i="1"/>
  <c r="AH330" i="1"/>
  <c r="AI330" i="1"/>
  <c r="AJ330" i="1"/>
  <c r="AH173" i="1"/>
  <c r="AI173" i="1"/>
  <c r="AJ173" i="1"/>
  <c r="AJ69" i="1"/>
  <c r="AI69" i="1"/>
  <c r="AH69" i="1"/>
  <c r="AH88" i="1"/>
  <c r="AI88" i="1"/>
  <c r="AJ88" i="1"/>
  <c r="AI231" i="1"/>
  <c r="AJ231" i="1"/>
  <c r="AH231" i="1"/>
  <c r="AH94" i="1"/>
  <c r="AI94" i="1"/>
  <c r="AJ94" i="1"/>
  <c r="AH258" i="1"/>
  <c r="AI258" i="1"/>
  <c r="AJ258" i="1"/>
  <c r="AH377" i="1"/>
  <c r="AI377" i="1"/>
  <c r="AJ377" i="1"/>
  <c r="AH252" i="1"/>
  <c r="AI252" i="1"/>
  <c r="AJ252" i="1"/>
  <c r="AJ297" i="1"/>
  <c r="AH297" i="1"/>
  <c r="AI297" i="1"/>
  <c r="AJ159" i="1"/>
  <c r="AI159" i="1"/>
  <c r="AH159" i="1"/>
  <c r="AI22" i="1"/>
  <c r="AJ22" i="1"/>
  <c r="AH22" i="1"/>
  <c r="AI186" i="1"/>
  <c r="AJ186" i="1"/>
  <c r="AH186" i="1"/>
  <c r="AH355" i="1"/>
  <c r="AI355" i="1"/>
  <c r="AJ355" i="1"/>
  <c r="AJ245" i="1"/>
  <c r="AH245" i="1"/>
  <c r="AI245" i="1"/>
  <c r="AJ225" i="1"/>
  <c r="AI225" i="1"/>
  <c r="AH225" i="1"/>
  <c r="AJ87" i="1"/>
  <c r="AH87" i="1"/>
  <c r="AI87" i="1"/>
  <c r="AJ243" i="1"/>
  <c r="AH243" i="1"/>
  <c r="AI243" i="1"/>
  <c r="AI114" i="1"/>
  <c r="AJ114" i="1"/>
  <c r="AH114" i="1"/>
  <c r="AI317" i="1"/>
  <c r="AJ317" i="1"/>
  <c r="AH317" i="1"/>
  <c r="AI384" i="1"/>
  <c r="AJ384" i="1"/>
  <c r="AH384" i="1"/>
  <c r="AI153" i="1"/>
  <c r="AH153" i="1"/>
  <c r="AJ153" i="1"/>
  <c r="AJ390" i="1"/>
  <c r="AH390" i="1"/>
  <c r="AI390" i="1"/>
  <c r="AJ171" i="1"/>
  <c r="AH171" i="1"/>
  <c r="AI171" i="1"/>
  <c r="AI42" i="1"/>
  <c r="AH42" i="1"/>
  <c r="AJ42" i="1"/>
  <c r="AE215" i="1"/>
  <c r="T215" i="1"/>
  <c r="U215" i="1"/>
  <c r="AD215" i="1"/>
  <c r="V215" i="1"/>
  <c r="AE80" i="1"/>
  <c r="V80" i="1"/>
  <c r="AD80" i="1"/>
  <c r="T80" i="1"/>
  <c r="U80" i="1"/>
  <c r="AE125" i="1"/>
  <c r="T125" i="1"/>
  <c r="AD125" i="1"/>
  <c r="V125" i="1"/>
  <c r="U125" i="1"/>
  <c r="AE363" i="1"/>
  <c r="U363" i="1"/>
  <c r="AD363" i="1"/>
  <c r="T363" i="1"/>
  <c r="V363" i="1"/>
  <c r="AE49" i="1"/>
  <c r="V49" i="1"/>
  <c r="U49" i="1"/>
  <c r="AD49" i="1"/>
  <c r="T49" i="1"/>
  <c r="AE152" i="1"/>
  <c r="U152" i="1"/>
  <c r="T152" i="1"/>
  <c r="AD152" i="1"/>
  <c r="V152" i="1"/>
  <c r="AE252" i="1"/>
  <c r="V252" i="1"/>
  <c r="AD252" i="1"/>
  <c r="U252" i="1"/>
  <c r="T252" i="1"/>
  <c r="AE220" i="1"/>
  <c r="U220" i="1"/>
  <c r="V220" i="1"/>
  <c r="T220" i="1"/>
  <c r="AD220" i="1"/>
  <c r="AE321" i="1"/>
  <c r="V321" i="1"/>
  <c r="T321" i="1"/>
  <c r="AD321" i="1"/>
  <c r="U321" i="1"/>
  <c r="AE163" i="1"/>
  <c r="U163" i="1"/>
  <c r="V163" i="1"/>
  <c r="T163" i="1"/>
  <c r="AD163" i="1"/>
  <c r="AE150" i="1"/>
  <c r="U150" i="1"/>
  <c r="T150" i="1"/>
  <c r="V150" i="1"/>
  <c r="AD150" i="1"/>
  <c r="AE350" i="1"/>
  <c r="T350" i="1"/>
  <c r="V350" i="1"/>
  <c r="U350" i="1"/>
  <c r="AD350" i="1"/>
  <c r="AE345" i="1"/>
  <c r="T345" i="1"/>
  <c r="U345" i="1"/>
  <c r="AD345" i="1"/>
  <c r="V345" i="1"/>
  <c r="AE173" i="1"/>
  <c r="V173" i="1"/>
  <c r="U173" i="1"/>
  <c r="AD173" i="1"/>
  <c r="T173" i="1"/>
  <c r="AE48" i="1"/>
  <c r="V48" i="1"/>
  <c r="T48" i="1"/>
  <c r="AD48" i="1"/>
  <c r="U48" i="1"/>
  <c r="AE297" i="1"/>
  <c r="T297" i="1"/>
  <c r="AD297" i="1"/>
  <c r="U297" i="1"/>
  <c r="V297" i="1"/>
  <c r="AE305" i="1"/>
  <c r="T305" i="1"/>
  <c r="AD305" i="1"/>
  <c r="U305" i="1"/>
  <c r="V305" i="1"/>
  <c r="AE178" i="1"/>
  <c r="U178" i="1"/>
  <c r="AD178" i="1"/>
  <c r="T178" i="1"/>
  <c r="V178" i="1"/>
  <c r="AE103" i="1"/>
  <c r="V103" i="1"/>
  <c r="T103" i="1"/>
  <c r="U103" i="1"/>
  <c r="AD103" i="1"/>
  <c r="AE388" i="1"/>
  <c r="T388" i="1"/>
  <c r="AD388" i="1"/>
  <c r="V388" i="1"/>
  <c r="U388" i="1"/>
  <c r="AE349" i="1"/>
  <c r="U349" i="1"/>
  <c r="AD349" i="1"/>
  <c r="T349" i="1"/>
  <c r="V349" i="1"/>
  <c r="AE67" i="1"/>
  <c r="T67" i="1"/>
  <c r="V67" i="1"/>
  <c r="AD67" i="1"/>
  <c r="U67" i="1"/>
  <c r="V92" i="1"/>
  <c r="T92" i="1"/>
  <c r="AD92" i="1"/>
  <c r="U92" i="1"/>
  <c r="AE92" i="1"/>
  <c r="U98" i="1"/>
  <c r="T98" i="1"/>
  <c r="AD98" i="1"/>
  <c r="V98" i="1"/>
  <c r="AE98" i="1"/>
  <c r="AE243" i="1"/>
  <c r="V243" i="1"/>
  <c r="AD243" i="1"/>
  <c r="U243" i="1"/>
  <c r="T243" i="1"/>
  <c r="AE334" i="1"/>
  <c r="U334" i="1"/>
  <c r="AD334" i="1"/>
  <c r="V334" i="1"/>
  <c r="T334" i="1"/>
  <c r="AE91" i="1"/>
  <c r="V91" i="1"/>
  <c r="T91" i="1"/>
  <c r="U91" i="1"/>
  <c r="AD91" i="1"/>
  <c r="AE381" i="1"/>
  <c r="U381" i="1"/>
  <c r="V381" i="1"/>
  <c r="AD381" i="1"/>
  <c r="T381" i="1"/>
  <c r="AE30" i="1"/>
  <c r="T30" i="1"/>
  <c r="AD30" i="1"/>
  <c r="U30" i="1"/>
  <c r="V30" i="1"/>
  <c r="AE151" i="1"/>
  <c r="U151" i="1"/>
  <c r="T151" i="1"/>
  <c r="AD151" i="1"/>
  <c r="V151" i="1"/>
  <c r="AE270" i="1"/>
  <c r="V270" i="1"/>
  <c r="AD270" i="1"/>
  <c r="T270" i="1"/>
  <c r="U270" i="1"/>
  <c r="AE40" i="1"/>
  <c r="V40" i="1"/>
  <c r="U40" i="1"/>
  <c r="AD40" i="1"/>
  <c r="T40" i="1"/>
  <c r="AE253" i="1"/>
  <c r="U253" i="1"/>
  <c r="AD253" i="1"/>
  <c r="T253" i="1"/>
  <c r="V253" i="1"/>
  <c r="AE78" i="1"/>
  <c r="U78" i="1"/>
  <c r="AD78" i="1"/>
  <c r="T78" i="1"/>
  <c r="V78" i="1"/>
  <c r="AE273" i="1"/>
  <c r="U273" i="1"/>
  <c r="T273" i="1"/>
  <c r="AD273" i="1"/>
  <c r="V273" i="1"/>
  <c r="AE264" i="1"/>
  <c r="V264" i="1"/>
  <c r="T264" i="1"/>
  <c r="AD264" i="1"/>
  <c r="U264" i="1"/>
  <c r="AE164" i="1"/>
  <c r="U164" i="1"/>
  <c r="AD164" i="1"/>
  <c r="V164" i="1"/>
  <c r="T164" i="1"/>
  <c r="AE295" i="1"/>
  <c r="T295" i="1"/>
  <c r="AD295" i="1"/>
  <c r="V295" i="1"/>
  <c r="U295" i="1"/>
  <c r="AE385" i="1"/>
  <c r="T385" i="1"/>
  <c r="AD385" i="1"/>
  <c r="V385" i="1"/>
  <c r="U385" i="1"/>
  <c r="AE365" i="1"/>
  <c r="U365" i="1"/>
  <c r="AD365" i="1"/>
  <c r="V365" i="1"/>
  <c r="T365" i="1"/>
  <c r="AE221" i="1"/>
  <c r="U221" i="1"/>
  <c r="AD221" i="1"/>
  <c r="V221" i="1"/>
  <c r="T221" i="1"/>
  <c r="AE206" i="1"/>
  <c r="T206" i="1"/>
  <c r="AD206" i="1"/>
  <c r="U206" i="1"/>
  <c r="V206" i="1"/>
  <c r="AE110" i="1"/>
  <c r="U110" i="1"/>
  <c r="AD110" i="1"/>
  <c r="V110" i="1"/>
  <c r="T110" i="1"/>
  <c r="AE27" i="1"/>
  <c r="AD27" i="1"/>
  <c r="V27" i="1"/>
  <c r="U27" i="1"/>
  <c r="T27" i="1"/>
  <c r="AE88" i="1"/>
  <c r="V88" i="1"/>
  <c r="T88" i="1"/>
  <c r="AD88" i="1"/>
  <c r="U88" i="1"/>
  <c r="U197" i="1"/>
  <c r="V197" i="1"/>
  <c r="AE197" i="1"/>
  <c r="AD197" i="1"/>
  <c r="T197" i="1"/>
  <c r="V311" i="1"/>
  <c r="AE311" i="1"/>
  <c r="U311" i="1"/>
  <c r="T311" i="1"/>
  <c r="AD311" i="1"/>
  <c r="AE154" i="1"/>
  <c r="T154" i="1"/>
  <c r="AD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G25" i="1" l="1"/>
  <c r="B15" i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<sst xmlns="http://schemas.openxmlformats.org/spreadsheetml/2006/main" count="492" uniqueCount="286">
  <si>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</si>
  <si>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</si>
  <si>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</si>
  <si>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</si>
  <si>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</si>
  <si>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</si>
  <si>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</si>
  <si>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</si>
  <si>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</si>
  <si>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</si>
  <si>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</si>
  <si>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</si>
  <si>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</si>
  <si>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</si>
  <si>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</si>
  <si>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</si>
  <si>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</si>
  <si>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</si>
  <si>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</si>
  <si>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</si>
  <si>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</si>
  <si>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</si>
  <si>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</si>
  <si>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</si>
  <si>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</si>
  <si>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</si>
  <si>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</si>
  <si>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</si>
  <si>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</si>
  <si>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</si>
  <si>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</si>
  <si>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</si>
  <si>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</si>
  <si>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</si>
  <si>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</si>
  <si>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</si>
  <si>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</si>
  <si>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</si>
  <si>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</si>
  <si>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</si>
  <si>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</si>
  <si>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</si>
  <si>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</si>
  <si>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</si>
  <si>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</si>
  <si>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</si>
  <si>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</si>
  <si>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</si>
  <si>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</si>
  <si>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</si>
  <si>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</si>
  <si>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</si>
  <si>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</si>
  <si>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</si>
  <si>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</si>
  <si>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</si>
  <si>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</si>
  <si>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</si>
  <si>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</si>
  <si>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</si>
  <si>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</si>
  <si>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</si>
  <si>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</si>
  <si>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</si>
  <si>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</si>
  <si>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</si>
  <si>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</si>
  <si>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</si>
  <si>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</si>
  <si>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</si>
  <si>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</si>
  <si>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</si>
  <si>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</si>
  <si>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</si>
  <si>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</si>
  <si>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</si>
  <si>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</si>
  <si>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</si>
  <si>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</si>
  <si>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</si>
  <si>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</si>
  <si>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</si>
  <si>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</si>
  <si>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</si>
  <si>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</si>
  <si>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</si>
  <si>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</si>
  <si>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</si>
  <si>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</si>
  <si>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</si>
  <si>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</si>
  <si>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</si>
  <si>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</si>
  <si>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</si>
  <si>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</si>
  <si>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</si>
  <si>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</si>
  <si>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</si>
  <si>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</si>
  <si>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</si>
  <si>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</si>
  <si>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</si>
  <si>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</si>
  <si>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</si>
  <si>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</si>
  <si>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</si>
  <si>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</si>
  <si>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</si>
  <si>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</si>
  <si>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</si>
  <si>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</si>
  <si>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</si>
  <si>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</si>
  <si>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</si>
  <si>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</si>
  <si>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</si>
  <si>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</si>
  <si>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</si>
  <si>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</si>
  <si>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</si>
  <si>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</si>
  <si>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</si>
  <si>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</si>
  <si>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</si>
  <si>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</si>
  <si>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</si>
  <si>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</si>
  <si>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</si>
  <si>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</si>
  <si>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</si>
  <si>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</si>
  <si>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</si>
  <si>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</si>
  <si>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</si>
  <si>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</si>
  <si>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</si>
  <si>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</si>
  <si>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</si>
  <si>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</si>
  <si>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</si>
  <si>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</si>
  <si>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</si>
  <si>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</si>
  <si>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</si>
  <si>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</si>
  <si>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</si>
  <si>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</si>
  <si>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</si>
  <si>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</si>
  <si>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</si>
  <si>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</si>
  <si>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</si>
  <si>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</si>
  <si>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</si>
  <si>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</si>
  <si>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</si>
  <si>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</si>
  <si>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</si>
  <si>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</si>
  <si>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</si>
  <si>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</si>
  <si>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</si>
  <si>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</si>
  <si>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</si>
  <si>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</si>
  <si>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</si>
  <si>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</si>
  <si>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</si>
  <si>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</si>
  <si>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</si>
  <si>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</si>
  <si>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</si>
  <si>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</si>
  <si>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</si>
  <si>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</si>
  <si>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</si>
  <si>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</si>
  <si>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</si>
  <si>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</si>
  <si>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</si>
  <si>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</si>
  <si>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</si>
  <si>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</si>
  <si>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</si>
  <si>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</si>
  <si>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</si>
  <si>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</si>
  <si>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</si>
  <si>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</si>
  <si>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</si>
  <si>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</si>
  <si>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</si>
  <si>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</si>
  <si>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</si>
  <si>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</si>
  <si>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</si>
  <si>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</si>
  <si>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</si>
  <si>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</si>
  <si>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</si>
  <si>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</si>
  <si>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</si>
  <si>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</si>
  <si>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</si>
  <si>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</si>
  <si>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</si>
  <si>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</si>
  <si>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</si>
  <si>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</si>
  <si>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</si>
  <si>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</si>
  <si>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</si>
  <si>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</si>
  <si>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</si>
  <si>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</si>
  <si>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</si>
  <si>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</si>
  <si>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</si>
  <si>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</si>
  <si>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</si>
  <si>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</si>
  <si>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</si>
  <si>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</si>
  <si>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</si>
  <si>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</si>
  <si>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</si>
  <si>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</si>
  <si>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</si>
  <si>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</si>
  <si>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</si>
  <si>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</si>
  <si>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</si>
  <si>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</si>
  <si>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</si>
  <si>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</si>
  <si>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</si>
  <si>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</si>
  <si>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</si>
  <si>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</si>
  <si>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</si>
  <si>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</si>
  <si>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</si>
  <si>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</si>
  <si>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</si>
  <si>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</si>
  <si>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</si>
  <si>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</si>
  <si>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</si>
  <si>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</si>
  <si>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</si>
  <si>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</si>
  <si>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</si>
  <si>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</si>
  <si>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</si>
  <si>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</si>
  <si>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</si>
  <si>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</si>
  <si>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</si>
  <si>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</si>
  <si>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</si>
  <si>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</si>
  <si>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</si>
  <si>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</si>
  <si>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</si>
  <si>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</si>
  <si>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</si>
  <si>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</si>
  <si>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</si>
  <si>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</si>
  <si>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</si>
  <si>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</si>
  <si>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</si>
  <si>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</si>
  <si>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</si>
  <si>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</si>
  <si>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</si>
  <si>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</si>
  <si>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</si>
  <si>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</si>
  <si>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</si>
  <si>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</si>
  <si>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</si>
  <si>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</si>
  <si>
    <t>lincoln</t>
  </si>
  <si>
    <t>DailyUptake</t>
  </si>
  <si>
    <t>10 day Uptake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</si>
</sst>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66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2</c:v>
                </c:pt>
                <c:pt idx="1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227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Residues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16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Soil 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157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50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6812304338392553"/>
          <c:w val="0.6313217359228801"/>
          <c:h val="0.72430336718774213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45519</c:v>
                </c:pt>
                <c:pt idx="1">
                  <c:v>45520</c:v>
                </c:pt>
                <c:pt idx="2">
                  <c:v>45521</c:v>
                </c:pt>
                <c:pt idx="3">
                  <c:v>45522</c:v>
                </c:pt>
                <c:pt idx="4">
                  <c:v>45523</c:v>
                </c:pt>
                <c:pt idx="5">
                  <c:v>45524</c:v>
                </c:pt>
                <c:pt idx="6">
                  <c:v>45525</c:v>
                </c:pt>
                <c:pt idx="7">
                  <c:v>45526</c:v>
                </c:pt>
                <c:pt idx="8">
                  <c:v>45527</c:v>
                </c:pt>
                <c:pt idx="9">
                  <c:v>45528</c:v>
                </c:pt>
                <c:pt idx="10">
                  <c:v>45529</c:v>
                </c:pt>
                <c:pt idx="11">
                  <c:v>45530</c:v>
                </c:pt>
                <c:pt idx="12">
                  <c:v>45531</c:v>
                </c:pt>
                <c:pt idx="13">
                  <c:v>45532</c:v>
                </c:pt>
                <c:pt idx="14">
                  <c:v>45533</c:v>
                </c:pt>
                <c:pt idx="15">
                  <c:v>45534</c:v>
                </c:pt>
                <c:pt idx="16">
                  <c:v>45535</c:v>
                </c:pt>
                <c:pt idx="17">
                  <c:v>45536</c:v>
                </c:pt>
                <c:pt idx="18">
                  <c:v>45537</c:v>
                </c:pt>
                <c:pt idx="19">
                  <c:v>45538</c:v>
                </c:pt>
                <c:pt idx="20">
                  <c:v>45539</c:v>
                </c:pt>
                <c:pt idx="21">
                  <c:v>45540</c:v>
                </c:pt>
                <c:pt idx="22">
                  <c:v>45541</c:v>
                </c:pt>
                <c:pt idx="23">
                  <c:v>45542</c:v>
                </c:pt>
                <c:pt idx="24">
                  <c:v>45543</c:v>
                </c:pt>
                <c:pt idx="25">
                  <c:v>45544</c:v>
                </c:pt>
                <c:pt idx="26">
                  <c:v>45545</c:v>
                </c:pt>
                <c:pt idx="27">
                  <c:v>45546</c:v>
                </c:pt>
                <c:pt idx="28">
                  <c:v>45547</c:v>
                </c:pt>
                <c:pt idx="29">
                  <c:v>45548</c:v>
                </c:pt>
                <c:pt idx="30">
                  <c:v>45549</c:v>
                </c:pt>
                <c:pt idx="31">
                  <c:v>45550</c:v>
                </c:pt>
                <c:pt idx="32">
                  <c:v>45551</c:v>
                </c:pt>
                <c:pt idx="33">
                  <c:v>45552</c:v>
                </c:pt>
                <c:pt idx="34">
                  <c:v>45553</c:v>
                </c:pt>
                <c:pt idx="35">
                  <c:v>45554</c:v>
                </c:pt>
                <c:pt idx="36">
                  <c:v>45555</c:v>
                </c:pt>
                <c:pt idx="37">
                  <c:v>45556</c:v>
                </c:pt>
                <c:pt idx="38">
                  <c:v>45557</c:v>
                </c:pt>
                <c:pt idx="39">
                  <c:v>45558</c:v>
                </c:pt>
                <c:pt idx="40">
                  <c:v>45559</c:v>
                </c:pt>
                <c:pt idx="41">
                  <c:v>45560</c:v>
                </c:pt>
                <c:pt idx="42">
                  <c:v>45561</c:v>
                </c:pt>
                <c:pt idx="43">
                  <c:v>45562</c:v>
                </c:pt>
                <c:pt idx="44">
                  <c:v>45563</c:v>
                </c:pt>
                <c:pt idx="45">
                  <c:v>45564</c:v>
                </c:pt>
                <c:pt idx="46">
                  <c:v>45565</c:v>
                </c:pt>
                <c:pt idx="47">
                  <c:v>45566</c:v>
                </c:pt>
                <c:pt idx="48">
                  <c:v>45567</c:v>
                </c:pt>
                <c:pt idx="49">
                  <c:v>45568</c:v>
                </c:pt>
                <c:pt idx="50">
                  <c:v>45569</c:v>
                </c:pt>
                <c:pt idx="51">
                  <c:v>45570</c:v>
                </c:pt>
                <c:pt idx="52">
                  <c:v>45571</c:v>
                </c:pt>
                <c:pt idx="53">
                  <c:v>45572</c:v>
                </c:pt>
                <c:pt idx="54">
                  <c:v>45573</c:v>
                </c:pt>
                <c:pt idx="55">
                  <c:v>45574</c:v>
                </c:pt>
                <c:pt idx="56">
                  <c:v>45575</c:v>
                </c:pt>
                <c:pt idx="57">
                  <c:v>45576</c:v>
                </c:pt>
                <c:pt idx="58">
                  <c:v>45577</c:v>
                </c:pt>
                <c:pt idx="59">
                  <c:v>45578</c:v>
                </c:pt>
                <c:pt idx="60">
                  <c:v>45579</c:v>
                </c:pt>
                <c:pt idx="61">
                  <c:v>45580</c:v>
                </c:pt>
                <c:pt idx="62">
                  <c:v>45581</c:v>
                </c:pt>
                <c:pt idx="63">
                  <c:v>45582</c:v>
                </c:pt>
                <c:pt idx="64">
                  <c:v>45583</c:v>
                </c:pt>
                <c:pt idx="65">
                  <c:v>45584</c:v>
                </c:pt>
                <c:pt idx="66">
                  <c:v>45585</c:v>
                </c:pt>
                <c:pt idx="67">
                  <c:v>45586</c:v>
                </c:pt>
                <c:pt idx="68">
                  <c:v>45587</c:v>
                </c:pt>
                <c:pt idx="69">
                  <c:v>45588</c:v>
                </c:pt>
                <c:pt idx="70">
                  <c:v>45589</c:v>
                </c:pt>
                <c:pt idx="71">
                  <c:v>45590</c:v>
                </c:pt>
                <c:pt idx="72">
                  <c:v>45591</c:v>
                </c:pt>
                <c:pt idx="73">
                  <c:v>45592</c:v>
                </c:pt>
                <c:pt idx="74">
                  <c:v>45593</c:v>
                </c:pt>
                <c:pt idx="75">
                  <c:v>45594</c:v>
                </c:pt>
                <c:pt idx="76">
                  <c:v>45595</c:v>
                </c:pt>
                <c:pt idx="77">
                  <c:v>45596</c:v>
                </c:pt>
                <c:pt idx="78">
                  <c:v>45597</c:v>
                </c:pt>
                <c:pt idx="79">
                  <c:v>45598</c:v>
                </c:pt>
                <c:pt idx="80">
                  <c:v>45599</c:v>
                </c:pt>
                <c:pt idx="81">
                  <c:v>45600</c:v>
                </c:pt>
                <c:pt idx="82">
                  <c:v>45601</c:v>
                </c:pt>
                <c:pt idx="83">
                  <c:v>45602</c:v>
                </c:pt>
                <c:pt idx="84">
                  <c:v>45603</c:v>
                </c:pt>
                <c:pt idx="85">
                  <c:v>45604</c:v>
                </c:pt>
                <c:pt idx="86">
                  <c:v>45605</c:v>
                </c:pt>
                <c:pt idx="87">
                  <c:v>45606</c:v>
                </c:pt>
                <c:pt idx="88">
                  <c:v>45607</c:v>
                </c:pt>
                <c:pt idx="89">
                  <c:v>45608</c:v>
                </c:pt>
                <c:pt idx="90">
                  <c:v>45609</c:v>
                </c:pt>
                <c:pt idx="91">
                  <c:v>45610</c:v>
                </c:pt>
                <c:pt idx="92">
                  <c:v>45611</c:v>
                </c:pt>
                <c:pt idx="93">
                  <c:v>45612</c:v>
                </c:pt>
                <c:pt idx="94">
                  <c:v>45613</c:v>
                </c:pt>
                <c:pt idx="95">
                  <c:v>45614</c:v>
                </c:pt>
                <c:pt idx="96">
                  <c:v>45615</c:v>
                </c:pt>
                <c:pt idx="97">
                  <c:v>45616</c:v>
                </c:pt>
                <c:pt idx="98">
                  <c:v>45617</c:v>
                </c:pt>
                <c:pt idx="99">
                  <c:v>45618</c:v>
                </c:pt>
                <c:pt idx="100">
                  <c:v>45619</c:v>
                </c:pt>
                <c:pt idx="101">
                  <c:v>45620</c:v>
                </c:pt>
                <c:pt idx="102">
                  <c:v>45621</c:v>
                </c:pt>
                <c:pt idx="103">
                  <c:v>45622</c:v>
                </c:pt>
                <c:pt idx="104">
                  <c:v>45623</c:v>
                </c:pt>
                <c:pt idx="105">
                  <c:v>45624</c:v>
                </c:pt>
                <c:pt idx="106">
                  <c:v>45625</c:v>
                </c:pt>
                <c:pt idx="107">
                  <c:v>45626</c:v>
                </c:pt>
                <c:pt idx="108">
                  <c:v>45627</c:v>
                </c:pt>
                <c:pt idx="109">
                  <c:v>45628</c:v>
                </c:pt>
                <c:pt idx="110">
                  <c:v>45629</c:v>
                </c:pt>
                <c:pt idx="111">
                  <c:v>45630</c:v>
                </c:pt>
                <c:pt idx="112">
                  <c:v>45631</c:v>
                </c:pt>
                <c:pt idx="113">
                  <c:v>45632</c:v>
                </c:pt>
                <c:pt idx="114">
                  <c:v>45633</c:v>
                </c:pt>
                <c:pt idx="115">
                  <c:v>45634</c:v>
                </c:pt>
                <c:pt idx="116">
                  <c:v>45635</c:v>
                </c:pt>
                <c:pt idx="117">
                  <c:v>45636</c:v>
                </c:pt>
                <c:pt idx="118">
                  <c:v>45637</c:v>
                </c:pt>
                <c:pt idx="119">
                  <c:v>45638</c:v>
                </c:pt>
                <c:pt idx="120">
                  <c:v>45639</c:v>
                </c:pt>
                <c:pt idx="121">
                  <c:v>45640</c:v>
                </c:pt>
                <c:pt idx="122">
                  <c:v>45641</c:v>
                </c:pt>
                <c:pt idx="123">
                  <c:v>45642</c:v>
                </c:pt>
                <c:pt idx="124">
                  <c:v>45643</c:v>
                </c:pt>
                <c:pt idx="125">
                  <c:v>45644</c:v>
                </c:pt>
                <c:pt idx="126">
                  <c:v>45645</c:v>
                </c:pt>
                <c:pt idx="127">
                  <c:v>45646</c:v>
                </c:pt>
                <c:pt idx="128">
                  <c:v>45647</c:v>
                </c:pt>
                <c:pt idx="129">
                  <c:v>45648</c:v>
                </c:pt>
                <c:pt idx="130">
                  <c:v>45649</c:v>
                </c:pt>
                <c:pt idx="131">
                  <c:v>45650</c:v>
                </c:pt>
                <c:pt idx="132">
                  <c:v>45651</c:v>
                </c:pt>
                <c:pt idx="133">
                  <c:v>45652</c:v>
                </c:pt>
                <c:pt idx="134">
                  <c:v>45653</c:v>
                </c:pt>
                <c:pt idx="135">
                  <c:v>45654</c:v>
                </c:pt>
                <c:pt idx="136">
                  <c:v>45655</c:v>
                </c:pt>
                <c:pt idx="137">
                  <c:v>45656</c:v>
                </c:pt>
                <c:pt idx="138">
                  <c:v>45657</c:v>
                </c:pt>
                <c:pt idx="139">
                  <c:v>45658</c:v>
                </c:pt>
                <c:pt idx="140">
                  <c:v>45659</c:v>
                </c:pt>
                <c:pt idx="141">
                  <c:v>45660</c:v>
                </c:pt>
                <c:pt idx="142">
                  <c:v>45661</c:v>
                </c:pt>
                <c:pt idx="143">
                  <c:v>45662</c:v>
                </c:pt>
                <c:pt idx="144">
                  <c:v>45663</c:v>
                </c:pt>
                <c:pt idx="145">
                  <c:v>45664</c:v>
                </c:pt>
                <c:pt idx="146">
                  <c:v>45665</c:v>
                </c:pt>
                <c:pt idx="147">
                  <c:v>45666</c:v>
                </c:pt>
                <c:pt idx="148">
                  <c:v>45667</c:v>
                </c:pt>
                <c:pt idx="149">
                  <c:v>45668</c:v>
                </c:pt>
                <c:pt idx="150">
                  <c:v>45669</c:v>
                </c:pt>
                <c:pt idx="151">
                  <c:v>45670</c:v>
                </c:pt>
                <c:pt idx="152">
                  <c:v>45671</c:v>
                </c:pt>
                <c:pt idx="153">
                  <c:v>45672</c:v>
                </c:pt>
                <c:pt idx="154">
                  <c:v>45673</c:v>
                </c:pt>
                <c:pt idx="155">
                  <c:v>45674</c:v>
                </c:pt>
                <c:pt idx="156">
                  <c:v>45675</c:v>
                </c:pt>
                <c:pt idx="157">
                  <c:v>45676</c:v>
                </c:pt>
                <c:pt idx="158">
                  <c:v>45677</c:v>
                </c:pt>
                <c:pt idx="159">
                  <c:v>45678</c:v>
                </c:pt>
                <c:pt idx="160">
                  <c:v>45679</c:v>
                </c:pt>
                <c:pt idx="161">
                  <c:v>45680</c:v>
                </c:pt>
                <c:pt idx="162">
                  <c:v>45681</c:v>
                </c:pt>
                <c:pt idx="163">
                  <c:v>45682</c:v>
                </c:pt>
                <c:pt idx="164">
                  <c:v>45683</c:v>
                </c:pt>
                <c:pt idx="165">
                  <c:v>45684</c:v>
                </c:pt>
                <c:pt idx="166">
                  <c:v>45685</c:v>
                </c:pt>
                <c:pt idx="167">
                  <c:v>45686</c:v>
                </c:pt>
                <c:pt idx="168">
                  <c:v>45687</c:v>
                </c:pt>
                <c:pt idx="169">
                  <c:v>45688</c:v>
                </c:pt>
                <c:pt idx="170">
                  <c:v>45689</c:v>
                </c:pt>
                <c:pt idx="171">
                  <c:v>45690</c:v>
                </c:pt>
                <c:pt idx="172">
                  <c:v>45691</c:v>
                </c:pt>
                <c:pt idx="173">
                  <c:v>45692</c:v>
                </c:pt>
                <c:pt idx="174">
                  <c:v>45693</c:v>
                </c:pt>
                <c:pt idx="175">
                  <c:v>45694</c:v>
                </c:pt>
                <c:pt idx="176">
                  <c:v>45695</c:v>
                </c:pt>
                <c:pt idx="177">
                  <c:v>45696</c:v>
                </c:pt>
                <c:pt idx="178">
                  <c:v>45697</c:v>
                </c:pt>
                <c:pt idx="179">
                  <c:v>45698</c:v>
                </c:pt>
                <c:pt idx="180">
                  <c:v>45699</c:v>
                </c:pt>
                <c:pt idx="181">
                  <c:v>45700</c:v>
                </c:pt>
                <c:pt idx="182">
                  <c:v>45701</c:v>
                </c:pt>
                <c:pt idx="183">
                  <c:v>45702</c:v>
                </c:pt>
                <c:pt idx="184">
                  <c:v>45703</c:v>
                </c:pt>
                <c:pt idx="185">
                  <c:v>45704</c:v>
                </c:pt>
                <c:pt idx="186">
                  <c:v>45705</c:v>
                </c:pt>
                <c:pt idx="187">
                  <c:v>45706</c:v>
                </c:pt>
                <c:pt idx="188">
                  <c:v>45707</c:v>
                </c:pt>
                <c:pt idx="189">
                  <c:v>45708</c:v>
                </c:pt>
                <c:pt idx="190">
                  <c:v>45709</c:v>
                </c:pt>
                <c:pt idx="191">
                  <c:v>45710</c:v>
                </c:pt>
                <c:pt idx="192">
                  <c:v>45711</c:v>
                </c:pt>
                <c:pt idx="193">
                  <c:v>45712</c:v>
                </c:pt>
                <c:pt idx="194">
                  <c:v>45713</c:v>
                </c:pt>
                <c:pt idx="195">
                  <c:v>45714</c:v>
                </c:pt>
                <c:pt idx="196">
                  <c:v>45715</c:v>
                </c:pt>
                <c:pt idx="197">
                  <c:v>45716</c:v>
                </c:pt>
                <c:pt idx="198">
                  <c:v>45717</c:v>
                </c:pt>
                <c:pt idx="199">
                  <c:v>45718</c:v>
                </c:pt>
                <c:pt idx="200">
                  <c:v>45719</c:v>
                </c:pt>
                <c:pt idx="201">
                  <c:v>45720</c:v>
                </c:pt>
                <c:pt idx="202">
                  <c:v>45721</c:v>
                </c:pt>
                <c:pt idx="203">
                  <c:v>45722</c:v>
                </c:pt>
                <c:pt idx="204">
                  <c:v>45723</c:v>
                </c:pt>
                <c:pt idx="205">
                  <c:v>45724</c:v>
                </c:pt>
                <c:pt idx="206">
                  <c:v>45725</c:v>
                </c:pt>
                <c:pt idx="207">
                  <c:v>45726</c:v>
                </c:pt>
                <c:pt idx="208">
                  <c:v>45727</c:v>
                </c:pt>
                <c:pt idx="209">
                  <c:v>45728</c:v>
                </c:pt>
                <c:pt idx="210">
                  <c:v>45729</c:v>
                </c:pt>
                <c:pt idx="211">
                  <c:v>45730</c:v>
                </c:pt>
                <c:pt idx="212">
                  <c:v>45731</c:v>
                </c:pt>
                <c:pt idx="213">
                  <c:v>45732</c:v>
                </c:pt>
                <c:pt idx="214">
                  <c:v>45733</c:v>
                </c:pt>
                <c:pt idx="215">
                  <c:v>45734</c:v>
                </c:pt>
                <c:pt idx="216">
                  <c:v>45735</c:v>
                </c:pt>
                <c:pt idx="217">
                  <c:v>45736</c:v>
                </c:pt>
                <c:pt idx="218">
                  <c:v>45737</c:v>
                </c:pt>
                <c:pt idx="219">
                  <c:v>45738</c:v>
                </c:pt>
                <c:pt idx="220">
                  <c:v>45739</c:v>
                </c:pt>
                <c:pt idx="221">
                  <c:v>45740</c:v>
                </c:pt>
                <c:pt idx="222">
                  <c:v>45741</c:v>
                </c:pt>
                <c:pt idx="223">
                  <c:v>45742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62.70000000000001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2.4710874548403985</c:v>
                </c:pt>
                <c:pt idx="71">
                  <c:v>2.6037160655299565</c:v>
                </c:pt>
                <c:pt idx="72">
                  <c:v>2.7511552242533339</c:v>
                </c:pt>
                <c:pt idx="73">
                  <c:v>2.9007341983487138</c:v>
                </c:pt>
                <c:pt idx="74">
                  <c:v>3.0586010348339476</c:v>
                </c:pt>
                <c:pt idx="75">
                  <c:v>3.230122902241126</c:v>
                </c:pt>
                <c:pt idx="76">
                  <c:v>3.4087693981085079</c:v>
                </c:pt>
                <c:pt idx="77">
                  <c:v>3.5906747910882575</c:v>
                </c:pt>
                <c:pt idx="78">
                  <c:v>3.7830213917365287</c:v>
                </c:pt>
                <c:pt idx="79">
                  <c:v>3.9839326106276309</c:v>
                </c:pt>
                <c:pt idx="80">
                  <c:v>4.1986420278616761</c:v>
                </c:pt>
                <c:pt idx="81">
                  <c:v>4.4304982642416411</c:v>
                </c:pt>
                <c:pt idx="82">
                  <c:v>4.6682616296454436</c:v>
                </c:pt>
                <c:pt idx="83">
                  <c:v>4.9242295560357165</c:v>
                </c:pt>
                <c:pt idx="84">
                  <c:v>5.1990004860453425</c:v>
                </c:pt>
                <c:pt idx="85">
                  <c:v>5.4815900087004277</c:v>
                </c:pt>
                <c:pt idx="86">
                  <c:v>5.7867282732366707</c:v>
                </c:pt>
                <c:pt idx="87">
                  <c:v>6.1107972229799437</c:v>
                </c:pt>
                <c:pt idx="88">
                  <c:v>6.4519645915906594</c:v>
                </c:pt>
                <c:pt idx="89">
                  <c:v>6.8060592970982263</c:v>
                </c:pt>
                <c:pt idx="90">
                  <c:v>7.1778671445615583</c:v>
                </c:pt>
                <c:pt idx="91">
                  <c:v>7.5792408190403489</c:v>
                </c:pt>
                <c:pt idx="92">
                  <c:v>8.0121935151414956</c:v>
                </c:pt>
                <c:pt idx="93">
                  <c:v>8.4575290206446176</c:v>
                </c:pt>
                <c:pt idx="94">
                  <c:v>8.9149410474382176</c:v>
                </c:pt>
                <c:pt idx="95">
                  <c:v>9.3953863861122429</c:v>
                </c:pt>
                <c:pt idx="96">
                  <c:v>9.9160996096904839</c:v>
                </c:pt>
                <c:pt idx="97">
                  <c:v>10.46744569326734</c:v>
                </c:pt>
                <c:pt idx="98">
                  <c:v>11.057662353726007</c:v>
                </c:pt>
                <c:pt idx="99">
                  <c:v>11.689733766030143</c:v>
                </c:pt>
                <c:pt idx="100">
                  <c:v>12.349934589441148</c:v>
                </c:pt>
                <c:pt idx="101">
                  <c:v>13.075145914513683</c:v>
                </c:pt>
                <c:pt idx="102">
                  <c:v>13.843687838928098</c:v>
                </c:pt>
                <c:pt idx="103">
                  <c:v>14.636546219771775</c:v>
                </c:pt>
                <c:pt idx="104">
                  <c:v>15.468303182647606</c:v>
                </c:pt>
                <c:pt idx="105">
                  <c:v>16.351440945801695</c:v>
                </c:pt>
                <c:pt idx="106">
                  <c:v>17.299616792254064</c:v>
                </c:pt>
                <c:pt idx="107">
                  <c:v>18.315991540497134</c:v>
                </c:pt>
                <c:pt idx="108">
                  <c:v>19.416715797623766</c:v>
                </c:pt>
                <c:pt idx="109">
                  <c:v>20.600517155263265</c:v>
                </c:pt>
                <c:pt idx="110">
                  <c:v>21.855565382869564</c:v>
                </c:pt>
                <c:pt idx="111">
                  <c:v>23.167135567541163</c:v>
                </c:pt>
                <c:pt idx="112">
                  <c:v>24.554101290751586</c:v>
                </c:pt>
                <c:pt idx="113">
                  <c:v>25.970697551406133</c:v>
                </c:pt>
                <c:pt idx="114">
                  <c:v>27.457408031693305</c:v>
                </c:pt>
                <c:pt idx="115">
                  <c:v>29.067455290341606</c:v>
                </c:pt>
                <c:pt idx="116">
                  <c:v>30.753483726611314</c:v>
                </c:pt>
                <c:pt idx="117">
                  <c:v>32.58707374727669</c:v>
                </c:pt>
                <c:pt idx="118">
                  <c:v>34.571776103187339</c:v>
                </c:pt>
                <c:pt idx="119">
                  <c:v>36.635194299073042</c:v>
                </c:pt>
                <c:pt idx="120">
                  <c:v>38.796327527359075</c:v>
                </c:pt>
                <c:pt idx="121">
                  <c:v>41.046586518263638</c:v>
                </c:pt>
                <c:pt idx="122">
                  <c:v>43.423432914852</c:v>
                </c:pt>
                <c:pt idx="123">
                  <c:v>45.923479654789055</c:v>
                </c:pt>
                <c:pt idx="124">
                  <c:v>48.497816257620819</c:v>
                </c:pt>
                <c:pt idx="125">
                  <c:v>51.22167143462557</c:v>
                </c:pt>
                <c:pt idx="126">
                  <c:v>54.119060147203392</c:v>
                </c:pt>
                <c:pt idx="127">
                  <c:v>57.14907419884662</c:v>
                </c:pt>
                <c:pt idx="128">
                  <c:v>60.344135454926587</c:v>
                </c:pt>
                <c:pt idx="129">
                  <c:v>63.605043347886195</c:v>
                </c:pt>
                <c:pt idx="130">
                  <c:v>67.029901201382629</c:v>
                </c:pt>
                <c:pt idx="131">
                  <c:v>70.646578921253877</c:v>
                </c:pt>
                <c:pt idx="132">
                  <c:v>74.343659232565912</c:v>
                </c:pt>
                <c:pt idx="133">
                  <c:v>78.196126990635491</c:v>
                </c:pt>
                <c:pt idx="134">
                  <c:v>82.377325381983724</c:v>
                </c:pt>
                <c:pt idx="135">
                  <c:v>86.791568380242808</c:v>
                </c:pt>
                <c:pt idx="136">
                  <c:v>91.303722708218785</c:v>
                </c:pt>
                <c:pt idx="137">
                  <c:v>95.873951157373583</c:v>
                </c:pt>
                <c:pt idx="138">
                  <c:v>100.55206699268194</c:v>
                </c:pt>
                <c:pt idx="139">
                  <c:v>105.35031005100541</c:v>
                </c:pt>
                <c:pt idx="140">
                  <c:v>110.3812714731296</c:v>
                </c:pt>
                <c:pt idx="141">
                  <c:v>115.48722283377718</c:v>
                </c:pt>
                <c:pt idx="142">
                  <c:v>120.78184239515724</c:v>
                </c:pt>
                <c:pt idx="143">
                  <c:v>126.06514640942005</c:v>
                </c:pt>
                <c:pt idx="144">
                  <c:v>131.47206715088413</c:v>
                </c:pt>
                <c:pt idx="145">
                  <c:v>137.10695552514755</c:v>
                </c:pt>
                <c:pt idx="146">
                  <c:v>142.89257633260692</c:v>
                </c:pt>
                <c:pt idx="147">
                  <c:v>148.82287145448092</c:v>
                </c:pt>
                <c:pt idx="148">
                  <c:v>154.76423966053983</c:v>
                </c:pt>
                <c:pt idx="149">
                  <c:v>160.66931545047737</c:v>
                </c:pt>
                <c:pt idx="150">
                  <c:v>166.64745186805516</c:v>
                </c:pt>
                <c:pt idx="151">
                  <c:v>172.69848554816636</c:v>
                </c:pt>
                <c:pt idx="152">
                  <c:v>178.82806298076073</c:v>
                </c:pt>
                <c:pt idx="153">
                  <c:v>184.93943569274305</c:v>
                </c:pt>
                <c:pt idx="154">
                  <c:v>191.02112698435027</c:v>
                </c:pt>
                <c:pt idx="155">
                  <c:v>196.99409825285022</c:v>
                </c:pt>
                <c:pt idx="156">
                  <c:v>202.93260666707093</c:v>
                </c:pt>
                <c:pt idx="157">
                  <c:v>208.89871653600466</c:v>
                </c:pt>
                <c:pt idx="158">
                  <c:v>214.76360650823418</c:v>
                </c:pt>
                <c:pt idx="159">
                  <c:v>220.60763980018797</c:v>
                </c:pt>
                <c:pt idx="160">
                  <c:v>226.37308365755311</c:v>
                </c:pt>
                <c:pt idx="161">
                  <c:v>232.02650615633846</c:v>
                </c:pt>
                <c:pt idx="162">
                  <c:v>237.56298662024801</c:v>
                </c:pt>
                <c:pt idx="163">
                  <c:v>243.02551432747643</c:v>
                </c:pt>
                <c:pt idx="164">
                  <c:v>248.37067526357225</c:v>
                </c:pt>
                <c:pt idx="165">
                  <c:v>253.46999223653935</c:v>
                </c:pt>
                <c:pt idx="166">
                  <c:v>258.45053426250905</c:v>
                </c:pt>
                <c:pt idx="167">
                  <c:v>263.32311170122512</c:v>
                </c:pt>
                <c:pt idx="168">
                  <c:v>268.07762338830361</c:v>
                </c:pt>
                <c:pt idx="169">
                  <c:v>272.6367134681426</c:v>
                </c:pt>
                <c:pt idx="170">
                  <c:v>277.03540927670986</c:v>
                </c:pt>
                <c:pt idx="171">
                  <c:v>281.20375568460435</c:v>
                </c:pt>
                <c:pt idx="172">
                  <c:v>285.14837318803097</c:v>
                </c:pt>
                <c:pt idx="173">
                  <c:v>288.80030083857116</c:v>
                </c:pt>
                <c:pt idx="174">
                  <c:v>292.37631628210306</c:v>
                </c:pt>
                <c:pt idx="175">
                  <c:v>295.76447091353833</c:v>
                </c:pt>
                <c:pt idx="176">
                  <c:v>299.00903299147058</c:v>
                </c:pt>
                <c:pt idx="177">
                  <c:v>302.09059657533095</c:v>
                </c:pt>
                <c:pt idx="178">
                  <c:v>305.03614162805832</c:v>
                </c:pt>
                <c:pt idx="179">
                  <c:v>307.88094587572846</c:v>
                </c:pt>
                <c:pt idx="180">
                  <c:v>310.59742943252758</c:v>
                </c:pt>
                <c:pt idx="181">
                  <c:v>313.15410925589794</c:v>
                </c:pt>
                <c:pt idx="182">
                  <c:v>315.54284405471157</c:v>
                </c:pt>
                <c:pt idx="183">
                  <c:v>317.79812212745395</c:v>
                </c:pt>
                <c:pt idx="184">
                  <c:v>319.89894246784246</c:v>
                </c:pt>
                <c:pt idx="185">
                  <c:v>321.86818545469532</c:v>
                </c:pt>
                <c:pt idx="186">
                  <c:v>323.72432863710554</c:v>
                </c:pt>
                <c:pt idx="187">
                  <c:v>325.48295664337792</c:v>
                </c:pt>
                <c:pt idx="188">
                  <c:v>327.1356089866224</c:v>
                </c:pt>
                <c:pt idx="189">
                  <c:v>328.69457504501815</c:v>
                </c:pt>
                <c:pt idx="190">
                  <c:v>330.15213675655156</c:v>
                </c:pt>
                <c:pt idx="191">
                  <c:v>331.50482696789987</c:v>
                </c:pt>
                <c:pt idx="192">
                  <c:v>332.77299880308908</c:v>
                </c:pt>
                <c:pt idx="193">
                  <c:v>333.93618739995662</c:v>
                </c:pt>
                <c:pt idx="194">
                  <c:v>335.00019117166147</c:v>
                </c:pt>
                <c:pt idx="195">
                  <c:v>336.00576766168348</c:v>
                </c:pt>
                <c:pt idx="196">
                  <c:v>336.95535943347608</c:v>
                </c:pt>
                <c:pt idx="197">
                  <c:v>337.83367132176414</c:v>
                </c:pt>
                <c:pt idx="198">
                  <c:v>338.66080205432951</c:v>
                </c:pt>
                <c:pt idx="199">
                  <c:v>339.45284533823957</c:v>
                </c:pt>
                <c:pt idx="200">
                  <c:v>340.1970324468727</c:v>
                </c:pt>
                <c:pt idx="201">
                  <c:v>340.8674792953999</c:v>
                </c:pt>
                <c:pt idx="202">
                  <c:v>341.49389500225141</c:v>
                </c:pt>
                <c:pt idx="203">
                  <c:v>342.09471623802938</c:v>
                </c:pt>
                <c:pt idx="204">
                  <c:v>342.64064888202802</c:v>
                </c:pt>
                <c:pt idx="205">
                  <c:v>343.16277553121461</c:v>
                </c:pt>
                <c:pt idx="206">
                  <c:v>343.65835535291683</c:v>
                </c:pt>
                <c:pt idx="207">
                  <c:v>344.11546447852618</c:v>
                </c:pt>
                <c:pt idx="208">
                  <c:v>344.53985910431919</c:v>
                </c:pt>
                <c:pt idx="209">
                  <c:v>344.94153902144336</c:v>
                </c:pt>
                <c:pt idx="210">
                  <c:v>345.31031740522587</c:v>
                </c:pt>
                <c:pt idx="211">
                  <c:v>345.65613587398224</c:v>
                </c:pt>
                <c:pt idx="212">
                  <c:v>345.97754949174305</c:v>
                </c:pt>
                <c:pt idx="213">
                  <c:v>346.28137580197796</c:v>
                </c:pt>
                <c:pt idx="214">
                  <c:v>346.56589090903867</c:v>
                </c:pt>
                <c:pt idx="215">
                  <c:v>346.83143734474186</c:v>
                </c:pt>
                <c:pt idx="216">
                  <c:v>347.07425588505606</c:v>
                </c:pt>
                <c:pt idx="217">
                  <c:v>347.30292333072435</c:v>
                </c:pt>
                <c:pt idx="218">
                  <c:v>347.52098108690063</c:v>
                </c:pt>
                <c:pt idx="219">
                  <c:v>347.72422696635937</c:v>
                </c:pt>
                <c:pt idx="220">
                  <c:v>347.91127781438746</c:v>
                </c:pt>
                <c:pt idx="221">
                  <c:v>348.08615694478954</c:v>
                </c:pt>
                <c:pt idx="222">
                  <c:v>348.25062878745211</c:v>
                </c:pt>
                <c:pt idx="223">
                  <c:v>348.40573232936606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45519</c:v>
                </c:pt>
                <c:pt idx="1">
                  <c:v>45520</c:v>
                </c:pt>
                <c:pt idx="2">
                  <c:v>45521</c:v>
                </c:pt>
                <c:pt idx="3">
                  <c:v>45522</c:v>
                </c:pt>
                <c:pt idx="4">
                  <c:v>45523</c:v>
                </c:pt>
                <c:pt idx="5">
                  <c:v>45524</c:v>
                </c:pt>
                <c:pt idx="6">
                  <c:v>45525</c:v>
                </c:pt>
                <c:pt idx="7">
                  <c:v>45526</c:v>
                </c:pt>
                <c:pt idx="8">
                  <c:v>45527</c:v>
                </c:pt>
                <c:pt idx="9">
                  <c:v>45528</c:v>
                </c:pt>
                <c:pt idx="10">
                  <c:v>45529</c:v>
                </c:pt>
                <c:pt idx="11">
                  <c:v>45530</c:v>
                </c:pt>
                <c:pt idx="12">
                  <c:v>45531</c:v>
                </c:pt>
                <c:pt idx="13">
                  <c:v>45532</c:v>
                </c:pt>
                <c:pt idx="14">
                  <c:v>45533</c:v>
                </c:pt>
                <c:pt idx="15">
                  <c:v>45534</c:v>
                </c:pt>
                <c:pt idx="16">
                  <c:v>45535</c:v>
                </c:pt>
                <c:pt idx="17">
                  <c:v>45536</c:v>
                </c:pt>
                <c:pt idx="18">
                  <c:v>45537</c:v>
                </c:pt>
                <c:pt idx="19">
                  <c:v>45538</c:v>
                </c:pt>
                <c:pt idx="20">
                  <c:v>45539</c:v>
                </c:pt>
                <c:pt idx="21">
                  <c:v>45540</c:v>
                </c:pt>
                <c:pt idx="22">
                  <c:v>45541</c:v>
                </c:pt>
                <c:pt idx="23">
                  <c:v>45542</c:v>
                </c:pt>
                <c:pt idx="24">
                  <c:v>45543</c:v>
                </c:pt>
                <c:pt idx="25">
                  <c:v>45544</c:v>
                </c:pt>
                <c:pt idx="26">
                  <c:v>45545</c:v>
                </c:pt>
                <c:pt idx="27">
                  <c:v>45546</c:v>
                </c:pt>
                <c:pt idx="28">
                  <c:v>45547</c:v>
                </c:pt>
                <c:pt idx="29">
                  <c:v>45548</c:v>
                </c:pt>
                <c:pt idx="30">
                  <c:v>45549</c:v>
                </c:pt>
                <c:pt idx="31">
                  <c:v>45550</c:v>
                </c:pt>
                <c:pt idx="32">
                  <c:v>45551</c:v>
                </c:pt>
                <c:pt idx="33">
                  <c:v>45552</c:v>
                </c:pt>
                <c:pt idx="34">
                  <c:v>45553</c:v>
                </c:pt>
                <c:pt idx="35">
                  <c:v>45554</c:v>
                </c:pt>
                <c:pt idx="36">
                  <c:v>45555</c:v>
                </c:pt>
                <c:pt idx="37">
                  <c:v>45556</c:v>
                </c:pt>
                <c:pt idx="38">
                  <c:v>45557</c:v>
                </c:pt>
                <c:pt idx="39">
                  <c:v>45558</c:v>
                </c:pt>
                <c:pt idx="40">
                  <c:v>45559</c:v>
                </c:pt>
                <c:pt idx="41">
                  <c:v>45560</c:v>
                </c:pt>
                <c:pt idx="42">
                  <c:v>45561</c:v>
                </c:pt>
                <c:pt idx="43">
                  <c:v>45562</c:v>
                </c:pt>
                <c:pt idx="44">
                  <c:v>45563</c:v>
                </c:pt>
                <c:pt idx="45">
                  <c:v>45564</c:v>
                </c:pt>
                <c:pt idx="46">
                  <c:v>45565</c:v>
                </c:pt>
                <c:pt idx="47">
                  <c:v>45566</c:v>
                </c:pt>
                <c:pt idx="48">
                  <c:v>45567</c:v>
                </c:pt>
                <c:pt idx="49">
                  <c:v>45568</c:v>
                </c:pt>
                <c:pt idx="50">
                  <c:v>45569</c:v>
                </c:pt>
                <c:pt idx="51">
                  <c:v>45570</c:v>
                </c:pt>
                <c:pt idx="52">
                  <c:v>45571</c:v>
                </c:pt>
                <c:pt idx="53">
                  <c:v>45572</c:v>
                </c:pt>
                <c:pt idx="54">
                  <c:v>45573</c:v>
                </c:pt>
                <c:pt idx="55">
                  <c:v>45574</c:v>
                </c:pt>
                <c:pt idx="56">
                  <c:v>45575</c:v>
                </c:pt>
                <c:pt idx="57">
                  <c:v>45576</c:v>
                </c:pt>
                <c:pt idx="58">
                  <c:v>45577</c:v>
                </c:pt>
                <c:pt idx="59">
                  <c:v>45578</c:v>
                </c:pt>
                <c:pt idx="60">
                  <c:v>45579</c:v>
                </c:pt>
                <c:pt idx="61">
                  <c:v>45580</c:v>
                </c:pt>
                <c:pt idx="62">
                  <c:v>45581</c:v>
                </c:pt>
                <c:pt idx="63">
                  <c:v>45582</c:v>
                </c:pt>
                <c:pt idx="64">
                  <c:v>45583</c:v>
                </c:pt>
                <c:pt idx="65">
                  <c:v>45584</c:v>
                </c:pt>
                <c:pt idx="66">
                  <c:v>45585</c:v>
                </c:pt>
                <c:pt idx="67">
                  <c:v>45586</c:v>
                </c:pt>
                <c:pt idx="68">
                  <c:v>45587</c:v>
                </c:pt>
                <c:pt idx="69">
                  <c:v>45588</c:v>
                </c:pt>
                <c:pt idx="70">
                  <c:v>45589</c:v>
                </c:pt>
                <c:pt idx="71">
                  <c:v>45590</c:v>
                </c:pt>
                <c:pt idx="72">
                  <c:v>45591</c:v>
                </c:pt>
                <c:pt idx="73">
                  <c:v>45592</c:v>
                </c:pt>
                <c:pt idx="74">
                  <c:v>45593</c:v>
                </c:pt>
                <c:pt idx="75">
                  <c:v>45594</c:v>
                </c:pt>
                <c:pt idx="76">
                  <c:v>45595</c:v>
                </c:pt>
                <c:pt idx="77">
                  <c:v>45596</c:v>
                </c:pt>
                <c:pt idx="78">
                  <c:v>45597</c:v>
                </c:pt>
                <c:pt idx="79">
                  <c:v>45598</c:v>
                </c:pt>
                <c:pt idx="80">
                  <c:v>45599</c:v>
                </c:pt>
                <c:pt idx="81">
                  <c:v>45600</c:v>
                </c:pt>
                <c:pt idx="82">
                  <c:v>45601</c:v>
                </c:pt>
                <c:pt idx="83">
                  <c:v>45602</c:v>
                </c:pt>
                <c:pt idx="84">
                  <c:v>45603</c:v>
                </c:pt>
                <c:pt idx="85">
                  <c:v>45604</c:v>
                </c:pt>
                <c:pt idx="86">
                  <c:v>45605</c:v>
                </c:pt>
                <c:pt idx="87">
                  <c:v>45606</c:v>
                </c:pt>
                <c:pt idx="88">
                  <c:v>45607</c:v>
                </c:pt>
                <c:pt idx="89">
                  <c:v>45608</c:v>
                </c:pt>
                <c:pt idx="90">
                  <c:v>45609</c:v>
                </c:pt>
                <c:pt idx="91">
                  <c:v>45610</c:v>
                </c:pt>
                <c:pt idx="92">
                  <c:v>45611</c:v>
                </c:pt>
                <c:pt idx="93">
                  <c:v>45612</c:v>
                </c:pt>
                <c:pt idx="94">
                  <c:v>45613</c:v>
                </c:pt>
                <c:pt idx="95">
                  <c:v>45614</c:v>
                </c:pt>
                <c:pt idx="96">
                  <c:v>45615</c:v>
                </c:pt>
                <c:pt idx="97">
                  <c:v>45616</c:v>
                </c:pt>
                <c:pt idx="98">
                  <c:v>45617</c:v>
                </c:pt>
                <c:pt idx="99">
                  <c:v>45618</c:v>
                </c:pt>
                <c:pt idx="100">
                  <c:v>45619</c:v>
                </c:pt>
                <c:pt idx="101">
                  <c:v>45620</c:v>
                </c:pt>
                <c:pt idx="102">
                  <c:v>45621</c:v>
                </c:pt>
                <c:pt idx="103">
                  <c:v>45622</c:v>
                </c:pt>
                <c:pt idx="104">
                  <c:v>45623</c:v>
                </c:pt>
                <c:pt idx="105">
                  <c:v>45624</c:v>
                </c:pt>
                <c:pt idx="106">
                  <c:v>45625</c:v>
                </c:pt>
                <c:pt idx="107">
                  <c:v>45626</c:v>
                </c:pt>
                <c:pt idx="108">
                  <c:v>45627</c:v>
                </c:pt>
                <c:pt idx="109">
                  <c:v>45628</c:v>
                </c:pt>
                <c:pt idx="110">
                  <c:v>45629</c:v>
                </c:pt>
                <c:pt idx="111">
                  <c:v>45630</c:v>
                </c:pt>
                <c:pt idx="112">
                  <c:v>45631</c:v>
                </c:pt>
                <c:pt idx="113">
                  <c:v>45632</c:v>
                </c:pt>
                <c:pt idx="114">
                  <c:v>45633</c:v>
                </c:pt>
                <c:pt idx="115">
                  <c:v>45634</c:v>
                </c:pt>
                <c:pt idx="116">
                  <c:v>45635</c:v>
                </c:pt>
                <c:pt idx="117">
                  <c:v>45636</c:v>
                </c:pt>
                <c:pt idx="118">
                  <c:v>45637</c:v>
                </c:pt>
                <c:pt idx="119">
                  <c:v>45638</c:v>
                </c:pt>
                <c:pt idx="120">
                  <c:v>45639</c:v>
                </c:pt>
                <c:pt idx="121">
                  <c:v>45640</c:v>
                </c:pt>
                <c:pt idx="122">
                  <c:v>45641</c:v>
                </c:pt>
                <c:pt idx="123">
                  <c:v>45642</c:v>
                </c:pt>
                <c:pt idx="124">
                  <c:v>45643</c:v>
                </c:pt>
                <c:pt idx="125">
                  <c:v>45644</c:v>
                </c:pt>
                <c:pt idx="126">
                  <c:v>45645</c:v>
                </c:pt>
                <c:pt idx="127">
                  <c:v>45646</c:v>
                </c:pt>
                <c:pt idx="128">
                  <c:v>45647</c:v>
                </c:pt>
                <c:pt idx="129">
                  <c:v>45648</c:v>
                </c:pt>
                <c:pt idx="130">
                  <c:v>45649</c:v>
                </c:pt>
                <c:pt idx="131">
                  <c:v>45650</c:v>
                </c:pt>
                <c:pt idx="132">
                  <c:v>45651</c:v>
                </c:pt>
                <c:pt idx="133">
                  <c:v>45652</c:v>
                </c:pt>
                <c:pt idx="134">
                  <c:v>45653</c:v>
                </c:pt>
                <c:pt idx="135">
                  <c:v>45654</c:v>
                </c:pt>
                <c:pt idx="136">
                  <c:v>45655</c:v>
                </c:pt>
                <c:pt idx="137">
                  <c:v>45656</c:v>
                </c:pt>
                <c:pt idx="138">
                  <c:v>45657</c:v>
                </c:pt>
                <c:pt idx="139">
                  <c:v>45658</c:v>
                </c:pt>
                <c:pt idx="140">
                  <c:v>45659</c:v>
                </c:pt>
                <c:pt idx="141">
                  <c:v>45660</c:v>
                </c:pt>
                <c:pt idx="142">
                  <c:v>45661</c:v>
                </c:pt>
                <c:pt idx="143">
                  <c:v>45662</c:v>
                </c:pt>
                <c:pt idx="144">
                  <c:v>45663</c:v>
                </c:pt>
                <c:pt idx="145">
                  <c:v>45664</c:v>
                </c:pt>
                <c:pt idx="146">
                  <c:v>45665</c:v>
                </c:pt>
                <c:pt idx="147">
                  <c:v>45666</c:v>
                </c:pt>
                <c:pt idx="148">
                  <c:v>45667</c:v>
                </c:pt>
                <c:pt idx="149">
                  <c:v>45668</c:v>
                </c:pt>
                <c:pt idx="150">
                  <c:v>45669</c:v>
                </c:pt>
                <c:pt idx="151">
                  <c:v>45670</c:v>
                </c:pt>
                <c:pt idx="152">
                  <c:v>45671</c:v>
                </c:pt>
                <c:pt idx="153">
                  <c:v>45672</c:v>
                </c:pt>
                <c:pt idx="154">
                  <c:v>45673</c:v>
                </c:pt>
                <c:pt idx="155">
                  <c:v>45674</c:v>
                </c:pt>
                <c:pt idx="156">
                  <c:v>45675</c:v>
                </c:pt>
                <c:pt idx="157">
                  <c:v>45676</c:v>
                </c:pt>
                <c:pt idx="158">
                  <c:v>45677</c:v>
                </c:pt>
                <c:pt idx="159">
                  <c:v>45678</c:v>
                </c:pt>
                <c:pt idx="160">
                  <c:v>45679</c:v>
                </c:pt>
                <c:pt idx="161">
                  <c:v>45680</c:v>
                </c:pt>
                <c:pt idx="162">
                  <c:v>45681</c:v>
                </c:pt>
                <c:pt idx="163">
                  <c:v>45682</c:v>
                </c:pt>
                <c:pt idx="164">
                  <c:v>45683</c:v>
                </c:pt>
                <c:pt idx="165">
                  <c:v>45684</c:v>
                </c:pt>
                <c:pt idx="166">
                  <c:v>45685</c:v>
                </c:pt>
                <c:pt idx="167">
                  <c:v>45686</c:v>
                </c:pt>
                <c:pt idx="168">
                  <c:v>45687</c:v>
                </c:pt>
                <c:pt idx="169">
                  <c:v>45688</c:v>
                </c:pt>
                <c:pt idx="170">
                  <c:v>45689</c:v>
                </c:pt>
                <c:pt idx="171">
                  <c:v>45690</c:v>
                </c:pt>
                <c:pt idx="172">
                  <c:v>45691</c:v>
                </c:pt>
                <c:pt idx="173">
                  <c:v>45692</c:v>
                </c:pt>
                <c:pt idx="174">
                  <c:v>45693</c:v>
                </c:pt>
                <c:pt idx="175">
                  <c:v>45694</c:v>
                </c:pt>
                <c:pt idx="176">
                  <c:v>45695</c:v>
                </c:pt>
                <c:pt idx="177">
                  <c:v>45696</c:v>
                </c:pt>
                <c:pt idx="178">
                  <c:v>45697</c:v>
                </c:pt>
                <c:pt idx="179">
                  <c:v>45698</c:v>
                </c:pt>
                <c:pt idx="180">
                  <c:v>45699</c:v>
                </c:pt>
                <c:pt idx="181">
                  <c:v>45700</c:v>
                </c:pt>
                <c:pt idx="182">
                  <c:v>45701</c:v>
                </c:pt>
                <c:pt idx="183">
                  <c:v>45702</c:v>
                </c:pt>
                <c:pt idx="184">
                  <c:v>45703</c:v>
                </c:pt>
                <c:pt idx="185">
                  <c:v>45704</c:v>
                </c:pt>
                <c:pt idx="186">
                  <c:v>45705</c:v>
                </c:pt>
                <c:pt idx="187">
                  <c:v>45706</c:v>
                </c:pt>
                <c:pt idx="188">
                  <c:v>45707</c:v>
                </c:pt>
                <c:pt idx="189">
                  <c:v>45708</c:v>
                </c:pt>
                <c:pt idx="190">
                  <c:v>45709</c:v>
                </c:pt>
                <c:pt idx="191">
                  <c:v>45710</c:v>
                </c:pt>
                <c:pt idx="192">
                  <c:v>45711</c:v>
                </c:pt>
                <c:pt idx="193">
                  <c:v>45712</c:v>
                </c:pt>
                <c:pt idx="194">
                  <c:v>45713</c:v>
                </c:pt>
                <c:pt idx="195">
                  <c:v>45714</c:v>
                </c:pt>
                <c:pt idx="196">
                  <c:v>45715</c:v>
                </c:pt>
                <c:pt idx="197">
                  <c:v>45716</c:v>
                </c:pt>
                <c:pt idx="198">
                  <c:v>45717</c:v>
                </c:pt>
                <c:pt idx="199">
                  <c:v>45718</c:v>
                </c:pt>
                <c:pt idx="200">
                  <c:v>45719</c:v>
                </c:pt>
                <c:pt idx="201">
                  <c:v>45720</c:v>
                </c:pt>
                <c:pt idx="202">
                  <c:v>45721</c:v>
                </c:pt>
                <c:pt idx="203">
                  <c:v>45722</c:v>
                </c:pt>
                <c:pt idx="204">
                  <c:v>45723</c:v>
                </c:pt>
                <c:pt idx="205">
                  <c:v>45724</c:v>
                </c:pt>
                <c:pt idx="206">
                  <c:v>45725</c:v>
                </c:pt>
                <c:pt idx="207">
                  <c:v>45726</c:v>
                </c:pt>
                <c:pt idx="208">
                  <c:v>45727</c:v>
                </c:pt>
                <c:pt idx="209">
                  <c:v>45728</c:v>
                </c:pt>
                <c:pt idx="210">
                  <c:v>45729</c:v>
                </c:pt>
                <c:pt idx="211">
                  <c:v>45730</c:v>
                </c:pt>
                <c:pt idx="212">
                  <c:v>45731</c:v>
                </c:pt>
                <c:pt idx="213">
                  <c:v>45732</c:v>
                </c:pt>
                <c:pt idx="214">
                  <c:v>45733</c:v>
                </c:pt>
                <c:pt idx="215">
                  <c:v>45734</c:v>
                </c:pt>
                <c:pt idx="216">
                  <c:v>45735</c:v>
                </c:pt>
                <c:pt idx="217">
                  <c:v>45736</c:v>
                </c:pt>
                <c:pt idx="218">
                  <c:v>45737</c:v>
                </c:pt>
                <c:pt idx="219">
                  <c:v>45738</c:v>
                </c:pt>
                <c:pt idx="220">
                  <c:v>45739</c:v>
                </c:pt>
                <c:pt idx="221">
                  <c:v>45740</c:v>
                </c:pt>
                <c:pt idx="222">
                  <c:v>45741</c:v>
                </c:pt>
                <c:pt idx="223">
                  <c:v>45742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75.476037240937032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75.551525841781185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75.614217737865161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45519</c:v>
                </c:pt>
                <c:pt idx="1">
                  <c:v>45520</c:v>
                </c:pt>
                <c:pt idx="2">
                  <c:v>45521</c:v>
                </c:pt>
                <c:pt idx="3">
                  <c:v>45522</c:v>
                </c:pt>
                <c:pt idx="4">
                  <c:v>45523</c:v>
                </c:pt>
                <c:pt idx="5">
                  <c:v>45524</c:v>
                </c:pt>
                <c:pt idx="6">
                  <c:v>45525</c:v>
                </c:pt>
                <c:pt idx="7">
                  <c:v>45526</c:v>
                </c:pt>
                <c:pt idx="8">
                  <c:v>45527</c:v>
                </c:pt>
                <c:pt idx="9">
                  <c:v>45528</c:v>
                </c:pt>
                <c:pt idx="10">
                  <c:v>45529</c:v>
                </c:pt>
                <c:pt idx="11">
                  <c:v>45530</c:v>
                </c:pt>
                <c:pt idx="12">
                  <c:v>45531</c:v>
                </c:pt>
                <c:pt idx="13">
                  <c:v>45532</c:v>
                </c:pt>
                <c:pt idx="14">
                  <c:v>45533</c:v>
                </c:pt>
                <c:pt idx="15">
                  <c:v>45534</c:v>
                </c:pt>
                <c:pt idx="16">
                  <c:v>45535</c:v>
                </c:pt>
                <c:pt idx="17">
                  <c:v>45536</c:v>
                </c:pt>
                <c:pt idx="18">
                  <c:v>45537</c:v>
                </c:pt>
                <c:pt idx="19">
                  <c:v>45538</c:v>
                </c:pt>
                <c:pt idx="20">
                  <c:v>45539</c:v>
                </c:pt>
                <c:pt idx="21">
                  <c:v>45540</c:v>
                </c:pt>
                <c:pt idx="22">
                  <c:v>45541</c:v>
                </c:pt>
                <c:pt idx="23">
                  <c:v>45542</c:v>
                </c:pt>
                <c:pt idx="24">
                  <c:v>45543</c:v>
                </c:pt>
                <c:pt idx="25">
                  <c:v>45544</c:v>
                </c:pt>
                <c:pt idx="26">
                  <c:v>45545</c:v>
                </c:pt>
                <c:pt idx="27">
                  <c:v>45546</c:v>
                </c:pt>
                <c:pt idx="28">
                  <c:v>45547</c:v>
                </c:pt>
                <c:pt idx="29">
                  <c:v>45548</c:v>
                </c:pt>
                <c:pt idx="30">
                  <c:v>45549</c:v>
                </c:pt>
                <c:pt idx="31">
                  <c:v>45550</c:v>
                </c:pt>
                <c:pt idx="32">
                  <c:v>45551</c:v>
                </c:pt>
                <c:pt idx="33">
                  <c:v>45552</c:v>
                </c:pt>
                <c:pt idx="34">
                  <c:v>45553</c:v>
                </c:pt>
                <c:pt idx="35">
                  <c:v>45554</c:v>
                </c:pt>
                <c:pt idx="36">
                  <c:v>45555</c:v>
                </c:pt>
                <c:pt idx="37">
                  <c:v>45556</c:v>
                </c:pt>
                <c:pt idx="38">
                  <c:v>45557</c:v>
                </c:pt>
                <c:pt idx="39">
                  <c:v>45558</c:v>
                </c:pt>
                <c:pt idx="40">
                  <c:v>45559</c:v>
                </c:pt>
                <c:pt idx="41">
                  <c:v>45560</c:v>
                </c:pt>
                <c:pt idx="42">
                  <c:v>45561</c:v>
                </c:pt>
                <c:pt idx="43">
                  <c:v>45562</c:v>
                </c:pt>
                <c:pt idx="44">
                  <c:v>45563</c:v>
                </c:pt>
                <c:pt idx="45">
                  <c:v>45564</c:v>
                </c:pt>
                <c:pt idx="46">
                  <c:v>45565</c:v>
                </c:pt>
                <c:pt idx="47">
                  <c:v>45566</c:v>
                </c:pt>
                <c:pt idx="48">
                  <c:v>45567</c:v>
                </c:pt>
                <c:pt idx="49">
                  <c:v>45568</c:v>
                </c:pt>
                <c:pt idx="50">
                  <c:v>45569</c:v>
                </c:pt>
                <c:pt idx="51">
                  <c:v>45570</c:v>
                </c:pt>
                <c:pt idx="52">
                  <c:v>45571</c:v>
                </c:pt>
                <c:pt idx="53">
                  <c:v>45572</c:v>
                </c:pt>
                <c:pt idx="54">
                  <c:v>45573</c:v>
                </c:pt>
                <c:pt idx="55">
                  <c:v>45574</c:v>
                </c:pt>
                <c:pt idx="56">
                  <c:v>45575</c:v>
                </c:pt>
                <c:pt idx="57">
                  <c:v>45576</c:v>
                </c:pt>
                <c:pt idx="58">
                  <c:v>45577</c:v>
                </c:pt>
                <c:pt idx="59">
                  <c:v>45578</c:v>
                </c:pt>
                <c:pt idx="60">
                  <c:v>45579</c:v>
                </c:pt>
                <c:pt idx="61">
                  <c:v>45580</c:v>
                </c:pt>
                <c:pt idx="62">
                  <c:v>45581</c:v>
                </c:pt>
                <c:pt idx="63">
                  <c:v>45582</c:v>
                </c:pt>
                <c:pt idx="64">
                  <c:v>45583</c:v>
                </c:pt>
                <c:pt idx="65">
                  <c:v>45584</c:v>
                </c:pt>
                <c:pt idx="66">
                  <c:v>45585</c:v>
                </c:pt>
                <c:pt idx="67">
                  <c:v>45586</c:v>
                </c:pt>
                <c:pt idx="68">
                  <c:v>45587</c:v>
                </c:pt>
                <c:pt idx="69">
                  <c:v>45588</c:v>
                </c:pt>
                <c:pt idx="70">
                  <c:v>45589</c:v>
                </c:pt>
                <c:pt idx="71">
                  <c:v>45590</c:v>
                </c:pt>
                <c:pt idx="72">
                  <c:v>45591</c:v>
                </c:pt>
                <c:pt idx="73">
                  <c:v>45592</c:v>
                </c:pt>
                <c:pt idx="74">
                  <c:v>45593</c:v>
                </c:pt>
                <c:pt idx="75">
                  <c:v>45594</c:v>
                </c:pt>
                <c:pt idx="76">
                  <c:v>45595</c:v>
                </c:pt>
                <c:pt idx="77">
                  <c:v>45596</c:v>
                </c:pt>
                <c:pt idx="78">
                  <c:v>45597</c:v>
                </c:pt>
                <c:pt idx="79">
                  <c:v>45598</c:v>
                </c:pt>
                <c:pt idx="80">
                  <c:v>45599</c:v>
                </c:pt>
                <c:pt idx="81">
                  <c:v>45600</c:v>
                </c:pt>
                <c:pt idx="82">
                  <c:v>45601</c:v>
                </c:pt>
                <c:pt idx="83">
                  <c:v>45602</c:v>
                </c:pt>
                <c:pt idx="84">
                  <c:v>45603</c:v>
                </c:pt>
                <c:pt idx="85">
                  <c:v>45604</c:v>
                </c:pt>
                <c:pt idx="86">
                  <c:v>45605</c:v>
                </c:pt>
                <c:pt idx="87">
                  <c:v>45606</c:v>
                </c:pt>
                <c:pt idx="88">
                  <c:v>45607</c:v>
                </c:pt>
                <c:pt idx="89">
                  <c:v>45608</c:v>
                </c:pt>
                <c:pt idx="90">
                  <c:v>45609</c:v>
                </c:pt>
                <c:pt idx="91">
                  <c:v>45610</c:v>
                </c:pt>
                <c:pt idx="92">
                  <c:v>45611</c:v>
                </c:pt>
                <c:pt idx="93">
                  <c:v>45612</c:v>
                </c:pt>
                <c:pt idx="94">
                  <c:v>45613</c:v>
                </c:pt>
                <c:pt idx="95">
                  <c:v>45614</c:v>
                </c:pt>
                <c:pt idx="96">
                  <c:v>45615</c:v>
                </c:pt>
                <c:pt idx="97">
                  <c:v>45616</c:v>
                </c:pt>
                <c:pt idx="98">
                  <c:v>45617</c:v>
                </c:pt>
                <c:pt idx="99">
                  <c:v>45618</c:v>
                </c:pt>
                <c:pt idx="100">
                  <c:v>45619</c:v>
                </c:pt>
                <c:pt idx="101">
                  <c:v>45620</c:v>
                </c:pt>
                <c:pt idx="102">
                  <c:v>45621</c:v>
                </c:pt>
                <c:pt idx="103">
                  <c:v>45622</c:v>
                </c:pt>
                <c:pt idx="104">
                  <c:v>45623</c:v>
                </c:pt>
                <c:pt idx="105">
                  <c:v>45624</c:v>
                </c:pt>
                <c:pt idx="106">
                  <c:v>45625</c:v>
                </c:pt>
                <c:pt idx="107">
                  <c:v>45626</c:v>
                </c:pt>
                <c:pt idx="108">
                  <c:v>45627</c:v>
                </c:pt>
                <c:pt idx="109">
                  <c:v>45628</c:v>
                </c:pt>
                <c:pt idx="110">
                  <c:v>45629</c:v>
                </c:pt>
                <c:pt idx="111">
                  <c:v>45630</c:v>
                </c:pt>
                <c:pt idx="112">
                  <c:v>45631</c:v>
                </c:pt>
                <c:pt idx="113">
                  <c:v>45632</c:v>
                </c:pt>
                <c:pt idx="114">
                  <c:v>45633</c:v>
                </c:pt>
                <c:pt idx="115">
                  <c:v>45634</c:v>
                </c:pt>
                <c:pt idx="116">
                  <c:v>45635</c:v>
                </c:pt>
                <c:pt idx="117">
                  <c:v>45636</c:v>
                </c:pt>
                <c:pt idx="118">
                  <c:v>45637</c:v>
                </c:pt>
                <c:pt idx="119">
                  <c:v>45638</c:v>
                </c:pt>
                <c:pt idx="120">
                  <c:v>45639</c:v>
                </c:pt>
                <c:pt idx="121">
                  <c:v>45640</c:v>
                </c:pt>
                <c:pt idx="122">
                  <c:v>45641</c:v>
                </c:pt>
                <c:pt idx="123">
                  <c:v>45642</c:v>
                </c:pt>
                <c:pt idx="124">
                  <c:v>45643</c:v>
                </c:pt>
                <c:pt idx="125">
                  <c:v>45644</c:v>
                </c:pt>
                <c:pt idx="126">
                  <c:v>45645</c:v>
                </c:pt>
                <c:pt idx="127">
                  <c:v>45646</c:v>
                </c:pt>
                <c:pt idx="128">
                  <c:v>45647</c:v>
                </c:pt>
                <c:pt idx="129">
                  <c:v>45648</c:v>
                </c:pt>
                <c:pt idx="130">
                  <c:v>45649</c:v>
                </c:pt>
                <c:pt idx="131">
                  <c:v>45650</c:v>
                </c:pt>
                <c:pt idx="132">
                  <c:v>45651</c:v>
                </c:pt>
                <c:pt idx="133">
                  <c:v>45652</c:v>
                </c:pt>
                <c:pt idx="134">
                  <c:v>45653</c:v>
                </c:pt>
                <c:pt idx="135">
                  <c:v>45654</c:v>
                </c:pt>
                <c:pt idx="136">
                  <c:v>45655</c:v>
                </c:pt>
                <c:pt idx="137">
                  <c:v>45656</c:v>
                </c:pt>
                <c:pt idx="138">
                  <c:v>45657</c:v>
                </c:pt>
                <c:pt idx="139">
                  <c:v>45658</c:v>
                </c:pt>
                <c:pt idx="140">
                  <c:v>45659</c:v>
                </c:pt>
                <c:pt idx="141">
                  <c:v>45660</c:v>
                </c:pt>
                <c:pt idx="142">
                  <c:v>45661</c:v>
                </c:pt>
                <c:pt idx="143">
                  <c:v>45662</c:v>
                </c:pt>
                <c:pt idx="144">
                  <c:v>45663</c:v>
                </c:pt>
                <c:pt idx="145">
                  <c:v>45664</c:v>
                </c:pt>
                <c:pt idx="146">
                  <c:v>45665</c:v>
                </c:pt>
                <c:pt idx="147">
                  <c:v>45666</c:v>
                </c:pt>
                <c:pt idx="148">
                  <c:v>45667</c:v>
                </c:pt>
                <c:pt idx="149">
                  <c:v>45668</c:v>
                </c:pt>
                <c:pt idx="150">
                  <c:v>45669</c:v>
                </c:pt>
                <c:pt idx="151">
                  <c:v>45670</c:v>
                </c:pt>
                <c:pt idx="152">
                  <c:v>45671</c:v>
                </c:pt>
                <c:pt idx="153">
                  <c:v>45672</c:v>
                </c:pt>
                <c:pt idx="154">
                  <c:v>45673</c:v>
                </c:pt>
                <c:pt idx="155">
                  <c:v>45674</c:v>
                </c:pt>
                <c:pt idx="156">
                  <c:v>45675</c:v>
                </c:pt>
                <c:pt idx="157">
                  <c:v>45676</c:v>
                </c:pt>
                <c:pt idx="158">
                  <c:v>45677</c:v>
                </c:pt>
                <c:pt idx="159">
                  <c:v>45678</c:v>
                </c:pt>
                <c:pt idx="160">
                  <c:v>45679</c:v>
                </c:pt>
                <c:pt idx="161">
                  <c:v>45680</c:v>
                </c:pt>
                <c:pt idx="162">
                  <c:v>45681</c:v>
                </c:pt>
                <c:pt idx="163">
                  <c:v>45682</c:v>
                </c:pt>
                <c:pt idx="164">
                  <c:v>45683</c:v>
                </c:pt>
                <c:pt idx="165">
                  <c:v>45684</c:v>
                </c:pt>
                <c:pt idx="166">
                  <c:v>45685</c:v>
                </c:pt>
                <c:pt idx="167">
                  <c:v>45686</c:v>
                </c:pt>
                <c:pt idx="168">
                  <c:v>45687</c:v>
                </c:pt>
                <c:pt idx="169">
                  <c:v>45688</c:v>
                </c:pt>
                <c:pt idx="170">
                  <c:v>45689</c:v>
                </c:pt>
                <c:pt idx="171">
                  <c:v>45690</c:v>
                </c:pt>
                <c:pt idx="172">
                  <c:v>45691</c:v>
                </c:pt>
                <c:pt idx="173">
                  <c:v>45692</c:v>
                </c:pt>
                <c:pt idx="174">
                  <c:v>45693</c:v>
                </c:pt>
                <c:pt idx="175">
                  <c:v>45694</c:v>
                </c:pt>
                <c:pt idx="176">
                  <c:v>45695</c:v>
                </c:pt>
                <c:pt idx="177">
                  <c:v>45696</c:v>
                </c:pt>
                <c:pt idx="178">
                  <c:v>45697</c:v>
                </c:pt>
                <c:pt idx="179">
                  <c:v>45698</c:v>
                </c:pt>
                <c:pt idx="180">
                  <c:v>45699</c:v>
                </c:pt>
                <c:pt idx="181">
                  <c:v>45700</c:v>
                </c:pt>
                <c:pt idx="182">
                  <c:v>45701</c:v>
                </c:pt>
                <c:pt idx="183">
                  <c:v>45702</c:v>
                </c:pt>
                <c:pt idx="184">
                  <c:v>45703</c:v>
                </c:pt>
                <c:pt idx="185">
                  <c:v>45704</c:v>
                </c:pt>
                <c:pt idx="186">
                  <c:v>45705</c:v>
                </c:pt>
                <c:pt idx="187">
                  <c:v>45706</c:v>
                </c:pt>
                <c:pt idx="188">
                  <c:v>45707</c:v>
                </c:pt>
                <c:pt idx="189">
                  <c:v>45708</c:v>
                </c:pt>
                <c:pt idx="190">
                  <c:v>45709</c:v>
                </c:pt>
                <c:pt idx="191">
                  <c:v>45710</c:v>
                </c:pt>
                <c:pt idx="192">
                  <c:v>45711</c:v>
                </c:pt>
                <c:pt idx="193">
                  <c:v>45712</c:v>
                </c:pt>
                <c:pt idx="194">
                  <c:v>45713</c:v>
                </c:pt>
                <c:pt idx="195">
                  <c:v>45714</c:v>
                </c:pt>
                <c:pt idx="196">
                  <c:v>45715</c:v>
                </c:pt>
                <c:pt idx="197">
                  <c:v>45716</c:v>
                </c:pt>
                <c:pt idx="198">
                  <c:v>45717</c:v>
                </c:pt>
                <c:pt idx="199">
                  <c:v>45718</c:v>
                </c:pt>
                <c:pt idx="200">
                  <c:v>45719</c:v>
                </c:pt>
                <c:pt idx="201">
                  <c:v>45720</c:v>
                </c:pt>
                <c:pt idx="202">
                  <c:v>45721</c:v>
                </c:pt>
                <c:pt idx="203">
                  <c:v>45722</c:v>
                </c:pt>
                <c:pt idx="204">
                  <c:v>45723</c:v>
                </c:pt>
                <c:pt idx="205">
                  <c:v>45724</c:v>
                </c:pt>
                <c:pt idx="206">
                  <c:v>45725</c:v>
                </c:pt>
                <c:pt idx="207">
                  <c:v>45726</c:v>
                </c:pt>
                <c:pt idx="208">
                  <c:v>45727</c:v>
                </c:pt>
                <c:pt idx="209">
                  <c:v>45728</c:v>
                </c:pt>
                <c:pt idx="210">
                  <c:v>45729</c:v>
                </c:pt>
                <c:pt idx="211">
                  <c:v>45730</c:v>
                </c:pt>
                <c:pt idx="212">
                  <c:v>45731</c:v>
                </c:pt>
                <c:pt idx="213">
                  <c:v>45732</c:v>
                </c:pt>
                <c:pt idx="214">
                  <c:v>45733</c:v>
                </c:pt>
                <c:pt idx="215">
                  <c:v>45734</c:v>
                </c:pt>
                <c:pt idx="216">
                  <c:v>45735</c:v>
                </c:pt>
                <c:pt idx="217">
                  <c:v>45736</c:v>
                </c:pt>
                <c:pt idx="218">
                  <c:v>45737</c:v>
                </c:pt>
                <c:pt idx="219">
                  <c:v>45738</c:v>
                </c:pt>
                <c:pt idx="220">
                  <c:v>45739</c:v>
                </c:pt>
                <c:pt idx="221">
                  <c:v>45740</c:v>
                </c:pt>
                <c:pt idx="222">
                  <c:v>45741</c:v>
                </c:pt>
                <c:pt idx="223">
                  <c:v>45742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50.589124697927666</c:v>
                </c:pt>
                <c:pt idx="2">
                  <c:v>51.207592486389814</c:v>
                </c:pt>
                <c:pt idx="3">
                  <c:v>51.692920370469388</c:v>
                </c:pt>
                <c:pt idx="4">
                  <c:v>51.51631387091183</c:v>
                </c:pt>
                <c:pt idx="5">
                  <c:v>51.611227242036833</c:v>
                </c:pt>
                <c:pt idx="6">
                  <c:v>51.773489596462717</c:v>
                </c:pt>
                <c:pt idx="7">
                  <c:v>52.195081547704184</c:v>
                </c:pt>
                <c:pt idx="8">
                  <c:v>52.621218506871024</c:v>
                </c:pt>
                <c:pt idx="9">
                  <c:v>51.927801846267229</c:v>
                </c:pt>
                <c:pt idx="10">
                  <c:v>52.024870072008795</c:v>
                </c:pt>
                <c:pt idx="11">
                  <c:v>52.601138896390005</c:v>
                </c:pt>
                <c:pt idx="12">
                  <c:v>53.334830094746358</c:v>
                </c:pt>
                <c:pt idx="13">
                  <c:v>54.09253321928481</c:v>
                </c:pt>
                <c:pt idx="14">
                  <c:v>54.588497124096286</c:v>
                </c:pt>
                <c:pt idx="15">
                  <c:v>54.620704706926482</c:v>
                </c:pt>
                <c:pt idx="16">
                  <c:v>55.186255757389922</c:v>
                </c:pt>
                <c:pt idx="17">
                  <c:v>55.816997546869011</c:v>
                </c:pt>
                <c:pt idx="18">
                  <c:v>56.69439848374936</c:v>
                </c:pt>
                <c:pt idx="19">
                  <c:v>57.087274660053481</c:v>
                </c:pt>
                <c:pt idx="20">
                  <c:v>56.884127998695554</c:v>
                </c:pt>
                <c:pt idx="21">
                  <c:v>57.287079783204376</c:v>
                </c:pt>
                <c:pt idx="22">
                  <c:v>58.035746239700323</c:v>
                </c:pt>
                <c:pt idx="23">
                  <c:v>58.348997787473579</c:v>
                </c:pt>
                <c:pt idx="24">
                  <c:v>58.813463686068012</c:v>
                </c:pt>
                <c:pt idx="25">
                  <c:v>59.757424950346305</c:v>
                </c:pt>
                <c:pt idx="26">
                  <c:v>60.667008997282657</c:v>
                </c:pt>
                <c:pt idx="27">
                  <c:v>61.147880696531423</c:v>
                </c:pt>
                <c:pt idx="28">
                  <c:v>61.152521382240607</c:v>
                </c:pt>
                <c:pt idx="29">
                  <c:v>61.752881207827407</c:v>
                </c:pt>
                <c:pt idx="30">
                  <c:v>62.436061569229011</c:v>
                </c:pt>
                <c:pt idx="31">
                  <c:v>63.002689214934108</c:v>
                </c:pt>
                <c:pt idx="32">
                  <c:v>63.900638757579586</c:v>
                </c:pt>
                <c:pt idx="33">
                  <c:v>64.850926364471547</c:v>
                </c:pt>
                <c:pt idx="34">
                  <c:v>65.366123645716343</c:v>
                </c:pt>
                <c:pt idx="35">
                  <c:v>66.334438356490423</c:v>
                </c:pt>
                <c:pt idx="36">
                  <c:v>67.236089611430472</c:v>
                </c:pt>
                <c:pt idx="37">
                  <c:v>67.555493804259413</c:v>
                </c:pt>
                <c:pt idx="38">
                  <c:v>68.180792453834655</c:v>
                </c:pt>
                <c:pt idx="39">
                  <c:v>68.424322232415847</c:v>
                </c:pt>
                <c:pt idx="40">
                  <c:v>69.103071183636104</c:v>
                </c:pt>
                <c:pt idx="41">
                  <c:v>69.38355845420125</c:v>
                </c:pt>
                <c:pt idx="42">
                  <c:v>70.310437636933088</c:v>
                </c:pt>
                <c:pt idx="43">
                  <c:v>70.630320642873286</c:v>
                </c:pt>
                <c:pt idx="44">
                  <c:v>71.271448789306987</c:v>
                </c:pt>
                <c:pt idx="45">
                  <c:v>71.197185158812033</c:v>
                </c:pt>
                <c:pt idx="46">
                  <c:v>70.464326172979568</c:v>
                </c:pt>
                <c:pt idx="47">
                  <c:v>70.749826898753412</c:v>
                </c:pt>
                <c:pt idx="48">
                  <c:v>70.89125087160491</c:v>
                </c:pt>
                <c:pt idx="49">
                  <c:v>71.873756281112946</c:v>
                </c:pt>
                <c:pt idx="50">
                  <c:v>72.538027483960818</c:v>
                </c:pt>
                <c:pt idx="51">
                  <c:v>73.524755717496888</c:v>
                </c:pt>
                <c:pt idx="52">
                  <c:v>74.487388394833658</c:v>
                </c:pt>
                <c:pt idx="53">
                  <c:v>75.095260825144962</c:v>
                </c:pt>
                <c:pt idx="54">
                  <c:v>75.495736551406182</c:v>
                </c:pt>
                <c:pt idx="55">
                  <c:v>75.7530520947535</c:v>
                </c:pt>
                <c:pt idx="56">
                  <c:v>76.737899745593822</c:v>
                </c:pt>
                <c:pt idx="57">
                  <c:v>76.926149876749676</c:v>
                </c:pt>
                <c:pt idx="58">
                  <c:v>77.102159668224374</c:v>
                </c:pt>
                <c:pt idx="59">
                  <c:v>76.913679353598198</c:v>
                </c:pt>
                <c:pt idx="60">
                  <c:v>76.704790751009213</c:v>
                </c:pt>
                <c:pt idx="61">
                  <c:v>77.610838080470216</c:v>
                </c:pt>
                <c:pt idx="62">
                  <c:v>78.526604627816496</c:v>
                </c:pt>
                <c:pt idx="63">
                  <c:v>79.18797421492242</c:v>
                </c:pt>
                <c:pt idx="64">
                  <c:v>20</c:v>
                </c:pt>
                <c:pt idx="65">
                  <c:v>20.916766697274554</c:v>
                </c:pt>
                <c:pt idx="66">
                  <c:v>21.866935048247335</c:v>
                </c:pt>
                <c:pt idx="67">
                  <c:v>22.836369551933231</c:v>
                </c:pt>
                <c:pt idx="68">
                  <c:v>23.832778283943441</c:v>
                </c:pt>
                <c:pt idx="69">
                  <c:v>24.777255496453904</c:v>
                </c:pt>
                <c:pt idx="70">
                  <c:v>25.754994880502199</c:v>
                </c:pt>
                <c:pt idx="71">
                  <c:v>26.59001332671809</c:v>
                </c:pt>
                <c:pt idx="72">
                  <c:v>27.474796317834183</c:v>
                </c:pt>
                <c:pt idx="73">
                  <c:v>28.328972347106859</c:v>
                </c:pt>
                <c:pt idx="74">
                  <c:v>29.164142936858543</c:v>
                </c:pt>
                <c:pt idx="75">
                  <c:v>29.999323212735966</c:v>
                </c:pt>
                <c:pt idx="76">
                  <c:v>30.779817155893667</c:v>
                </c:pt>
                <c:pt idx="77">
                  <c:v>31.496614687459932</c:v>
                </c:pt>
                <c:pt idx="78">
                  <c:v>32.169296376342885</c:v>
                </c:pt>
                <c:pt idx="79">
                  <c:v>32.817393911015472</c:v>
                </c:pt>
                <c:pt idx="80">
                  <c:v>33.468695294387125</c:v>
                </c:pt>
                <c:pt idx="81">
                  <c:v>34.174962727319098</c:v>
                </c:pt>
                <c:pt idx="82">
                  <c:v>34.856688117819914</c:v>
                </c:pt>
                <c:pt idx="83">
                  <c:v>35.559676231848186</c:v>
                </c:pt>
                <c:pt idx="84">
                  <c:v>36.264458843837701</c:v>
                </c:pt>
                <c:pt idx="85">
                  <c:v>36.932810505783351</c:v>
                </c:pt>
                <c:pt idx="86">
                  <c:v>37.591836574156602</c:v>
                </c:pt>
                <c:pt idx="87">
                  <c:v>38.209969138076104</c:v>
                </c:pt>
                <c:pt idx="88">
                  <c:v>38.813237010135893</c:v>
                </c:pt>
                <c:pt idx="89">
                  <c:v>39.376431508184595</c:v>
                </c:pt>
                <c:pt idx="90">
                  <c:v>39.911377598108366</c:v>
                </c:pt>
                <c:pt idx="91">
                  <c:v>40.419119630564907</c:v>
                </c:pt>
                <c:pt idx="92">
                  <c:v>40.934681904353035</c:v>
                </c:pt>
                <c:pt idx="93">
                  <c:v>41.386741099642585</c:v>
                </c:pt>
                <c:pt idx="94">
                  <c:v>41.779417667691959</c:v>
                </c:pt>
                <c:pt idx="95">
                  <c:v>42.119098122773877</c:v>
                </c:pt>
                <c:pt idx="96">
                  <c:v>42.433526603380052</c:v>
                </c:pt>
                <c:pt idx="97">
                  <c:v>42.71729310013248</c:v>
                </c:pt>
                <c:pt idx="98">
                  <c:v>42.990182751433615</c:v>
                </c:pt>
                <c:pt idx="99">
                  <c:v>43.229406810283372</c:v>
                </c:pt>
                <c:pt idx="100">
                  <c:v>43.415812919286907</c:v>
                </c:pt>
                <c:pt idx="101">
                  <c:v>43.566414799595464</c:v>
                </c:pt>
                <c:pt idx="102">
                  <c:v>43.655262136803366</c:v>
                </c:pt>
                <c:pt idx="103">
                  <c:v>43.692940665867845</c:v>
                </c:pt>
                <c:pt idx="104">
                  <c:v>43.703804220211289</c:v>
                </c:pt>
                <c:pt idx="105">
                  <c:v>43.656119130816116</c:v>
                </c:pt>
                <c:pt idx="106">
                  <c:v>43.550723331004278</c:v>
                </c:pt>
                <c:pt idx="107">
                  <c:v>43.363822852122411</c:v>
                </c:pt>
                <c:pt idx="108">
                  <c:v>43.149601158206437</c:v>
                </c:pt>
                <c:pt idx="109">
                  <c:v>42.841046459552857</c:v>
                </c:pt>
                <c:pt idx="110">
                  <c:v>42.507728229235767</c:v>
                </c:pt>
                <c:pt idx="111">
                  <c:v>42.125739443122797</c:v>
                </c:pt>
                <c:pt idx="112">
                  <c:v>41.668432729759793</c:v>
                </c:pt>
                <c:pt idx="113">
                  <c:v>41.145463575774642</c:v>
                </c:pt>
                <c:pt idx="114">
                  <c:v>40.524044772893603</c:v>
                </c:pt>
                <c:pt idx="115">
                  <c:v>39.768660684252175</c:v>
                </c:pt>
                <c:pt idx="116">
                  <c:v>38.915970485666733</c:v>
                </c:pt>
                <c:pt idx="117">
                  <c:v>37.905505142687382</c:v>
                </c:pt>
                <c:pt idx="118">
                  <c:v>36.743934816573386</c:v>
                </c:pt>
                <c:pt idx="119">
                  <c:v>35.454303136052424</c:v>
                </c:pt>
                <c:pt idx="120">
                  <c:v>34.064454328070887</c:v>
                </c:pt>
                <c:pt idx="121">
                  <c:v>32.554268029497862</c:v>
                </c:pt>
                <c:pt idx="122">
                  <c:v>30.943083518086958</c:v>
                </c:pt>
                <c:pt idx="123">
                  <c:v>29.221154598849331</c:v>
                </c:pt>
                <c:pt idx="124">
                  <c:v>27.415134924589371</c:v>
                </c:pt>
                <c:pt idx="125">
                  <c:v>100.94891813164588</c:v>
                </c:pt>
                <c:pt idx="126">
                  <c:v>98.808315611903438</c:v>
                </c:pt>
                <c:pt idx="127">
                  <c:v>96.531449798814776</c:v>
                </c:pt>
                <c:pt idx="128">
                  <c:v>94.063228253787585</c:v>
                </c:pt>
                <c:pt idx="129">
                  <c:v>91.48354127867276</c:v>
                </c:pt>
                <c:pt idx="130">
                  <c:v>88.737959750025823</c:v>
                </c:pt>
                <c:pt idx="131">
                  <c:v>85.821951614609247</c:v>
                </c:pt>
                <c:pt idx="132">
                  <c:v>82.776214848097879</c:v>
                </c:pt>
                <c:pt idx="133">
                  <c:v>79.558044376263595</c:v>
                </c:pt>
                <c:pt idx="134">
                  <c:v>76.017539005090399</c:v>
                </c:pt>
                <c:pt idx="135">
                  <c:v>72.25772601155056</c:v>
                </c:pt>
                <c:pt idx="136">
                  <c:v>68.404393473130554</c:v>
                </c:pt>
                <c:pt idx="137">
                  <c:v>64.546212682609863</c:v>
                </c:pt>
                <c:pt idx="138">
                  <c:v>60.554912635592771</c:v>
                </c:pt>
                <c:pt idx="139">
                  <c:v>56.431681517889338</c:v>
                </c:pt>
                <c:pt idx="140">
                  <c:v>52.06673191421973</c:v>
                </c:pt>
                <c:pt idx="141">
                  <c:v>123.14293033678928</c:v>
                </c:pt>
                <c:pt idx="142">
                  <c:v>118.46798649574175</c:v>
                </c:pt>
                <c:pt idx="143">
                  <c:v>113.77022983265718</c:v>
                </c:pt>
                <c:pt idx="144">
                  <c:v>108.94101219730962</c:v>
                </c:pt>
                <c:pt idx="145">
                  <c:v>103.88942156456476</c:v>
                </c:pt>
                <c:pt idx="146">
                  <c:v>98.696941658423896</c:v>
                </c:pt>
                <c:pt idx="147">
                  <c:v>93.373534090464688</c:v>
                </c:pt>
                <c:pt idx="148">
                  <c:v>88.016645929396788</c:v>
                </c:pt>
                <c:pt idx="149">
                  <c:v>82.672577404302871</c:v>
                </c:pt>
                <c:pt idx="150">
                  <c:v>77.245940649696308</c:v>
                </c:pt>
                <c:pt idx="151">
                  <c:v>71.767430265450088</c:v>
                </c:pt>
                <c:pt idx="152">
                  <c:v>66.217971399475417</c:v>
                </c:pt>
                <c:pt idx="153">
                  <c:v>136.28874847071023</c:v>
                </c:pt>
                <c:pt idx="154">
                  <c:v>130.78130523552119</c:v>
                </c:pt>
                <c:pt idx="155">
                  <c:v>125.37741994686058</c:v>
                </c:pt>
                <c:pt idx="156">
                  <c:v>120.00754782308205</c:v>
                </c:pt>
                <c:pt idx="157">
                  <c:v>114.62074447476267</c:v>
                </c:pt>
                <c:pt idx="158">
                  <c:v>109.31875698374812</c:v>
                </c:pt>
                <c:pt idx="159">
                  <c:v>104.11451768173099</c:v>
                </c:pt>
                <c:pt idx="160">
                  <c:v>99.00369430756291</c:v>
                </c:pt>
                <c:pt idx="161">
                  <c:v>93.999513667435565</c:v>
                </c:pt>
                <c:pt idx="162">
                  <c:v>89.120507608310987</c:v>
                </c:pt>
                <c:pt idx="163">
                  <c:v>84.33591798378967</c:v>
                </c:pt>
                <c:pt idx="164">
                  <c:v>79.652413718865603</c:v>
                </c:pt>
                <c:pt idx="165">
                  <c:v>75.196720994443552</c:v>
                </c:pt>
                <c:pt idx="166">
                  <c:v>70.855180994079205</c:v>
                </c:pt>
                <c:pt idx="167">
                  <c:v>66.625432577354005</c:v>
                </c:pt>
                <c:pt idx="168">
                  <c:v>62.530054068529822</c:v>
                </c:pt>
                <c:pt idx="169">
                  <c:v>58.627716443050886</c:v>
                </c:pt>
                <c:pt idx="170">
                  <c:v>54.871452566060398</c:v>
                </c:pt>
                <c:pt idx="171">
                  <c:v>51.352988155682603</c:v>
                </c:pt>
                <c:pt idx="172">
                  <c:v>48.028541479335338</c:v>
                </c:pt>
                <c:pt idx="173">
                  <c:v>44.993788434704818</c:v>
                </c:pt>
                <c:pt idx="174">
                  <c:v>42.050914496743019</c:v>
                </c:pt>
                <c:pt idx="175">
                  <c:v>39.264175269930753</c:v>
                </c:pt>
                <c:pt idx="176">
                  <c:v>36.608276119458893</c:v>
                </c:pt>
                <c:pt idx="177">
                  <c:v>34.112427659781844</c:v>
                </c:pt>
                <c:pt idx="178">
                  <c:v>31.745947257954455</c:v>
                </c:pt>
                <c:pt idx="179">
                  <c:v>29.488406695235554</c:v>
                </c:pt>
                <c:pt idx="180">
                  <c:v>27.368656716234252</c:v>
                </c:pt>
                <c:pt idx="181">
                  <c:v>25.409708865859535</c:v>
                </c:pt>
                <c:pt idx="182">
                  <c:v>23.593490520430812</c:v>
                </c:pt>
                <c:pt idx="183">
                  <c:v>21.908950740581201</c:v>
                </c:pt>
                <c:pt idx="184">
                  <c:v>20.375825212836688</c:v>
                </c:pt>
                <c:pt idx="185">
                  <c:v>18.966167293828654</c:v>
                </c:pt>
                <c:pt idx="186">
                  <c:v>17.692611961391897</c:v>
                </c:pt>
                <c:pt idx="187">
                  <c:v>16.511595509477146</c:v>
                </c:pt>
                <c:pt idx="188">
                  <c:v>15.427813355367945</c:v>
                </c:pt>
                <c:pt idx="189">
                  <c:v>14.456585560370272</c:v>
                </c:pt>
                <c:pt idx="190">
                  <c:v>13.588695036175992</c:v>
                </c:pt>
                <c:pt idx="191">
                  <c:v>12.806399959705253</c:v>
                </c:pt>
                <c:pt idx="192">
                  <c:v>12.113786306540099</c:v>
                </c:pt>
                <c:pt idx="193">
                  <c:v>11.499980635853879</c:v>
                </c:pt>
                <c:pt idx="194">
                  <c:v>10.954029247404344</c:v>
                </c:pt>
                <c:pt idx="195">
                  <c:v>10.467446689124586</c:v>
                </c:pt>
                <c:pt idx="196">
                  <c:v>10.034297952351462</c:v>
                </c:pt>
                <c:pt idx="197">
                  <c:v>9.6725009748220785</c:v>
                </c:pt>
                <c:pt idx="198">
                  <c:v>9.3795892700447929</c:v>
                </c:pt>
                <c:pt idx="199">
                  <c:v>9.1371221411617718</c:v>
                </c:pt>
                <c:pt idx="200">
                  <c:v>8.9564136234781451</c:v>
                </c:pt>
                <c:pt idx="201">
                  <c:v>8.8487771110431641</c:v>
                </c:pt>
                <c:pt idx="202">
                  <c:v>8.783770240635187</c:v>
                </c:pt>
                <c:pt idx="203">
                  <c:v>8.7605198616612991</c:v>
                </c:pt>
                <c:pt idx="204">
                  <c:v>8.7752572685135011</c:v>
                </c:pt>
                <c:pt idx="205">
                  <c:v>8.8155683182997411</c:v>
                </c:pt>
                <c:pt idx="206">
                  <c:v>8.9045752793145354</c:v>
                </c:pt>
                <c:pt idx="207">
                  <c:v>9.0143966005761165</c:v>
                </c:pt>
                <c:pt idx="208">
                  <c:v>9.2033649472288239</c:v>
                </c:pt>
                <c:pt idx="209">
                  <c:v>9.434120458516972</c:v>
                </c:pt>
                <c:pt idx="210">
                  <c:v>9.6765112987641348</c:v>
                </c:pt>
                <c:pt idx="211">
                  <c:v>9.940257460935646</c:v>
                </c:pt>
                <c:pt idx="212">
                  <c:v>10.236554329753472</c:v>
                </c:pt>
                <c:pt idx="213">
                  <c:v>10.5706521464173</c:v>
                </c:pt>
                <c:pt idx="214">
                  <c:v>10.930875849512569</c:v>
                </c:pt>
                <c:pt idx="215">
                  <c:v>11.304337062397726</c:v>
                </c:pt>
                <c:pt idx="216">
                  <c:v>11.674235085507924</c:v>
                </c:pt>
                <c:pt idx="217">
                  <c:v>12.082063651167745</c:v>
                </c:pt>
                <c:pt idx="218">
                  <c:v>12.501317134252059</c:v>
                </c:pt>
                <c:pt idx="219">
                  <c:v>12.942832868129047</c:v>
                </c:pt>
                <c:pt idx="220">
                  <c:v>13.399224876446349</c:v>
                </c:pt>
                <c:pt idx="221">
                  <c:v>13.865185861224132</c:v>
                </c:pt>
                <c:pt idx="222">
                  <c:v>14.344245235018876</c:v>
                </c:pt>
                <c:pt idx="223">
                  <c:v>14.858346020610936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45583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  <c:pt idx="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45519</c:v>
                </c:pt>
                <c:pt idx="1">
                  <c:v>45520</c:v>
                </c:pt>
                <c:pt idx="2">
                  <c:v>45521</c:v>
                </c:pt>
                <c:pt idx="3">
                  <c:v>45522</c:v>
                </c:pt>
                <c:pt idx="4">
                  <c:v>45523</c:v>
                </c:pt>
                <c:pt idx="5">
                  <c:v>45524</c:v>
                </c:pt>
                <c:pt idx="6">
                  <c:v>45525</c:v>
                </c:pt>
                <c:pt idx="7">
                  <c:v>45526</c:v>
                </c:pt>
                <c:pt idx="8">
                  <c:v>45527</c:v>
                </c:pt>
                <c:pt idx="9">
                  <c:v>45528</c:v>
                </c:pt>
                <c:pt idx="10">
                  <c:v>45529</c:v>
                </c:pt>
                <c:pt idx="11">
                  <c:v>45530</c:v>
                </c:pt>
                <c:pt idx="12">
                  <c:v>45531</c:v>
                </c:pt>
                <c:pt idx="13">
                  <c:v>45532</c:v>
                </c:pt>
                <c:pt idx="14">
                  <c:v>45533</c:v>
                </c:pt>
                <c:pt idx="15">
                  <c:v>45534</c:v>
                </c:pt>
                <c:pt idx="16">
                  <c:v>45535</c:v>
                </c:pt>
                <c:pt idx="17">
                  <c:v>45536</c:v>
                </c:pt>
                <c:pt idx="18">
                  <c:v>45537</c:v>
                </c:pt>
                <c:pt idx="19">
                  <c:v>45538</c:v>
                </c:pt>
                <c:pt idx="20">
                  <c:v>45539</c:v>
                </c:pt>
                <c:pt idx="21">
                  <c:v>45540</c:v>
                </c:pt>
                <c:pt idx="22">
                  <c:v>45541</c:v>
                </c:pt>
                <c:pt idx="23">
                  <c:v>45542</c:v>
                </c:pt>
                <c:pt idx="24">
                  <c:v>45543</c:v>
                </c:pt>
                <c:pt idx="25">
                  <c:v>45544</c:v>
                </c:pt>
                <c:pt idx="26">
                  <c:v>45545</c:v>
                </c:pt>
                <c:pt idx="27">
                  <c:v>45546</c:v>
                </c:pt>
                <c:pt idx="28">
                  <c:v>45547</c:v>
                </c:pt>
                <c:pt idx="29">
                  <c:v>45548</c:v>
                </c:pt>
                <c:pt idx="30">
                  <c:v>45549</c:v>
                </c:pt>
                <c:pt idx="31">
                  <c:v>45550</c:v>
                </c:pt>
                <c:pt idx="32">
                  <c:v>45551</c:v>
                </c:pt>
                <c:pt idx="33">
                  <c:v>45552</c:v>
                </c:pt>
                <c:pt idx="34">
                  <c:v>45553</c:v>
                </c:pt>
                <c:pt idx="35">
                  <c:v>45554</c:v>
                </c:pt>
                <c:pt idx="36">
                  <c:v>45555</c:v>
                </c:pt>
                <c:pt idx="37">
                  <c:v>45556</c:v>
                </c:pt>
                <c:pt idx="38">
                  <c:v>45557</c:v>
                </c:pt>
                <c:pt idx="39">
                  <c:v>45558</c:v>
                </c:pt>
                <c:pt idx="40">
                  <c:v>45559</c:v>
                </c:pt>
                <c:pt idx="41">
                  <c:v>45560</c:v>
                </c:pt>
                <c:pt idx="42">
                  <c:v>45561</c:v>
                </c:pt>
                <c:pt idx="43">
                  <c:v>45562</c:v>
                </c:pt>
                <c:pt idx="44">
                  <c:v>45563</c:v>
                </c:pt>
                <c:pt idx="45">
                  <c:v>45564</c:v>
                </c:pt>
                <c:pt idx="46">
                  <c:v>45565</c:v>
                </c:pt>
                <c:pt idx="47">
                  <c:v>45566</c:v>
                </c:pt>
                <c:pt idx="48">
                  <c:v>45567</c:v>
                </c:pt>
                <c:pt idx="49">
                  <c:v>45568</c:v>
                </c:pt>
                <c:pt idx="50">
                  <c:v>45569</c:v>
                </c:pt>
                <c:pt idx="51">
                  <c:v>45570</c:v>
                </c:pt>
                <c:pt idx="52">
                  <c:v>45571</c:v>
                </c:pt>
                <c:pt idx="53">
                  <c:v>45572</c:v>
                </c:pt>
                <c:pt idx="54">
                  <c:v>45573</c:v>
                </c:pt>
                <c:pt idx="55">
                  <c:v>45574</c:v>
                </c:pt>
                <c:pt idx="56">
                  <c:v>45575</c:v>
                </c:pt>
                <c:pt idx="57">
                  <c:v>45576</c:v>
                </c:pt>
                <c:pt idx="58">
                  <c:v>45577</c:v>
                </c:pt>
                <c:pt idx="59">
                  <c:v>45578</c:v>
                </c:pt>
                <c:pt idx="60">
                  <c:v>45579</c:v>
                </c:pt>
                <c:pt idx="61">
                  <c:v>45580</c:v>
                </c:pt>
                <c:pt idx="62">
                  <c:v>45581</c:v>
                </c:pt>
                <c:pt idx="63">
                  <c:v>45582</c:v>
                </c:pt>
                <c:pt idx="64">
                  <c:v>45583</c:v>
                </c:pt>
                <c:pt idx="65">
                  <c:v>45584</c:v>
                </c:pt>
                <c:pt idx="66">
                  <c:v>45585</c:v>
                </c:pt>
                <c:pt idx="67">
                  <c:v>45586</c:v>
                </c:pt>
                <c:pt idx="68">
                  <c:v>45587</c:v>
                </c:pt>
                <c:pt idx="69">
                  <c:v>45588</c:v>
                </c:pt>
                <c:pt idx="70">
                  <c:v>45589</c:v>
                </c:pt>
                <c:pt idx="71">
                  <c:v>45590</c:v>
                </c:pt>
                <c:pt idx="72">
                  <c:v>45591</c:v>
                </c:pt>
                <c:pt idx="73">
                  <c:v>45592</c:v>
                </c:pt>
                <c:pt idx="74">
                  <c:v>45593</c:v>
                </c:pt>
                <c:pt idx="75">
                  <c:v>45594</c:v>
                </c:pt>
                <c:pt idx="76">
                  <c:v>45595</c:v>
                </c:pt>
                <c:pt idx="77">
                  <c:v>45596</c:v>
                </c:pt>
                <c:pt idx="78">
                  <c:v>45597</c:v>
                </c:pt>
                <c:pt idx="79">
                  <c:v>45598</c:v>
                </c:pt>
                <c:pt idx="80">
                  <c:v>45599</c:v>
                </c:pt>
                <c:pt idx="81">
                  <c:v>45600</c:v>
                </c:pt>
                <c:pt idx="82">
                  <c:v>45601</c:v>
                </c:pt>
                <c:pt idx="83">
                  <c:v>45602</c:v>
                </c:pt>
                <c:pt idx="84">
                  <c:v>45603</c:v>
                </c:pt>
                <c:pt idx="85">
                  <c:v>45604</c:v>
                </c:pt>
                <c:pt idx="86">
                  <c:v>45605</c:v>
                </c:pt>
                <c:pt idx="87">
                  <c:v>45606</c:v>
                </c:pt>
                <c:pt idx="88">
                  <c:v>45607</c:v>
                </c:pt>
                <c:pt idx="89">
                  <c:v>45608</c:v>
                </c:pt>
                <c:pt idx="90">
                  <c:v>45609</c:v>
                </c:pt>
                <c:pt idx="91">
                  <c:v>45610</c:v>
                </c:pt>
                <c:pt idx="92">
                  <c:v>45611</c:v>
                </c:pt>
                <c:pt idx="93">
                  <c:v>45612</c:v>
                </c:pt>
                <c:pt idx="94">
                  <c:v>45613</c:v>
                </c:pt>
                <c:pt idx="95">
                  <c:v>45614</c:v>
                </c:pt>
                <c:pt idx="96">
                  <c:v>45615</c:v>
                </c:pt>
                <c:pt idx="97">
                  <c:v>45616</c:v>
                </c:pt>
                <c:pt idx="98">
                  <c:v>45617</c:v>
                </c:pt>
                <c:pt idx="99">
                  <c:v>45618</c:v>
                </c:pt>
                <c:pt idx="100">
                  <c:v>45619</c:v>
                </c:pt>
                <c:pt idx="101">
                  <c:v>45620</c:v>
                </c:pt>
                <c:pt idx="102">
                  <c:v>45621</c:v>
                </c:pt>
                <c:pt idx="103">
                  <c:v>45622</c:v>
                </c:pt>
                <c:pt idx="104">
                  <c:v>45623</c:v>
                </c:pt>
                <c:pt idx="105">
                  <c:v>45624</c:v>
                </c:pt>
                <c:pt idx="106">
                  <c:v>45625</c:v>
                </c:pt>
                <c:pt idx="107">
                  <c:v>45626</c:v>
                </c:pt>
                <c:pt idx="108">
                  <c:v>45627</c:v>
                </c:pt>
                <c:pt idx="109">
                  <c:v>45628</c:v>
                </c:pt>
                <c:pt idx="110">
                  <c:v>45629</c:v>
                </c:pt>
                <c:pt idx="111">
                  <c:v>45630</c:v>
                </c:pt>
                <c:pt idx="112">
                  <c:v>45631</c:v>
                </c:pt>
                <c:pt idx="113">
                  <c:v>45632</c:v>
                </c:pt>
                <c:pt idx="114">
                  <c:v>45633</c:v>
                </c:pt>
                <c:pt idx="115">
                  <c:v>45634</c:v>
                </c:pt>
                <c:pt idx="116">
                  <c:v>45635</c:v>
                </c:pt>
                <c:pt idx="117">
                  <c:v>45636</c:v>
                </c:pt>
                <c:pt idx="118">
                  <c:v>45637</c:v>
                </c:pt>
                <c:pt idx="119">
                  <c:v>45638</c:v>
                </c:pt>
                <c:pt idx="120">
                  <c:v>45639</c:v>
                </c:pt>
                <c:pt idx="121">
                  <c:v>45640</c:v>
                </c:pt>
                <c:pt idx="122">
                  <c:v>45641</c:v>
                </c:pt>
                <c:pt idx="123">
                  <c:v>45642</c:v>
                </c:pt>
                <c:pt idx="124">
                  <c:v>45643</c:v>
                </c:pt>
                <c:pt idx="125">
                  <c:v>45644</c:v>
                </c:pt>
                <c:pt idx="126">
                  <c:v>45645</c:v>
                </c:pt>
                <c:pt idx="127">
                  <c:v>45646</c:v>
                </c:pt>
                <c:pt idx="128">
                  <c:v>45647</c:v>
                </c:pt>
                <c:pt idx="129">
                  <c:v>45648</c:v>
                </c:pt>
                <c:pt idx="130">
                  <c:v>45649</c:v>
                </c:pt>
                <c:pt idx="131">
                  <c:v>45650</c:v>
                </c:pt>
                <c:pt idx="132">
                  <c:v>45651</c:v>
                </c:pt>
                <c:pt idx="133">
                  <c:v>45652</c:v>
                </c:pt>
                <c:pt idx="134">
                  <c:v>45653</c:v>
                </c:pt>
                <c:pt idx="135">
                  <c:v>45654</c:v>
                </c:pt>
                <c:pt idx="136">
                  <c:v>45655</c:v>
                </c:pt>
                <c:pt idx="137">
                  <c:v>45656</c:v>
                </c:pt>
                <c:pt idx="138">
                  <c:v>45657</c:v>
                </c:pt>
                <c:pt idx="139">
                  <c:v>45658</c:v>
                </c:pt>
                <c:pt idx="140">
                  <c:v>45659</c:v>
                </c:pt>
                <c:pt idx="141">
                  <c:v>45660</c:v>
                </c:pt>
                <c:pt idx="142">
                  <c:v>45661</c:v>
                </c:pt>
                <c:pt idx="143">
                  <c:v>45662</c:v>
                </c:pt>
                <c:pt idx="144">
                  <c:v>45663</c:v>
                </c:pt>
                <c:pt idx="145">
                  <c:v>45664</c:v>
                </c:pt>
                <c:pt idx="146">
                  <c:v>45665</c:v>
                </c:pt>
                <c:pt idx="147">
                  <c:v>45666</c:v>
                </c:pt>
                <c:pt idx="148">
                  <c:v>45667</c:v>
                </c:pt>
                <c:pt idx="149">
                  <c:v>45668</c:v>
                </c:pt>
                <c:pt idx="150">
                  <c:v>45669</c:v>
                </c:pt>
                <c:pt idx="151">
                  <c:v>45670</c:v>
                </c:pt>
                <c:pt idx="152">
                  <c:v>45671</c:v>
                </c:pt>
                <c:pt idx="153">
                  <c:v>45672</c:v>
                </c:pt>
                <c:pt idx="154">
                  <c:v>45673</c:v>
                </c:pt>
                <c:pt idx="155">
                  <c:v>45674</c:v>
                </c:pt>
                <c:pt idx="156">
                  <c:v>45675</c:v>
                </c:pt>
                <c:pt idx="157">
                  <c:v>45676</c:v>
                </c:pt>
                <c:pt idx="158">
                  <c:v>45677</c:v>
                </c:pt>
                <c:pt idx="159">
                  <c:v>45678</c:v>
                </c:pt>
                <c:pt idx="160">
                  <c:v>45679</c:v>
                </c:pt>
                <c:pt idx="161">
                  <c:v>45680</c:v>
                </c:pt>
                <c:pt idx="162">
                  <c:v>45681</c:v>
                </c:pt>
                <c:pt idx="163">
                  <c:v>45682</c:v>
                </c:pt>
                <c:pt idx="164">
                  <c:v>45683</c:v>
                </c:pt>
                <c:pt idx="165">
                  <c:v>45684</c:v>
                </c:pt>
                <c:pt idx="166">
                  <c:v>45685</c:v>
                </c:pt>
                <c:pt idx="167">
                  <c:v>45686</c:v>
                </c:pt>
                <c:pt idx="168">
                  <c:v>45687</c:v>
                </c:pt>
                <c:pt idx="169">
                  <c:v>45688</c:v>
                </c:pt>
                <c:pt idx="170">
                  <c:v>45689</c:v>
                </c:pt>
                <c:pt idx="171">
                  <c:v>45690</c:v>
                </c:pt>
                <c:pt idx="172">
                  <c:v>45691</c:v>
                </c:pt>
                <c:pt idx="173">
                  <c:v>45692</c:v>
                </c:pt>
                <c:pt idx="174">
                  <c:v>45693</c:v>
                </c:pt>
                <c:pt idx="175">
                  <c:v>45694</c:v>
                </c:pt>
                <c:pt idx="176">
                  <c:v>45695</c:v>
                </c:pt>
                <c:pt idx="177">
                  <c:v>45696</c:v>
                </c:pt>
                <c:pt idx="178">
                  <c:v>45697</c:v>
                </c:pt>
                <c:pt idx="179">
                  <c:v>45698</c:v>
                </c:pt>
                <c:pt idx="180">
                  <c:v>45699</c:v>
                </c:pt>
                <c:pt idx="181">
                  <c:v>45700</c:v>
                </c:pt>
                <c:pt idx="182">
                  <c:v>45701</c:v>
                </c:pt>
                <c:pt idx="183">
                  <c:v>45702</c:v>
                </c:pt>
                <c:pt idx="184">
                  <c:v>45703</c:v>
                </c:pt>
                <c:pt idx="185">
                  <c:v>45704</c:v>
                </c:pt>
                <c:pt idx="186">
                  <c:v>45705</c:v>
                </c:pt>
                <c:pt idx="187">
                  <c:v>45706</c:v>
                </c:pt>
                <c:pt idx="188">
                  <c:v>45707</c:v>
                </c:pt>
                <c:pt idx="189">
                  <c:v>45708</c:v>
                </c:pt>
                <c:pt idx="190">
                  <c:v>45709</c:v>
                </c:pt>
                <c:pt idx="191">
                  <c:v>45710</c:v>
                </c:pt>
                <c:pt idx="192">
                  <c:v>45711</c:v>
                </c:pt>
                <c:pt idx="193">
                  <c:v>45712</c:v>
                </c:pt>
                <c:pt idx="194">
                  <c:v>45713</c:v>
                </c:pt>
                <c:pt idx="195">
                  <c:v>45714</c:v>
                </c:pt>
                <c:pt idx="196">
                  <c:v>45715</c:v>
                </c:pt>
                <c:pt idx="197">
                  <c:v>45716</c:v>
                </c:pt>
                <c:pt idx="198">
                  <c:v>45717</c:v>
                </c:pt>
                <c:pt idx="199">
                  <c:v>45718</c:v>
                </c:pt>
                <c:pt idx="200">
                  <c:v>45719</c:v>
                </c:pt>
                <c:pt idx="201">
                  <c:v>45720</c:v>
                </c:pt>
                <c:pt idx="202">
                  <c:v>45721</c:v>
                </c:pt>
                <c:pt idx="203">
                  <c:v>45722</c:v>
                </c:pt>
                <c:pt idx="204">
                  <c:v>45723</c:v>
                </c:pt>
                <c:pt idx="205">
                  <c:v>45724</c:v>
                </c:pt>
                <c:pt idx="206">
                  <c:v>45725</c:v>
                </c:pt>
                <c:pt idx="207">
                  <c:v>45726</c:v>
                </c:pt>
                <c:pt idx="208">
                  <c:v>45727</c:v>
                </c:pt>
                <c:pt idx="209">
                  <c:v>45728</c:v>
                </c:pt>
                <c:pt idx="210">
                  <c:v>45729</c:v>
                </c:pt>
                <c:pt idx="211">
                  <c:v>45730</c:v>
                </c:pt>
                <c:pt idx="212">
                  <c:v>45731</c:v>
                </c:pt>
                <c:pt idx="213">
                  <c:v>45732</c:v>
                </c:pt>
                <c:pt idx="214">
                  <c:v>45733</c:v>
                </c:pt>
                <c:pt idx="215">
                  <c:v>45734</c:v>
                </c:pt>
                <c:pt idx="216">
                  <c:v>45735</c:v>
                </c:pt>
                <c:pt idx="217">
                  <c:v>45736</c:v>
                </c:pt>
                <c:pt idx="218">
                  <c:v>45737</c:v>
                </c:pt>
                <c:pt idx="219">
                  <c:v>45738</c:v>
                </c:pt>
                <c:pt idx="220">
                  <c:v>45739</c:v>
                </c:pt>
                <c:pt idx="221">
                  <c:v>45740</c:v>
                </c:pt>
                <c:pt idx="222">
                  <c:v>45741</c:v>
                </c:pt>
                <c:pt idx="223">
                  <c:v>45742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-0.15754234042403967</c:v>
                </c:pt>
                <c:pt idx="4">
                  <c:v>-1.0143556998190881</c:v>
                </c:pt>
                <c:pt idx="5">
                  <c:v>-1.6368319796860882</c:v>
                </c:pt>
                <c:pt idx="6">
                  <c:v>-2.2184958801959147</c:v>
                </c:pt>
                <c:pt idx="7">
                  <c:v>-2.574935335634732</c:v>
                </c:pt>
                <c:pt idx="8">
                  <c:v>-2.9429788146407594</c:v>
                </c:pt>
                <c:pt idx="9">
                  <c:v>-4.4586685670810802</c:v>
                </c:pt>
                <c:pt idx="10">
                  <c:v>-5.1864135611898154</c:v>
                </c:pt>
                <c:pt idx="11">
                  <c:v>-5.4442353753167589</c:v>
                </c:pt>
                <c:pt idx="12">
                  <c:v>-5.5294165097579313</c:v>
                </c:pt>
                <c:pt idx="13">
                  <c:v>-5.5979337185023557</c:v>
                </c:pt>
                <c:pt idx="14">
                  <c:v>-5.9466671899849874</c:v>
                </c:pt>
                <c:pt idx="15">
                  <c:v>-6.770885707968346</c:v>
                </c:pt>
                <c:pt idx="16">
                  <c:v>-7.0565745566138478</c:v>
                </c:pt>
                <c:pt idx="17">
                  <c:v>-7.2871230247422201</c:v>
                </c:pt>
                <c:pt idx="18">
                  <c:v>-7.3214683270120853</c:v>
                </c:pt>
                <c:pt idx="19">
                  <c:v>-7.8527936572539154</c:v>
                </c:pt>
                <c:pt idx="20">
                  <c:v>-8.9993798198711001</c:v>
                </c:pt>
                <c:pt idx="21">
                  <c:v>-9.5388746668729318</c:v>
                </c:pt>
                <c:pt idx="22">
                  <c:v>-9.7114679296031738</c:v>
                </c:pt>
                <c:pt idx="23">
                  <c:v>-10.357365965981035</c:v>
                </c:pt>
                <c:pt idx="24">
                  <c:v>-10.823782304082727</c:v>
                </c:pt>
                <c:pt idx="25">
                  <c:v>-10.823782304082727</c:v>
                </c:pt>
                <c:pt idx="26">
                  <c:v>-10.870082916813699</c:v>
                </c:pt>
                <c:pt idx="27">
                  <c:v>-11.378585147881372</c:v>
                </c:pt>
                <c:pt idx="28">
                  <c:v>-12.341781673072953</c:v>
                </c:pt>
                <c:pt idx="29">
                  <c:v>-12.722680604117176</c:v>
                </c:pt>
                <c:pt idx="30">
                  <c:v>-13.045900331545131</c:v>
                </c:pt>
                <c:pt idx="31">
                  <c:v>-13.500432776345042</c:v>
                </c:pt>
                <c:pt idx="32">
                  <c:v>-13.6130460759526</c:v>
                </c:pt>
                <c:pt idx="33">
                  <c:v>-13.652332579170496</c:v>
                </c:pt>
                <c:pt idx="34">
                  <c:v>-14.116716257592669</c:v>
                </c:pt>
                <c:pt idx="35">
                  <c:v>-14.120369458545637</c:v>
                </c:pt>
                <c:pt idx="36">
                  <c:v>-14.1796151722902</c:v>
                </c:pt>
                <c:pt idx="37">
                  <c:v>-14.830693482142845</c:v>
                </c:pt>
                <c:pt idx="38">
                  <c:v>-15.183652599019798</c:v>
                </c:pt>
                <c:pt idx="39">
                  <c:v>-15.952384984448328</c:v>
                </c:pt>
                <c:pt idx="40">
                  <c:v>-16.256839095170434</c:v>
                </c:pt>
                <c:pt idx="41">
                  <c:v>-16.948462450312459</c:v>
                </c:pt>
                <c:pt idx="42">
                  <c:v>-17.022033661868786</c:v>
                </c:pt>
                <c:pt idx="43">
                  <c:v>-17.726084887059631</c:v>
                </c:pt>
                <c:pt idx="44">
                  <c:v>-18.13429469229926</c:v>
                </c:pt>
                <c:pt idx="45">
                  <c:v>-19.243938937513555</c:v>
                </c:pt>
                <c:pt idx="46">
                  <c:v>-20.986348116011207</c:v>
                </c:pt>
                <c:pt idx="47">
                  <c:v>-21.699383327973425</c:v>
                </c:pt>
                <c:pt idx="48">
                  <c:v>-22.577818393121575</c:v>
                </c:pt>
                <c:pt idx="49">
                  <c:v>-22.577818393121575</c:v>
                </c:pt>
                <c:pt idx="50">
                  <c:v>-22.894409509473977</c:v>
                </c:pt>
                <c:pt idx="51">
                  <c:v>-22.894409509473977</c:v>
                </c:pt>
                <c:pt idx="52">
                  <c:v>-22.894409509473977</c:v>
                </c:pt>
                <c:pt idx="53">
                  <c:v>-23.305429746396754</c:v>
                </c:pt>
                <c:pt idx="54">
                  <c:v>-23.937405651209684</c:v>
                </c:pt>
                <c:pt idx="55">
                  <c:v>-24.646629878067806</c:v>
                </c:pt>
                <c:pt idx="56">
                  <c:v>-24.646629878067806</c:v>
                </c:pt>
                <c:pt idx="57">
                  <c:v>-25.482072619113392</c:v>
                </c:pt>
                <c:pt idx="58">
                  <c:v>-26.318575180383434</c:v>
                </c:pt>
                <c:pt idx="59">
                  <c:v>-27.487663106558127</c:v>
                </c:pt>
                <c:pt idx="60">
                  <c:v>-28.649351604163993</c:v>
                </c:pt>
                <c:pt idx="61">
                  <c:v>-28.696368024914189</c:v>
                </c:pt>
                <c:pt idx="62">
                  <c:v>-28.778536443089962</c:v>
                </c:pt>
                <c:pt idx="63">
                  <c:v>-29.070728591425024</c:v>
                </c:pt>
                <c:pt idx="64">
                  <c:v>-29.070728591425024</c:v>
                </c:pt>
                <c:pt idx="65">
                  <c:v>-29.070728591425024</c:v>
                </c:pt>
                <c:pt idx="66">
                  <c:v>-29.070728591425024</c:v>
                </c:pt>
                <c:pt idx="67">
                  <c:v>-29.070728591425024</c:v>
                </c:pt>
                <c:pt idx="68">
                  <c:v>-29.070728591425024</c:v>
                </c:pt>
                <c:pt idx="69">
                  <c:v>-29.070728591425024</c:v>
                </c:pt>
                <c:pt idx="70">
                  <c:v>-29.070728591425024</c:v>
                </c:pt>
                <c:pt idx="71">
                  <c:v>-29.070728591425024</c:v>
                </c:pt>
                <c:pt idx="72">
                  <c:v>-29.070728591425024</c:v>
                </c:pt>
                <c:pt idx="73">
                  <c:v>-29.070728591425024</c:v>
                </c:pt>
                <c:pt idx="74">
                  <c:v>-29.070728591425024</c:v>
                </c:pt>
                <c:pt idx="75">
                  <c:v>-29.070728591425024</c:v>
                </c:pt>
                <c:pt idx="76">
                  <c:v>-29.070728591425024</c:v>
                </c:pt>
                <c:pt idx="77">
                  <c:v>-29.070728591425024</c:v>
                </c:pt>
                <c:pt idx="78">
                  <c:v>-29.070728591425024</c:v>
                </c:pt>
                <c:pt idx="79">
                  <c:v>-29.070728591425024</c:v>
                </c:pt>
                <c:pt idx="80">
                  <c:v>-29.070728591425024</c:v>
                </c:pt>
                <c:pt idx="81">
                  <c:v>-29.070728591425024</c:v>
                </c:pt>
                <c:pt idx="82">
                  <c:v>-29.070728591425024</c:v>
                </c:pt>
                <c:pt idx="83">
                  <c:v>-29.070728591425024</c:v>
                </c:pt>
                <c:pt idx="84">
                  <c:v>-29.070728591425024</c:v>
                </c:pt>
                <c:pt idx="85">
                  <c:v>-29.070728591425024</c:v>
                </c:pt>
                <c:pt idx="86">
                  <c:v>-29.070728591425024</c:v>
                </c:pt>
                <c:pt idx="87">
                  <c:v>-29.070728591425024</c:v>
                </c:pt>
                <c:pt idx="88">
                  <c:v>-29.070728591425024</c:v>
                </c:pt>
                <c:pt idx="89">
                  <c:v>-29.070728591425024</c:v>
                </c:pt>
                <c:pt idx="90">
                  <c:v>-29.070728591425024</c:v>
                </c:pt>
                <c:pt idx="91">
                  <c:v>-29.070728591425024</c:v>
                </c:pt>
                <c:pt idx="92">
                  <c:v>-29.070728591425024</c:v>
                </c:pt>
                <c:pt idx="93">
                  <c:v>-29.070728591425024</c:v>
                </c:pt>
                <c:pt idx="94">
                  <c:v>-29.070728591425024</c:v>
                </c:pt>
                <c:pt idx="95">
                  <c:v>-29.070728591425024</c:v>
                </c:pt>
                <c:pt idx="96">
                  <c:v>-29.070728591425024</c:v>
                </c:pt>
                <c:pt idx="97">
                  <c:v>-29.070728591425024</c:v>
                </c:pt>
                <c:pt idx="98">
                  <c:v>-29.070728591425024</c:v>
                </c:pt>
                <c:pt idx="99">
                  <c:v>-29.070728591425024</c:v>
                </c:pt>
                <c:pt idx="100">
                  <c:v>-29.070728591425024</c:v>
                </c:pt>
                <c:pt idx="101">
                  <c:v>-29.070728591425024</c:v>
                </c:pt>
                <c:pt idx="102">
                  <c:v>-29.070728591425024</c:v>
                </c:pt>
                <c:pt idx="103">
                  <c:v>-29.070728591425024</c:v>
                </c:pt>
                <c:pt idx="104">
                  <c:v>-29.070728591425024</c:v>
                </c:pt>
                <c:pt idx="105">
                  <c:v>-29.070728591425024</c:v>
                </c:pt>
                <c:pt idx="106">
                  <c:v>-29.070728591425024</c:v>
                </c:pt>
                <c:pt idx="107">
                  <c:v>-29.070728591425024</c:v>
                </c:pt>
                <c:pt idx="108">
                  <c:v>-29.070728591425024</c:v>
                </c:pt>
                <c:pt idx="109">
                  <c:v>-29.070728591425024</c:v>
                </c:pt>
                <c:pt idx="110">
                  <c:v>-29.070728591425024</c:v>
                </c:pt>
                <c:pt idx="111">
                  <c:v>-29.070728591425024</c:v>
                </c:pt>
                <c:pt idx="112">
                  <c:v>-29.070728591425024</c:v>
                </c:pt>
                <c:pt idx="113">
                  <c:v>-29.070728591425024</c:v>
                </c:pt>
                <c:pt idx="114">
                  <c:v>-29.070728591425024</c:v>
                </c:pt>
                <c:pt idx="115">
                  <c:v>-29.070728591425024</c:v>
                </c:pt>
                <c:pt idx="116">
                  <c:v>-29.070728591425024</c:v>
                </c:pt>
                <c:pt idx="117">
                  <c:v>-29.070728591425024</c:v>
                </c:pt>
                <c:pt idx="118">
                  <c:v>-29.070728591425024</c:v>
                </c:pt>
                <c:pt idx="119">
                  <c:v>-29.070728591425024</c:v>
                </c:pt>
                <c:pt idx="120">
                  <c:v>-29.070728591425024</c:v>
                </c:pt>
                <c:pt idx="121">
                  <c:v>-29.070728591425024</c:v>
                </c:pt>
                <c:pt idx="122">
                  <c:v>-29.070728591425024</c:v>
                </c:pt>
                <c:pt idx="123">
                  <c:v>-29.070728591425024</c:v>
                </c:pt>
                <c:pt idx="124">
                  <c:v>-29.070728591425024</c:v>
                </c:pt>
                <c:pt idx="125">
                  <c:v>-29.070728591425024</c:v>
                </c:pt>
                <c:pt idx="126">
                  <c:v>-29.070728591425024</c:v>
                </c:pt>
                <c:pt idx="127">
                  <c:v>-29.070728591425024</c:v>
                </c:pt>
                <c:pt idx="128">
                  <c:v>-29.070728591425024</c:v>
                </c:pt>
                <c:pt idx="129">
                  <c:v>-29.070728591425024</c:v>
                </c:pt>
                <c:pt idx="130">
                  <c:v>-29.070728591425024</c:v>
                </c:pt>
                <c:pt idx="131">
                  <c:v>-29.070728591425024</c:v>
                </c:pt>
                <c:pt idx="132">
                  <c:v>-29.070728591425024</c:v>
                </c:pt>
                <c:pt idx="133">
                  <c:v>-29.070728591425024</c:v>
                </c:pt>
                <c:pt idx="134">
                  <c:v>-29.070728591425024</c:v>
                </c:pt>
                <c:pt idx="135">
                  <c:v>-29.070728591425024</c:v>
                </c:pt>
                <c:pt idx="136">
                  <c:v>-29.070728591425024</c:v>
                </c:pt>
                <c:pt idx="137">
                  <c:v>-29.070728591425024</c:v>
                </c:pt>
                <c:pt idx="138">
                  <c:v>-29.070728591425024</c:v>
                </c:pt>
                <c:pt idx="139">
                  <c:v>-29.070728591425024</c:v>
                </c:pt>
                <c:pt idx="140">
                  <c:v>-29.070728591425024</c:v>
                </c:pt>
                <c:pt idx="141">
                  <c:v>-29.070728591425024</c:v>
                </c:pt>
                <c:pt idx="142">
                  <c:v>-29.070728591425024</c:v>
                </c:pt>
                <c:pt idx="143">
                  <c:v>-29.070728591425024</c:v>
                </c:pt>
                <c:pt idx="144">
                  <c:v>-29.070728591425024</c:v>
                </c:pt>
                <c:pt idx="145">
                  <c:v>-29.070728591425024</c:v>
                </c:pt>
                <c:pt idx="146">
                  <c:v>-29.070728591425024</c:v>
                </c:pt>
                <c:pt idx="147">
                  <c:v>-29.070728591425024</c:v>
                </c:pt>
                <c:pt idx="148">
                  <c:v>-29.070728591425024</c:v>
                </c:pt>
                <c:pt idx="149">
                  <c:v>-29.070728591425024</c:v>
                </c:pt>
                <c:pt idx="150">
                  <c:v>-29.070728591425024</c:v>
                </c:pt>
                <c:pt idx="151">
                  <c:v>-29.070728591425024</c:v>
                </c:pt>
                <c:pt idx="152">
                  <c:v>-29.070728591425024</c:v>
                </c:pt>
                <c:pt idx="153">
                  <c:v>-29.070728591425024</c:v>
                </c:pt>
                <c:pt idx="154">
                  <c:v>-29.070728591425024</c:v>
                </c:pt>
                <c:pt idx="155">
                  <c:v>-29.070728591425024</c:v>
                </c:pt>
                <c:pt idx="156">
                  <c:v>-29.070728591425024</c:v>
                </c:pt>
                <c:pt idx="157">
                  <c:v>-29.070728591425024</c:v>
                </c:pt>
                <c:pt idx="158">
                  <c:v>-29.070728591425024</c:v>
                </c:pt>
                <c:pt idx="159">
                  <c:v>-29.070728591425024</c:v>
                </c:pt>
                <c:pt idx="160">
                  <c:v>-29.070728591425024</c:v>
                </c:pt>
                <c:pt idx="161">
                  <c:v>-29.070728591425024</c:v>
                </c:pt>
                <c:pt idx="162">
                  <c:v>-29.070728591425024</c:v>
                </c:pt>
                <c:pt idx="163">
                  <c:v>-29.070728591425024</c:v>
                </c:pt>
                <c:pt idx="164">
                  <c:v>-29.070728591425024</c:v>
                </c:pt>
                <c:pt idx="165">
                  <c:v>-29.070728591425024</c:v>
                </c:pt>
                <c:pt idx="166">
                  <c:v>-29.070728591425024</c:v>
                </c:pt>
                <c:pt idx="167">
                  <c:v>-29.070728591425024</c:v>
                </c:pt>
                <c:pt idx="168">
                  <c:v>-29.070728591425024</c:v>
                </c:pt>
                <c:pt idx="169">
                  <c:v>-29.070728591425024</c:v>
                </c:pt>
                <c:pt idx="170">
                  <c:v>-29.070728591425024</c:v>
                </c:pt>
                <c:pt idx="171">
                  <c:v>-29.070728591425024</c:v>
                </c:pt>
                <c:pt idx="172">
                  <c:v>-29.070728591425024</c:v>
                </c:pt>
                <c:pt idx="173">
                  <c:v>-29.070728591425024</c:v>
                </c:pt>
                <c:pt idx="174">
                  <c:v>-29.070728591425024</c:v>
                </c:pt>
                <c:pt idx="175">
                  <c:v>-29.070728591425024</c:v>
                </c:pt>
                <c:pt idx="176">
                  <c:v>-29.070728591425024</c:v>
                </c:pt>
                <c:pt idx="177">
                  <c:v>-29.070728591425024</c:v>
                </c:pt>
                <c:pt idx="178">
                  <c:v>-29.070728591425024</c:v>
                </c:pt>
                <c:pt idx="179">
                  <c:v>-29.070728591425024</c:v>
                </c:pt>
                <c:pt idx="180">
                  <c:v>-29.070728591425024</c:v>
                </c:pt>
                <c:pt idx="181">
                  <c:v>-29.070728591425024</c:v>
                </c:pt>
                <c:pt idx="182">
                  <c:v>-29.070728591425024</c:v>
                </c:pt>
                <c:pt idx="183">
                  <c:v>-29.070728591425024</c:v>
                </c:pt>
                <c:pt idx="184">
                  <c:v>-29.070728591425024</c:v>
                </c:pt>
                <c:pt idx="185">
                  <c:v>-29.070728591425024</c:v>
                </c:pt>
                <c:pt idx="186">
                  <c:v>-29.070728591425024</c:v>
                </c:pt>
                <c:pt idx="187">
                  <c:v>-29.070728591425024</c:v>
                </c:pt>
                <c:pt idx="188">
                  <c:v>-29.070728591425024</c:v>
                </c:pt>
                <c:pt idx="189">
                  <c:v>-29.070728591425024</c:v>
                </c:pt>
                <c:pt idx="190">
                  <c:v>-29.070728591425024</c:v>
                </c:pt>
                <c:pt idx="191">
                  <c:v>-29.070728591425024</c:v>
                </c:pt>
                <c:pt idx="192">
                  <c:v>-29.070728591425024</c:v>
                </c:pt>
                <c:pt idx="193">
                  <c:v>-29.070728591425024</c:v>
                </c:pt>
                <c:pt idx="194">
                  <c:v>-29.070728591425024</c:v>
                </c:pt>
                <c:pt idx="195">
                  <c:v>-29.070728591425024</c:v>
                </c:pt>
                <c:pt idx="196">
                  <c:v>-29.070728591425024</c:v>
                </c:pt>
                <c:pt idx="197">
                  <c:v>-29.070728591425024</c:v>
                </c:pt>
                <c:pt idx="198">
                  <c:v>-29.070728591425024</c:v>
                </c:pt>
                <c:pt idx="199">
                  <c:v>-29.070728591425024</c:v>
                </c:pt>
                <c:pt idx="200">
                  <c:v>-29.070728591425024</c:v>
                </c:pt>
                <c:pt idx="201">
                  <c:v>-29.070728591425024</c:v>
                </c:pt>
                <c:pt idx="202">
                  <c:v>-29.070728591425024</c:v>
                </c:pt>
                <c:pt idx="203">
                  <c:v>-29.070728591425024</c:v>
                </c:pt>
                <c:pt idx="204">
                  <c:v>-29.070728591425024</c:v>
                </c:pt>
                <c:pt idx="205">
                  <c:v>-29.070728591425024</c:v>
                </c:pt>
                <c:pt idx="206">
                  <c:v>-29.070728591425024</c:v>
                </c:pt>
                <c:pt idx="207">
                  <c:v>-29.070728591425024</c:v>
                </c:pt>
                <c:pt idx="208">
                  <c:v>-29.070728591425024</c:v>
                </c:pt>
                <c:pt idx="209">
                  <c:v>-29.070728591425024</c:v>
                </c:pt>
                <c:pt idx="210">
                  <c:v>-29.070728591425024</c:v>
                </c:pt>
                <c:pt idx="211">
                  <c:v>-29.070728591425024</c:v>
                </c:pt>
                <c:pt idx="212">
                  <c:v>-29.070728591425024</c:v>
                </c:pt>
                <c:pt idx="213">
                  <c:v>-29.070728591425024</c:v>
                </c:pt>
                <c:pt idx="214">
                  <c:v>-29.070728591425024</c:v>
                </c:pt>
                <c:pt idx="215">
                  <c:v>-29.070728591425024</c:v>
                </c:pt>
                <c:pt idx="216">
                  <c:v>-29.070728591425024</c:v>
                </c:pt>
                <c:pt idx="217">
                  <c:v>-29.070728591425024</c:v>
                </c:pt>
                <c:pt idx="218">
                  <c:v>-29.070728591425024</c:v>
                </c:pt>
                <c:pt idx="219">
                  <c:v>-29.070728591425024</c:v>
                </c:pt>
                <c:pt idx="220">
                  <c:v>-29.070728591425024</c:v>
                </c:pt>
                <c:pt idx="221">
                  <c:v>-29.070728591425024</c:v>
                </c:pt>
                <c:pt idx="222">
                  <c:v>-29.070728591425024</c:v>
                </c:pt>
                <c:pt idx="223">
                  <c:v>-29.070728591425024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45519</c:v>
                </c:pt>
                <c:pt idx="1">
                  <c:v>45520</c:v>
                </c:pt>
                <c:pt idx="2">
                  <c:v>45521</c:v>
                </c:pt>
                <c:pt idx="3">
                  <c:v>45522</c:v>
                </c:pt>
                <c:pt idx="4">
                  <c:v>45523</c:v>
                </c:pt>
                <c:pt idx="5">
                  <c:v>45524</c:v>
                </c:pt>
                <c:pt idx="6">
                  <c:v>45525</c:v>
                </c:pt>
                <c:pt idx="7">
                  <c:v>45526</c:v>
                </c:pt>
                <c:pt idx="8">
                  <c:v>45527</c:v>
                </c:pt>
                <c:pt idx="9">
                  <c:v>45528</c:v>
                </c:pt>
                <c:pt idx="10">
                  <c:v>45529</c:v>
                </c:pt>
                <c:pt idx="11">
                  <c:v>45530</c:v>
                </c:pt>
                <c:pt idx="12">
                  <c:v>45531</c:v>
                </c:pt>
                <c:pt idx="13">
                  <c:v>45532</c:v>
                </c:pt>
                <c:pt idx="14">
                  <c:v>45533</c:v>
                </c:pt>
                <c:pt idx="15">
                  <c:v>45534</c:v>
                </c:pt>
                <c:pt idx="16">
                  <c:v>45535</c:v>
                </c:pt>
                <c:pt idx="17">
                  <c:v>45536</c:v>
                </c:pt>
                <c:pt idx="18">
                  <c:v>45537</c:v>
                </c:pt>
                <c:pt idx="19">
                  <c:v>45538</c:v>
                </c:pt>
                <c:pt idx="20">
                  <c:v>45539</c:v>
                </c:pt>
                <c:pt idx="21">
                  <c:v>45540</c:v>
                </c:pt>
                <c:pt idx="22">
                  <c:v>45541</c:v>
                </c:pt>
                <c:pt idx="23">
                  <c:v>45542</c:v>
                </c:pt>
                <c:pt idx="24">
                  <c:v>45543</c:v>
                </c:pt>
                <c:pt idx="25">
                  <c:v>45544</c:v>
                </c:pt>
                <c:pt idx="26">
                  <c:v>45545</c:v>
                </c:pt>
                <c:pt idx="27">
                  <c:v>45546</c:v>
                </c:pt>
                <c:pt idx="28">
                  <c:v>45547</c:v>
                </c:pt>
                <c:pt idx="29">
                  <c:v>45548</c:v>
                </c:pt>
                <c:pt idx="30">
                  <c:v>45549</c:v>
                </c:pt>
                <c:pt idx="31">
                  <c:v>45550</c:v>
                </c:pt>
                <c:pt idx="32">
                  <c:v>45551</c:v>
                </c:pt>
                <c:pt idx="33">
                  <c:v>45552</c:v>
                </c:pt>
                <c:pt idx="34">
                  <c:v>45553</c:v>
                </c:pt>
                <c:pt idx="35">
                  <c:v>45554</c:v>
                </c:pt>
                <c:pt idx="36">
                  <c:v>45555</c:v>
                </c:pt>
                <c:pt idx="37">
                  <c:v>45556</c:v>
                </c:pt>
                <c:pt idx="38">
                  <c:v>45557</c:v>
                </c:pt>
                <c:pt idx="39">
                  <c:v>45558</c:v>
                </c:pt>
                <c:pt idx="40">
                  <c:v>45559</c:v>
                </c:pt>
                <c:pt idx="41">
                  <c:v>45560</c:v>
                </c:pt>
                <c:pt idx="42">
                  <c:v>45561</c:v>
                </c:pt>
                <c:pt idx="43">
                  <c:v>45562</c:v>
                </c:pt>
                <c:pt idx="44">
                  <c:v>45563</c:v>
                </c:pt>
                <c:pt idx="45">
                  <c:v>45564</c:v>
                </c:pt>
                <c:pt idx="46">
                  <c:v>45565</c:v>
                </c:pt>
                <c:pt idx="47">
                  <c:v>45566</c:v>
                </c:pt>
                <c:pt idx="48">
                  <c:v>45567</c:v>
                </c:pt>
                <c:pt idx="49">
                  <c:v>45568</c:v>
                </c:pt>
                <c:pt idx="50">
                  <c:v>45569</c:v>
                </c:pt>
                <c:pt idx="51">
                  <c:v>45570</c:v>
                </c:pt>
                <c:pt idx="52">
                  <c:v>45571</c:v>
                </c:pt>
                <c:pt idx="53">
                  <c:v>45572</c:v>
                </c:pt>
                <c:pt idx="54">
                  <c:v>45573</c:v>
                </c:pt>
                <c:pt idx="55">
                  <c:v>45574</c:v>
                </c:pt>
                <c:pt idx="56">
                  <c:v>45575</c:v>
                </c:pt>
                <c:pt idx="57">
                  <c:v>45576</c:v>
                </c:pt>
                <c:pt idx="58">
                  <c:v>45577</c:v>
                </c:pt>
                <c:pt idx="59">
                  <c:v>45578</c:v>
                </c:pt>
                <c:pt idx="60">
                  <c:v>45579</c:v>
                </c:pt>
                <c:pt idx="61">
                  <c:v>45580</c:v>
                </c:pt>
                <c:pt idx="62">
                  <c:v>45581</c:v>
                </c:pt>
                <c:pt idx="63">
                  <c:v>45582</c:v>
                </c:pt>
                <c:pt idx="64">
                  <c:v>45583</c:v>
                </c:pt>
                <c:pt idx="65">
                  <c:v>45584</c:v>
                </c:pt>
                <c:pt idx="66">
                  <c:v>45585</c:v>
                </c:pt>
                <c:pt idx="67">
                  <c:v>45586</c:v>
                </c:pt>
                <c:pt idx="68">
                  <c:v>45587</c:v>
                </c:pt>
                <c:pt idx="69">
                  <c:v>45588</c:v>
                </c:pt>
                <c:pt idx="70">
                  <c:v>45589</c:v>
                </c:pt>
                <c:pt idx="71">
                  <c:v>45590</c:v>
                </c:pt>
                <c:pt idx="72">
                  <c:v>45591</c:v>
                </c:pt>
                <c:pt idx="73">
                  <c:v>45592</c:v>
                </c:pt>
                <c:pt idx="74">
                  <c:v>45593</c:v>
                </c:pt>
                <c:pt idx="75">
                  <c:v>45594</c:v>
                </c:pt>
                <c:pt idx="76">
                  <c:v>45595</c:v>
                </c:pt>
                <c:pt idx="77">
                  <c:v>45596</c:v>
                </c:pt>
                <c:pt idx="78">
                  <c:v>45597</c:v>
                </c:pt>
                <c:pt idx="79">
                  <c:v>45598</c:v>
                </c:pt>
                <c:pt idx="80">
                  <c:v>45599</c:v>
                </c:pt>
                <c:pt idx="81">
                  <c:v>45600</c:v>
                </c:pt>
                <c:pt idx="82">
                  <c:v>45601</c:v>
                </c:pt>
                <c:pt idx="83">
                  <c:v>45602</c:v>
                </c:pt>
                <c:pt idx="84">
                  <c:v>45603</c:v>
                </c:pt>
                <c:pt idx="85">
                  <c:v>45604</c:v>
                </c:pt>
                <c:pt idx="86">
                  <c:v>45605</c:v>
                </c:pt>
                <c:pt idx="87">
                  <c:v>45606</c:v>
                </c:pt>
                <c:pt idx="88">
                  <c:v>45607</c:v>
                </c:pt>
                <c:pt idx="89">
                  <c:v>45608</c:v>
                </c:pt>
                <c:pt idx="90">
                  <c:v>45609</c:v>
                </c:pt>
                <c:pt idx="91">
                  <c:v>45610</c:v>
                </c:pt>
                <c:pt idx="92">
                  <c:v>45611</c:v>
                </c:pt>
                <c:pt idx="93">
                  <c:v>45612</c:v>
                </c:pt>
                <c:pt idx="94">
                  <c:v>45613</c:v>
                </c:pt>
                <c:pt idx="95">
                  <c:v>45614</c:v>
                </c:pt>
                <c:pt idx="96">
                  <c:v>45615</c:v>
                </c:pt>
                <c:pt idx="97">
                  <c:v>45616</c:v>
                </c:pt>
                <c:pt idx="98">
                  <c:v>45617</c:v>
                </c:pt>
                <c:pt idx="99">
                  <c:v>45618</c:v>
                </c:pt>
                <c:pt idx="100">
                  <c:v>45619</c:v>
                </c:pt>
                <c:pt idx="101">
                  <c:v>45620</c:v>
                </c:pt>
                <c:pt idx="102">
                  <c:v>45621</c:v>
                </c:pt>
                <c:pt idx="103">
                  <c:v>45622</c:v>
                </c:pt>
                <c:pt idx="104">
                  <c:v>45623</c:v>
                </c:pt>
                <c:pt idx="105">
                  <c:v>45624</c:v>
                </c:pt>
                <c:pt idx="106">
                  <c:v>45625</c:v>
                </c:pt>
                <c:pt idx="107">
                  <c:v>45626</c:v>
                </c:pt>
                <c:pt idx="108">
                  <c:v>45627</c:v>
                </c:pt>
                <c:pt idx="109">
                  <c:v>45628</c:v>
                </c:pt>
                <c:pt idx="110">
                  <c:v>45629</c:v>
                </c:pt>
                <c:pt idx="111">
                  <c:v>45630</c:v>
                </c:pt>
                <c:pt idx="112">
                  <c:v>45631</c:v>
                </c:pt>
                <c:pt idx="113">
                  <c:v>45632</c:v>
                </c:pt>
                <c:pt idx="114">
                  <c:v>45633</c:v>
                </c:pt>
                <c:pt idx="115">
                  <c:v>45634</c:v>
                </c:pt>
                <c:pt idx="116">
                  <c:v>45635</c:v>
                </c:pt>
                <c:pt idx="117">
                  <c:v>45636</c:v>
                </c:pt>
                <c:pt idx="118">
                  <c:v>45637</c:v>
                </c:pt>
                <c:pt idx="119">
                  <c:v>45638</c:v>
                </c:pt>
                <c:pt idx="120">
                  <c:v>45639</c:v>
                </c:pt>
                <c:pt idx="121">
                  <c:v>45640</c:v>
                </c:pt>
                <c:pt idx="122">
                  <c:v>45641</c:v>
                </c:pt>
                <c:pt idx="123">
                  <c:v>45642</c:v>
                </c:pt>
                <c:pt idx="124">
                  <c:v>45643</c:v>
                </c:pt>
                <c:pt idx="125">
                  <c:v>45644</c:v>
                </c:pt>
                <c:pt idx="126">
                  <c:v>45645</c:v>
                </c:pt>
                <c:pt idx="127">
                  <c:v>45646</c:v>
                </c:pt>
                <c:pt idx="128">
                  <c:v>45647</c:v>
                </c:pt>
                <c:pt idx="129">
                  <c:v>45648</c:v>
                </c:pt>
                <c:pt idx="130">
                  <c:v>45649</c:v>
                </c:pt>
                <c:pt idx="131">
                  <c:v>45650</c:v>
                </c:pt>
                <c:pt idx="132">
                  <c:v>45651</c:v>
                </c:pt>
                <c:pt idx="133">
                  <c:v>45652</c:v>
                </c:pt>
                <c:pt idx="134">
                  <c:v>45653</c:v>
                </c:pt>
                <c:pt idx="135">
                  <c:v>45654</c:v>
                </c:pt>
                <c:pt idx="136">
                  <c:v>45655</c:v>
                </c:pt>
                <c:pt idx="137">
                  <c:v>45656</c:v>
                </c:pt>
                <c:pt idx="138">
                  <c:v>45657</c:v>
                </c:pt>
                <c:pt idx="139">
                  <c:v>45658</c:v>
                </c:pt>
                <c:pt idx="140">
                  <c:v>45659</c:v>
                </c:pt>
                <c:pt idx="141">
                  <c:v>45660</c:v>
                </c:pt>
                <c:pt idx="142">
                  <c:v>45661</c:v>
                </c:pt>
                <c:pt idx="143">
                  <c:v>45662</c:v>
                </c:pt>
                <c:pt idx="144">
                  <c:v>45663</c:v>
                </c:pt>
                <c:pt idx="145">
                  <c:v>45664</c:v>
                </c:pt>
                <c:pt idx="146">
                  <c:v>45665</c:v>
                </c:pt>
                <c:pt idx="147">
                  <c:v>45666</c:v>
                </c:pt>
                <c:pt idx="148">
                  <c:v>45667</c:v>
                </c:pt>
                <c:pt idx="149">
                  <c:v>45668</c:v>
                </c:pt>
                <c:pt idx="150">
                  <c:v>45669</c:v>
                </c:pt>
                <c:pt idx="151">
                  <c:v>45670</c:v>
                </c:pt>
                <c:pt idx="152">
                  <c:v>45671</c:v>
                </c:pt>
                <c:pt idx="153">
                  <c:v>45672</c:v>
                </c:pt>
                <c:pt idx="154">
                  <c:v>45673</c:v>
                </c:pt>
                <c:pt idx="155">
                  <c:v>45674</c:v>
                </c:pt>
                <c:pt idx="156">
                  <c:v>45675</c:v>
                </c:pt>
                <c:pt idx="157">
                  <c:v>45676</c:v>
                </c:pt>
                <c:pt idx="158">
                  <c:v>45677</c:v>
                </c:pt>
                <c:pt idx="159">
                  <c:v>45678</c:v>
                </c:pt>
                <c:pt idx="160">
                  <c:v>45679</c:v>
                </c:pt>
                <c:pt idx="161">
                  <c:v>45680</c:v>
                </c:pt>
                <c:pt idx="162">
                  <c:v>45681</c:v>
                </c:pt>
                <c:pt idx="163">
                  <c:v>45682</c:v>
                </c:pt>
                <c:pt idx="164">
                  <c:v>45683</c:v>
                </c:pt>
                <c:pt idx="165">
                  <c:v>45684</c:v>
                </c:pt>
                <c:pt idx="166">
                  <c:v>45685</c:v>
                </c:pt>
                <c:pt idx="167">
                  <c:v>45686</c:v>
                </c:pt>
                <c:pt idx="168">
                  <c:v>45687</c:v>
                </c:pt>
                <c:pt idx="169">
                  <c:v>45688</c:v>
                </c:pt>
                <c:pt idx="170">
                  <c:v>45689</c:v>
                </c:pt>
                <c:pt idx="171">
                  <c:v>45690</c:v>
                </c:pt>
                <c:pt idx="172">
                  <c:v>45691</c:v>
                </c:pt>
                <c:pt idx="173">
                  <c:v>45692</c:v>
                </c:pt>
                <c:pt idx="174">
                  <c:v>45693</c:v>
                </c:pt>
                <c:pt idx="175">
                  <c:v>45694</c:v>
                </c:pt>
                <c:pt idx="176">
                  <c:v>45695</c:v>
                </c:pt>
                <c:pt idx="177">
                  <c:v>45696</c:v>
                </c:pt>
                <c:pt idx="178">
                  <c:v>45697</c:v>
                </c:pt>
                <c:pt idx="179">
                  <c:v>45698</c:v>
                </c:pt>
                <c:pt idx="180">
                  <c:v>45699</c:v>
                </c:pt>
                <c:pt idx="181">
                  <c:v>45700</c:v>
                </c:pt>
                <c:pt idx="182">
                  <c:v>45701</c:v>
                </c:pt>
                <c:pt idx="183">
                  <c:v>45702</c:v>
                </c:pt>
                <c:pt idx="184">
                  <c:v>45703</c:v>
                </c:pt>
                <c:pt idx="185">
                  <c:v>45704</c:v>
                </c:pt>
                <c:pt idx="186">
                  <c:v>45705</c:v>
                </c:pt>
                <c:pt idx="187">
                  <c:v>45706</c:v>
                </c:pt>
                <c:pt idx="188">
                  <c:v>45707</c:v>
                </c:pt>
                <c:pt idx="189">
                  <c:v>45708</c:v>
                </c:pt>
                <c:pt idx="190">
                  <c:v>45709</c:v>
                </c:pt>
                <c:pt idx="191">
                  <c:v>45710</c:v>
                </c:pt>
                <c:pt idx="192">
                  <c:v>45711</c:v>
                </c:pt>
                <c:pt idx="193">
                  <c:v>45712</c:v>
                </c:pt>
                <c:pt idx="194">
                  <c:v>45713</c:v>
                </c:pt>
                <c:pt idx="195">
                  <c:v>45714</c:v>
                </c:pt>
                <c:pt idx="196">
                  <c:v>45715</c:v>
                </c:pt>
                <c:pt idx="197">
                  <c:v>45716</c:v>
                </c:pt>
                <c:pt idx="198">
                  <c:v>45717</c:v>
                </c:pt>
                <c:pt idx="199">
                  <c:v>45718</c:v>
                </c:pt>
                <c:pt idx="200">
                  <c:v>45719</c:v>
                </c:pt>
                <c:pt idx="201">
                  <c:v>45720</c:v>
                </c:pt>
                <c:pt idx="202">
                  <c:v>45721</c:v>
                </c:pt>
                <c:pt idx="203">
                  <c:v>45722</c:v>
                </c:pt>
                <c:pt idx="204">
                  <c:v>45723</c:v>
                </c:pt>
                <c:pt idx="205">
                  <c:v>45724</c:v>
                </c:pt>
                <c:pt idx="206">
                  <c:v>45725</c:v>
                </c:pt>
                <c:pt idx="207">
                  <c:v>45726</c:v>
                </c:pt>
                <c:pt idx="208">
                  <c:v>45727</c:v>
                </c:pt>
                <c:pt idx="209">
                  <c:v>45728</c:v>
                </c:pt>
                <c:pt idx="210">
                  <c:v>45729</c:v>
                </c:pt>
                <c:pt idx="211">
                  <c:v>45730</c:v>
                </c:pt>
                <c:pt idx="212">
                  <c:v>45731</c:v>
                </c:pt>
                <c:pt idx="213">
                  <c:v>45732</c:v>
                </c:pt>
                <c:pt idx="214">
                  <c:v>45733</c:v>
                </c:pt>
                <c:pt idx="215">
                  <c:v>45734</c:v>
                </c:pt>
                <c:pt idx="216">
                  <c:v>45735</c:v>
                </c:pt>
                <c:pt idx="217">
                  <c:v>45736</c:v>
                </c:pt>
                <c:pt idx="218">
                  <c:v>45737</c:v>
                </c:pt>
                <c:pt idx="219">
                  <c:v>45738</c:v>
                </c:pt>
                <c:pt idx="220">
                  <c:v>45739</c:v>
                </c:pt>
                <c:pt idx="221">
                  <c:v>45740</c:v>
                </c:pt>
                <c:pt idx="222">
                  <c:v>45741</c:v>
                </c:pt>
                <c:pt idx="223">
                  <c:v>45742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0.57479409162341311</c:v>
                </c:pt>
                <c:pt idx="1">
                  <c:v>1.1807742137827097</c:v>
                </c:pt>
                <c:pt idx="2">
                  <c:v>1.7937940475137326</c:v>
                </c:pt>
                <c:pt idx="3">
                  <c:v>2.4104267491252025</c:v>
                </c:pt>
                <c:pt idx="4">
                  <c:v>3.0440983842118476</c:v>
                </c:pt>
                <c:pt idx="5">
                  <c:v>3.6951045583404261</c:v>
                </c:pt>
                <c:pt idx="6">
                  <c:v>4.354259754293345</c:v>
                </c:pt>
                <c:pt idx="7">
                  <c:v>5.0292664794745034</c:v>
                </c:pt>
                <c:pt idx="8">
                  <c:v>5.7049122106646566</c:v>
                </c:pt>
                <c:pt idx="9">
                  <c:v>6.3927714821320878</c:v>
                </c:pt>
                <c:pt idx="10">
                  <c:v>7.0716179574427134</c:v>
                </c:pt>
                <c:pt idx="11">
                  <c:v>7.7485428433032064</c:v>
                </c:pt>
                <c:pt idx="12">
                  <c:v>8.4039289918258682</c:v>
                </c:pt>
                <c:pt idx="13">
                  <c:v>9.058061824509581</c:v>
                </c:pt>
                <c:pt idx="14">
                  <c:v>9.7209997272532611</c:v>
                </c:pt>
                <c:pt idx="15">
                  <c:v>10.387734008267941</c:v>
                </c:pt>
                <c:pt idx="16">
                  <c:v>11.045002973847005</c:v>
                </c:pt>
                <c:pt idx="17">
                  <c:v>11.706047815015449</c:v>
                </c:pt>
                <c:pt idx="18">
                  <c:v>12.404299085537238</c:v>
                </c:pt>
                <c:pt idx="19">
                  <c:v>13.109095095780162</c:v>
                </c:pt>
                <c:pt idx="20">
                  <c:v>13.826431734648798</c:v>
                </c:pt>
                <c:pt idx="21">
                  <c:v>14.540454775388936</c:v>
                </c:pt>
                <c:pt idx="22">
                  <c:v>15.23544803135734</c:v>
                </c:pt>
                <c:pt idx="23">
                  <c:v>15.959440686953052</c:v>
                </c:pt>
                <c:pt idx="24">
                  <c:v>16.659651358461172</c:v>
                </c:pt>
                <c:pt idx="25">
                  <c:v>17.369710750982659</c:v>
                </c:pt>
                <c:pt idx="26">
                  <c:v>18.08904015862047</c:v>
                </c:pt>
                <c:pt idx="27">
                  <c:v>18.835270863357323</c:v>
                </c:pt>
                <c:pt idx="28">
                  <c:v>19.564616027098893</c:v>
                </c:pt>
                <c:pt idx="29">
                  <c:v>20.305417128591934</c:v>
                </c:pt>
                <c:pt idx="30">
                  <c:v>21.067395723373494</c:v>
                </c:pt>
                <c:pt idx="31">
                  <c:v>21.842537952123038</c:v>
                </c:pt>
                <c:pt idx="32">
                  <c:v>22.610734505432294</c:v>
                </c:pt>
                <c:pt idx="33">
                  <c:v>23.363786979679414</c:v>
                </c:pt>
                <c:pt idx="34">
                  <c:v>24.110698122469564</c:v>
                </c:pt>
                <c:pt idx="35">
                  <c:v>24.853532429797891</c:v>
                </c:pt>
                <c:pt idx="36">
                  <c:v>25.589602887918922</c:v>
                </c:pt>
                <c:pt idx="37">
                  <c:v>26.335833592655774</c:v>
                </c:pt>
                <c:pt idx="38">
                  <c:v>27.090940136560025</c:v>
                </c:pt>
                <c:pt idx="39">
                  <c:v>27.876573666917878</c:v>
                </c:pt>
                <c:pt idx="40">
                  <c:v>28.641311923906862</c:v>
                </c:pt>
                <c:pt idx="41">
                  <c:v>29.399849654817256</c:v>
                </c:pt>
                <c:pt idx="42">
                  <c:v>30.184781045229634</c:v>
                </c:pt>
                <c:pt idx="43">
                  <c:v>30.992373952425897</c:v>
                </c:pt>
                <c:pt idx="44">
                  <c:v>31.82448237598518</c:v>
                </c:pt>
                <c:pt idx="45">
                  <c:v>32.648609874017858</c:v>
                </c:pt>
                <c:pt idx="46">
                  <c:v>33.454774748782732</c:v>
                </c:pt>
                <c:pt idx="47">
                  <c:v>34.25524308927195</c:v>
                </c:pt>
                <c:pt idx="48">
                  <c:v>35.077202183235187</c:v>
                </c:pt>
                <c:pt idx="49">
                  <c:v>35.871291729355093</c:v>
                </c:pt>
                <c:pt idx="50">
                  <c:v>36.667504035307132</c:v>
                </c:pt>
                <c:pt idx="51">
                  <c:v>37.472242437507184</c:v>
                </c:pt>
                <c:pt idx="52">
                  <c:v>38.259984720517672</c:v>
                </c:pt>
                <c:pt idx="53">
                  <c:v>39.099389622527951</c:v>
                </c:pt>
                <c:pt idx="54">
                  <c:v>39.954244681534036</c:v>
                </c:pt>
                <c:pt idx="55">
                  <c:v>40.756134816918994</c:v>
                </c:pt>
                <c:pt idx="56">
                  <c:v>41.577371891237625</c:v>
                </c:pt>
                <c:pt idx="57">
                  <c:v>42.435931058462096</c:v>
                </c:pt>
                <c:pt idx="58">
                  <c:v>43.288568362682788</c:v>
                </c:pt>
                <c:pt idx="59">
                  <c:v>44.117043225408651</c:v>
                </c:pt>
                <c:pt idx="60">
                  <c:v>44.924636132604917</c:v>
                </c:pt>
                <c:pt idx="61">
                  <c:v>45.735805947391952</c:v>
                </c:pt>
                <c:pt idx="62">
                  <c:v>46.589921362361231</c:v>
                </c:pt>
                <c:pt idx="63">
                  <c:v>47.408274265633601</c:v>
                </c:pt>
                <c:pt idx="64">
                  <c:v>48.208742606122819</c:v>
                </c:pt>
                <c:pt idx="65">
                  <c:v>49.000712895887837</c:v>
                </c:pt>
                <c:pt idx="66">
                  <c:v>49.825563977116722</c:v>
                </c:pt>
                <c:pt idx="67">
                  <c:v>50.670834264851422</c:v>
                </c:pt>
                <c:pt idx="68">
                  <c:v>51.543558607460142</c:v>
                </c:pt>
                <c:pt idx="69">
                  <c:v>52.372759399854573</c:v>
                </c:pt>
                <c:pt idx="70">
                  <c:v>53.235032491896519</c:v>
                </c:pt>
                <c:pt idx="71">
                  <c:v>54.088407718713839</c:v>
                </c:pt>
                <c:pt idx="72">
                  <c:v>55.003950336444007</c:v>
                </c:pt>
                <c:pt idx="73">
                  <c:v>55.899102701456002</c:v>
                </c:pt>
                <c:pt idx="74">
                  <c:v>56.786788688200488</c:v>
                </c:pt>
                <c:pt idx="75">
                  <c:v>57.688417188327513</c:v>
                </c:pt>
                <c:pt idx="76">
                  <c:v>58.547212437020086</c:v>
                </c:pt>
                <c:pt idx="77">
                  <c:v>59.352000223512917</c:v>
                </c:pt>
                <c:pt idx="78">
                  <c:v>60.125683604984438</c:v>
                </c:pt>
                <c:pt idx="79">
                  <c:v>60.886894160782418</c:v>
                </c:pt>
                <c:pt idx="80">
                  <c:v>61.666642568829786</c:v>
                </c:pt>
                <c:pt idx="81">
                  <c:v>62.519250028580693</c:v>
                </c:pt>
                <c:pt idx="82">
                  <c:v>63.358206377694408</c:v>
                </c:pt>
                <c:pt idx="83">
                  <c:v>64.237553092567836</c:v>
                </c:pt>
                <c:pt idx="84">
                  <c:v>65.138741124939415</c:v>
                </c:pt>
                <c:pt idx="85">
                  <c:v>66.015784378885385</c:v>
                </c:pt>
                <c:pt idx="86">
                  <c:v>66.906753221941031</c:v>
                </c:pt>
                <c:pt idx="87">
                  <c:v>67.777743784887321</c:v>
                </c:pt>
                <c:pt idx="88">
                  <c:v>68.653530949822013</c:v>
                </c:pt>
                <c:pt idx="89">
                  <c:v>69.505537883762827</c:v>
                </c:pt>
                <c:pt idx="90">
                  <c:v>70.349413497735327</c:v>
                </c:pt>
                <c:pt idx="91">
                  <c:v>71.196288998150806</c:v>
                </c:pt>
                <c:pt idx="92">
                  <c:v>72.083334193904648</c:v>
                </c:pt>
                <c:pt idx="93">
                  <c:v>72.922934600255175</c:v>
                </c:pt>
                <c:pt idx="94">
                  <c:v>73.718599510272668</c:v>
                </c:pt>
                <c:pt idx="95">
                  <c:v>74.486229837456037</c:v>
                </c:pt>
                <c:pt idx="96">
                  <c:v>75.269157095654947</c:v>
                </c:pt>
                <c:pt idx="97">
                  <c:v>76.053610358331369</c:v>
                </c:pt>
                <c:pt idx="98">
                  <c:v>76.867036947241075</c:v>
                </c:pt>
                <c:pt idx="99">
                  <c:v>77.689641546500496</c:v>
                </c:pt>
                <c:pt idx="100">
                  <c:v>78.48977225976239</c:v>
                </c:pt>
                <c:pt idx="101">
                  <c:v>79.31881890611065</c:v>
                </c:pt>
                <c:pt idx="102">
                  <c:v>80.131010968805001</c:v>
                </c:pt>
                <c:pt idx="103">
                  <c:v>80.919073893954476</c:v>
                </c:pt>
                <c:pt idx="104">
                  <c:v>81.72097346185528</c:v>
                </c:pt>
                <c:pt idx="105">
                  <c:v>82.516868836742418</c:v>
                </c:pt>
                <c:pt idx="106">
                  <c:v>83.320784735179529</c:v>
                </c:pt>
                <c:pt idx="107">
                  <c:v>84.112179999843093</c:v>
                </c:pt>
                <c:pt idx="108">
                  <c:v>84.960988102686443</c:v>
                </c:pt>
                <c:pt idx="109">
                  <c:v>85.799263152258263</c:v>
                </c:pt>
                <c:pt idx="110">
                  <c:v>86.685343384978523</c:v>
                </c:pt>
                <c:pt idx="111">
                  <c:v>87.5810851244253</c:v>
                </c:pt>
                <c:pt idx="112">
                  <c:v>88.4781426222075</c:v>
                </c:pt>
                <c:pt idx="113">
                  <c:v>89.341513990277079</c:v>
                </c:pt>
                <c:pt idx="114">
                  <c:v>90.177772671004348</c:v>
                </c:pt>
                <c:pt idx="115">
                  <c:v>91.00358694441762</c:v>
                </c:pt>
                <c:pt idx="116">
                  <c:v>91.809342639250659</c:v>
                </c:pt>
                <c:pt idx="117">
                  <c:v>92.604932480331414</c:v>
                </c:pt>
                <c:pt idx="118">
                  <c:v>93.400764001906481</c:v>
                </c:pt>
                <c:pt idx="119">
                  <c:v>94.148751843059301</c:v>
                </c:pt>
                <c:pt idx="120">
                  <c:v>94.895388216493984</c:v>
                </c:pt>
                <c:pt idx="121">
                  <c:v>95.612031694069685</c:v>
                </c:pt>
                <c:pt idx="122">
                  <c:v>96.355013042261888</c:v>
                </c:pt>
                <c:pt idx="123">
                  <c:v>97.111267420941672</c:v>
                </c:pt>
                <c:pt idx="124">
                  <c:v>97.85898939367766</c:v>
                </c:pt>
                <c:pt idx="125">
                  <c:v>98.620527918015682</c:v>
                </c:pt>
                <c:pt idx="126">
                  <c:v>99.357643383296306</c:v>
                </c:pt>
                <c:pt idx="127">
                  <c:v>100.09188005598725</c:v>
                </c:pt>
                <c:pt idx="128">
                  <c:v>100.80033624774715</c:v>
                </c:pt>
                <c:pt idx="129">
                  <c:v>101.46433553180685</c:v>
                </c:pt>
                <c:pt idx="130">
                  <c:v>102.12687817365932</c:v>
                </c:pt>
                <c:pt idx="131">
                  <c:v>102.81116940007453</c:v>
                </c:pt>
                <c:pt idx="132">
                  <c:v>103.44706772405979</c:v>
                </c:pt>
                <c:pt idx="133">
                  <c:v>104.06667006552749</c:v>
                </c:pt>
                <c:pt idx="134">
                  <c:v>104.69354228164067</c:v>
                </c:pt>
                <c:pt idx="135">
                  <c:v>105.33440038430757</c:v>
                </c:pt>
                <c:pt idx="136">
                  <c:v>105.97982063294674</c:v>
                </c:pt>
                <c:pt idx="137">
                  <c:v>106.67848981388258</c:v>
                </c:pt>
                <c:pt idx="138">
                  <c:v>107.35253879432815</c:v>
                </c:pt>
                <c:pt idx="139">
                  <c:v>108.01530290787419</c:v>
                </c:pt>
                <c:pt idx="140">
                  <c:v>108.66947003457221</c:v>
                </c:pt>
                <c:pt idx="141">
                  <c:v>109.28951946185039</c:v>
                </c:pt>
                <c:pt idx="142">
                  <c:v>109.89941014877461</c:v>
                </c:pt>
                <c:pt idx="143">
                  <c:v>110.47616065763526</c:v>
                </c:pt>
                <c:pt idx="144">
                  <c:v>111.04559030321589</c:v>
                </c:pt>
                <c:pt idx="145">
                  <c:v>111.62098285323849</c:v>
                </c:pt>
                <c:pt idx="146">
                  <c:v>112.20630830443743</c:v>
                </c:pt>
                <c:pt idx="147">
                  <c:v>112.80537933541551</c:v>
                </c:pt>
                <c:pt idx="148">
                  <c:v>113.38274291203348</c:v>
                </c:pt>
                <c:pt idx="149">
                  <c:v>113.93726623986763</c:v>
                </c:pt>
                <c:pt idx="150">
                  <c:v>114.48277685299787</c:v>
                </c:pt>
                <c:pt idx="151">
                  <c:v>115.04901486206549</c:v>
                </c:pt>
                <c:pt idx="152">
                  <c:v>115.62295768556797</c:v>
                </c:pt>
                <c:pt idx="153">
                  <c:v>116.18514962273863</c:v>
                </c:pt>
                <c:pt idx="154">
                  <c:v>116.75363130479845</c:v>
                </c:pt>
                <c:pt idx="155">
                  <c:v>117.31708232427157</c:v>
                </c:pt>
                <c:pt idx="156">
                  <c:v>117.8802609425377</c:v>
                </c:pt>
                <c:pt idx="157">
                  <c:v>118.45417167658887</c:v>
                </c:pt>
                <c:pt idx="158">
                  <c:v>119.01213052969457</c:v>
                </c:pt>
                <c:pt idx="159">
                  <c:v>119.64567976967159</c:v>
                </c:pt>
                <c:pt idx="160">
                  <c:v>120.29401799902399</c:v>
                </c:pt>
                <c:pt idx="161">
                  <c:v>120.93726774979521</c:v>
                </c:pt>
                <c:pt idx="162">
                  <c:v>121.58880972857168</c:v>
                </c:pt>
                <c:pt idx="163">
                  <c:v>122.26075815728014</c:v>
                </c:pt>
                <c:pt idx="164">
                  <c:v>122.91690340449372</c:v>
                </c:pt>
                <c:pt idx="165">
                  <c:v>123.5553352998589</c:v>
                </c:pt>
                <c:pt idx="166">
                  <c:v>124.18942014651918</c:v>
                </c:pt>
                <c:pt idx="167">
                  <c:v>124.82749843859757</c:v>
                </c:pt>
                <c:pt idx="168">
                  <c:v>125.48185940665819</c:v>
                </c:pt>
                <c:pt idx="169">
                  <c:v>126.13398647617925</c:v>
                </c:pt>
                <c:pt idx="170">
                  <c:v>126.77215612545851</c:v>
                </c:pt>
                <c:pt idx="171">
                  <c:v>127.41771178275675</c:v>
                </c:pt>
                <c:pt idx="172">
                  <c:v>128.03399571544838</c:v>
                </c:pt>
                <c:pt idx="173">
                  <c:v>128.64722292488594</c:v>
                </c:pt>
                <c:pt idx="174">
                  <c:v>129.27646189705411</c:v>
                </c:pt>
                <c:pt idx="175">
                  <c:v>129.87443293604542</c:v>
                </c:pt>
                <c:pt idx="176">
                  <c:v>130.45993305374407</c:v>
                </c:pt>
                <c:pt idx="177">
                  <c:v>131.04258614147275</c:v>
                </c:pt>
                <c:pt idx="178">
                  <c:v>131.61878611172565</c:v>
                </c:pt>
                <c:pt idx="179">
                  <c:v>132.20326896667029</c:v>
                </c:pt>
                <c:pt idx="180">
                  <c:v>132.79722350892743</c:v>
                </c:pt>
                <c:pt idx="181">
                  <c:v>133.39219689566852</c:v>
                </c:pt>
                <c:pt idx="182">
                  <c:v>133.96225926954585</c:v>
                </c:pt>
                <c:pt idx="183">
                  <c:v>134.53061942094735</c:v>
                </c:pt>
                <c:pt idx="184">
                  <c:v>135.0959377871051</c:v>
                </c:pt>
                <c:pt idx="185">
                  <c:v>135.65325577228646</c:v>
                </c:pt>
                <c:pt idx="186">
                  <c:v>136.23335756539615</c:v>
                </c:pt>
                <c:pt idx="187">
                  <c:v>136.80863062677778</c:v>
                </c:pt>
                <c:pt idx="188">
                  <c:v>137.37530579666438</c:v>
                </c:pt>
                <c:pt idx="189">
                  <c:v>137.96070990148078</c:v>
                </c:pt>
                <c:pt idx="190">
                  <c:v>138.54805336084817</c:v>
                </c:pt>
                <c:pt idx="191">
                  <c:v>139.11630667827657</c:v>
                </c:pt>
                <c:pt idx="192">
                  <c:v>139.68970787957207</c:v>
                </c:pt>
                <c:pt idx="193">
                  <c:v>140.23712080142198</c:v>
                </c:pt>
                <c:pt idx="194">
                  <c:v>140.75342292075672</c:v>
                </c:pt>
                <c:pt idx="195">
                  <c:v>141.27071593430105</c:v>
                </c:pt>
                <c:pt idx="196">
                  <c:v>141.78554319290245</c:v>
                </c:pt>
                <c:pt idx="197">
                  <c:v>142.30039003023376</c:v>
                </c:pt>
                <c:pt idx="198">
                  <c:v>142.83281335547292</c:v>
                </c:pt>
                <c:pt idx="199">
                  <c:v>143.38057942854488</c:v>
                </c:pt>
                <c:pt idx="200">
                  <c:v>143.94217170077255</c:v>
                </c:pt>
                <c:pt idx="201">
                  <c:v>144.50298596336145</c:v>
                </c:pt>
                <c:pt idx="202">
                  <c:v>145.06243410996927</c:v>
                </c:pt>
                <c:pt idx="203">
                  <c:v>145.63803816501223</c:v>
                </c:pt>
                <c:pt idx="204">
                  <c:v>146.19680250480641</c:v>
                </c:pt>
                <c:pt idx="205">
                  <c:v>146.75742052279904</c:v>
                </c:pt>
                <c:pt idx="206">
                  <c:v>147.34010965880125</c:v>
                </c:pt>
                <c:pt idx="207">
                  <c:v>147.90525399769342</c:v>
                </c:pt>
                <c:pt idx="208">
                  <c:v>148.51655157349001</c:v>
                </c:pt>
                <c:pt idx="209">
                  <c:v>149.14688344911326</c:v>
                </c:pt>
                <c:pt idx="210">
                  <c:v>149.75607136057917</c:v>
                </c:pt>
                <c:pt idx="211">
                  <c:v>150.36370826081475</c:v>
                </c:pt>
                <c:pt idx="212">
                  <c:v>150.97947446633444</c:v>
                </c:pt>
                <c:pt idx="213">
                  <c:v>151.61541417530427</c:v>
                </c:pt>
                <c:pt idx="214">
                  <c:v>152.25818229635195</c:v>
                </c:pt>
                <c:pt idx="215">
                  <c:v>152.89528578498644</c:v>
                </c:pt>
                <c:pt idx="216">
                  <c:v>153.50622071491077</c:v>
                </c:pt>
                <c:pt idx="217">
                  <c:v>154.14092074966629</c:v>
                </c:pt>
                <c:pt idx="218">
                  <c:v>154.7764549906066</c:v>
                </c:pt>
                <c:pt idx="219">
                  <c:v>155.41948408466035</c:v>
                </c:pt>
                <c:pt idx="220">
                  <c:v>156.06127400574604</c:v>
                </c:pt>
                <c:pt idx="221">
                  <c:v>156.70050768881623</c:v>
                </c:pt>
                <c:pt idx="222">
                  <c:v>157.34246654493876</c:v>
                </c:pt>
                <c:pt idx="223">
                  <c:v>158.0101264469273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45519</c:v>
                </c:pt>
                <c:pt idx="1">
                  <c:v>45520</c:v>
                </c:pt>
                <c:pt idx="2">
                  <c:v>45521</c:v>
                </c:pt>
                <c:pt idx="3">
                  <c:v>45522</c:v>
                </c:pt>
                <c:pt idx="4">
                  <c:v>45523</c:v>
                </c:pt>
                <c:pt idx="5">
                  <c:v>45524</c:v>
                </c:pt>
                <c:pt idx="6">
                  <c:v>45525</c:v>
                </c:pt>
                <c:pt idx="7">
                  <c:v>45526</c:v>
                </c:pt>
                <c:pt idx="8">
                  <c:v>45527</c:v>
                </c:pt>
                <c:pt idx="9">
                  <c:v>45528</c:v>
                </c:pt>
                <c:pt idx="10">
                  <c:v>45529</c:v>
                </c:pt>
                <c:pt idx="11">
                  <c:v>45530</c:v>
                </c:pt>
                <c:pt idx="12">
                  <c:v>45531</c:v>
                </c:pt>
                <c:pt idx="13">
                  <c:v>45532</c:v>
                </c:pt>
                <c:pt idx="14">
                  <c:v>45533</c:v>
                </c:pt>
                <c:pt idx="15">
                  <c:v>45534</c:v>
                </c:pt>
                <c:pt idx="16">
                  <c:v>45535</c:v>
                </c:pt>
                <c:pt idx="17">
                  <c:v>45536</c:v>
                </c:pt>
                <c:pt idx="18">
                  <c:v>45537</c:v>
                </c:pt>
                <c:pt idx="19">
                  <c:v>45538</c:v>
                </c:pt>
                <c:pt idx="20">
                  <c:v>45539</c:v>
                </c:pt>
                <c:pt idx="21">
                  <c:v>45540</c:v>
                </c:pt>
                <c:pt idx="22">
                  <c:v>45541</c:v>
                </c:pt>
                <c:pt idx="23">
                  <c:v>45542</c:v>
                </c:pt>
                <c:pt idx="24">
                  <c:v>45543</c:v>
                </c:pt>
                <c:pt idx="25">
                  <c:v>45544</c:v>
                </c:pt>
                <c:pt idx="26">
                  <c:v>45545</c:v>
                </c:pt>
                <c:pt idx="27">
                  <c:v>45546</c:v>
                </c:pt>
                <c:pt idx="28">
                  <c:v>45547</c:v>
                </c:pt>
                <c:pt idx="29">
                  <c:v>45548</c:v>
                </c:pt>
                <c:pt idx="30">
                  <c:v>45549</c:v>
                </c:pt>
                <c:pt idx="31">
                  <c:v>45550</c:v>
                </c:pt>
                <c:pt idx="32">
                  <c:v>45551</c:v>
                </c:pt>
                <c:pt idx="33">
                  <c:v>45552</c:v>
                </c:pt>
                <c:pt idx="34">
                  <c:v>45553</c:v>
                </c:pt>
                <c:pt idx="35">
                  <c:v>45554</c:v>
                </c:pt>
                <c:pt idx="36">
                  <c:v>45555</c:v>
                </c:pt>
                <c:pt idx="37">
                  <c:v>45556</c:v>
                </c:pt>
                <c:pt idx="38">
                  <c:v>45557</c:v>
                </c:pt>
                <c:pt idx="39">
                  <c:v>45558</c:v>
                </c:pt>
                <c:pt idx="40">
                  <c:v>45559</c:v>
                </c:pt>
                <c:pt idx="41">
                  <c:v>45560</c:v>
                </c:pt>
                <c:pt idx="42">
                  <c:v>45561</c:v>
                </c:pt>
                <c:pt idx="43">
                  <c:v>45562</c:v>
                </c:pt>
                <c:pt idx="44">
                  <c:v>45563</c:v>
                </c:pt>
                <c:pt idx="45">
                  <c:v>45564</c:v>
                </c:pt>
                <c:pt idx="46">
                  <c:v>45565</c:v>
                </c:pt>
                <c:pt idx="47">
                  <c:v>45566</c:v>
                </c:pt>
                <c:pt idx="48">
                  <c:v>45567</c:v>
                </c:pt>
                <c:pt idx="49">
                  <c:v>45568</c:v>
                </c:pt>
                <c:pt idx="50">
                  <c:v>45569</c:v>
                </c:pt>
                <c:pt idx="51">
                  <c:v>45570</c:v>
                </c:pt>
                <c:pt idx="52">
                  <c:v>45571</c:v>
                </c:pt>
                <c:pt idx="53">
                  <c:v>45572</c:v>
                </c:pt>
                <c:pt idx="54">
                  <c:v>45573</c:v>
                </c:pt>
                <c:pt idx="55">
                  <c:v>45574</c:v>
                </c:pt>
                <c:pt idx="56">
                  <c:v>45575</c:v>
                </c:pt>
                <c:pt idx="57">
                  <c:v>45576</c:v>
                </c:pt>
                <c:pt idx="58">
                  <c:v>45577</c:v>
                </c:pt>
                <c:pt idx="59">
                  <c:v>45578</c:v>
                </c:pt>
                <c:pt idx="60">
                  <c:v>45579</c:v>
                </c:pt>
                <c:pt idx="61">
                  <c:v>45580</c:v>
                </c:pt>
                <c:pt idx="62">
                  <c:v>45581</c:v>
                </c:pt>
                <c:pt idx="63">
                  <c:v>45582</c:v>
                </c:pt>
                <c:pt idx="64">
                  <c:v>45583</c:v>
                </c:pt>
                <c:pt idx="65">
                  <c:v>45584</c:v>
                </c:pt>
                <c:pt idx="66">
                  <c:v>45585</c:v>
                </c:pt>
                <c:pt idx="67">
                  <c:v>45586</c:v>
                </c:pt>
                <c:pt idx="68">
                  <c:v>45587</c:v>
                </c:pt>
                <c:pt idx="69">
                  <c:v>45588</c:v>
                </c:pt>
                <c:pt idx="70">
                  <c:v>45589</c:v>
                </c:pt>
                <c:pt idx="71">
                  <c:v>45590</c:v>
                </c:pt>
                <c:pt idx="72">
                  <c:v>45591</c:v>
                </c:pt>
                <c:pt idx="73">
                  <c:v>45592</c:v>
                </c:pt>
                <c:pt idx="74">
                  <c:v>45593</c:v>
                </c:pt>
                <c:pt idx="75">
                  <c:v>45594</c:v>
                </c:pt>
                <c:pt idx="76">
                  <c:v>45595</c:v>
                </c:pt>
                <c:pt idx="77">
                  <c:v>45596</c:v>
                </c:pt>
                <c:pt idx="78">
                  <c:v>45597</c:v>
                </c:pt>
                <c:pt idx="79">
                  <c:v>45598</c:v>
                </c:pt>
                <c:pt idx="80">
                  <c:v>45599</c:v>
                </c:pt>
                <c:pt idx="81">
                  <c:v>45600</c:v>
                </c:pt>
                <c:pt idx="82">
                  <c:v>45601</c:v>
                </c:pt>
                <c:pt idx="83">
                  <c:v>45602</c:v>
                </c:pt>
                <c:pt idx="84">
                  <c:v>45603</c:v>
                </c:pt>
                <c:pt idx="85">
                  <c:v>45604</c:v>
                </c:pt>
                <c:pt idx="86">
                  <c:v>45605</c:v>
                </c:pt>
                <c:pt idx="87">
                  <c:v>45606</c:v>
                </c:pt>
                <c:pt idx="88">
                  <c:v>45607</c:v>
                </c:pt>
                <c:pt idx="89">
                  <c:v>45608</c:v>
                </c:pt>
                <c:pt idx="90">
                  <c:v>45609</c:v>
                </c:pt>
                <c:pt idx="91">
                  <c:v>45610</c:v>
                </c:pt>
                <c:pt idx="92">
                  <c:v>45611</c:v>
                </c:pt>
                <c:pt idx="93">
                  <c:v>45612</c:v>
                </c:pt>
                <c:pt idx="94">
                  <c:v>45613</c:v>
                </c:pt>
                <c:pt idx="95">
                  <c:v>45614</c:v>
                </c:pt>
                <c:pt idx="96">
                  <c:v>45615</c:v>
                </c:pt>
                <c:pt idx="97">
                  <c:v>45616</c:v>
                </c:pt>
                <c:pt idx="98">
                  <c:v>45617</c:v>
                </c:pt>
                <c:pt idx="99">
                  <c:v>45618</c:v>
                </c:pt>
                <c:pt idx="100">
                  <c:v>45619</c:v>
                </c:pt>
                <c:pt idx="101">
                  <c:v>45620</c:v>
                </c:pt>
                <c:pt idx="102">
                  <c:v>45621</c:v>
                </c:pt>
                <c:pt idx="103">
                  <c:v>45622</c:v>
                </c:pt>
                <c:pt idx="104">
                  <c:v>45623</c:v>
                </c:pt>
                <c:pt idx="105">
                  <c:v>45624</c:v>
                </c:pt>
                <c:pt idx="106">
                  <c:v>45625</c:v>
                </c:pt>
                <c:pt idx="107">
                  <c:v>45626</c:v>
                </c:pt>
                <c:pt idx="108">
                  <c:v>45627</c:v>
                </c:pt>
                <c:pt idx="109">
                  <c:v>45628</c:v>
                </c:pt>
                <c:pt idx="110">
                  <c:v>45629</c:v>
                </c:pt>
                <c:pt idx="111">
                  <c:v>45630</c:v>
                </c:pt>
                <c:pt idx="112">
                  <c:v>45631</c:v>
                </c:pt>
                <c:pt idx="113">
                  <c:v>45632</c:v>
                </c:pt>
                <c:pt idx="114">
                  <c:v>45633</c:v>
                </c:pt>
                <c:pt idx="115">
                  <c:v>45634</c:v>
                </c:pt>
                <c:pt idx="116">
                  <c:v>45635</c:v>
                </c:pt>
                <c:pt idx="117">
                  <c:v>45636</c:v>
                </c:pt>
                <c:pt idx="118">
                  <c:v>45637</c:v>
                </c:pt>
                <c:pt idx="119">
                  <c:v>45638</c:v>
                </c:pt>
                <c:pt idx="120">
                  <c:v>45639</c:v>
                </c:pt>
                <c:pt idx="121">
                  <c:v>45640</c:v>
                </c:pt>
                <c:pt idx="122">
                  <c:v>45641</c:v>
                </c:pt>
                <c:pt idx="123">
                  <c:v>45642</c:v>
                </c:pt>
                <c:pt idx="124">
                  <c:v>45643</c:v>
                </c:pt>
                <c:pt idx="125">
                  <c:v>45644</c:v>
                </c:pt>
                <c:pt idx="126">
                  <c:v>45645</c:v>
                </c:pt>
                <c:pt idx="127">
                  <c:v>45646</c:v>
                </c:pt>
                <c:pt idx="128">
                  <c:v>45647</c:v>
                </c:pt>
                <c:pt idx="129">
                  <c:v>45648</c:v>
                </c:pt>
                <c:pt idx="130">
                  <c:v>45649</c:v>
                </c:pt>
                <c:pt idx="131">
                  <c:v>45650</c:v>
                </c:pt>
                <c:pt idx="132">
                  <c:v>45651</c:v>
                </c:pt>
                <c:pt idx="133">
                  <c:v>45652</c:v>
                </c:pt>
                <c:pt idx="134">
                  <c:v>45653</c:v>
                </c:pt>
                <c:pt idx="135">
                  <c:v>45654</c:v>
                </c:pt>
                <c:pt idx="136">
                  <c:v>45655</c:v>
                </c:pt>
                <c:pt idx="137">
                  <c:v>45656</c:v>
                </c:pt>
                <c:pt idx="138">
                  <c:v>45657</c:v>
                </c:pt>
                <c:pt idx="139">
                  <c:v>45658</c:v>
                </c:pt>
                <c:pt idx="140">
                  <c:v>45659</c:v>
                </c:pt>
                <c:pt idx="141">
                  <c:v>45660</c:v>
                </c:pt>
                <c:pt idx="142">
                  <c:v>45661</c:v>
                </c:pt>
                <c:pt idx="143">
                  <c:v>45662</c:v>
                </c:pt>
                <c:pt idx="144">
                  <c:v>45663</c:v>
                </c:pt>
                <c:pt idx="145">
                  <c:v>45664</c:v>
                </c:pt>
                <c:pt idx="146">
                  <c:v>45665</c:v>
                </c:pt>
                <c:pt idx="147">
                  <c:v>45666</c:v>
                </c:pt>
                <c:pt idx="148">
                  <c:v>45667</c:v>
                </c:pt>
                <c:pt idx="149">
                  <c:v>45668</c:v>
                </c:pt>
                <c:pt idx="150">
                  <c:v>45669</c:v>
                </c:pt>
                <c:pt idx="151">
                  <c:v>45670</c:v>
                </c:pt>
                <c:pt idx="152">
                  <c:v>45671</c:v>
                </c:pt>
                <c:pt idx="153">
                  <c:v>45672</c:v>
                </c:pt>
                <c:pt idx="154">
                  <c:v>45673</c:v>
                </c:pt>
                <c:pt idx="155">
                  <c:v>45674</c:v>
                </c:pt>
                <c:pt idx="156">
                  <c:v>45675</c:v>
                </c:pt>
                <c:pt idx="157">
                  <c:v>45676</c:v>
                </c:pt>
                <c:pt idx="158">
                  <c:v>45677</c:v>
                </c:pt>
                <c:pt idx="159">
                  <c:v>45678</c:v>
                </c:pt>
                <c:pt idx="160">
                  <c:v>45679</c:v>
                </c:pt>
                <c:pt idx="161">
                  <c:v>45680</c:v>
                </c:pt>
                <c:pt idx="162">
                  <c:v>45681</c:v>
                </c:pt>
                <c:pt idx="163">
                  <c:v>45682</c:v>
                </c:pt>
                <c:pt idx="164">
                  <c:v>45683</c:v>
                </c:pt>
                <c:pt idx="165">
                  <c:v>45684</c:v>
                </c:pt>
                <c:pt idx="166">
                  <c:v>45685</c:v>
                </c:pt>
                <c:pt idx="167">
                  <c:v>45686</c:v>
                </c:pt>
                <c:pt idx="168">
                  <c:v>45687</c:v>
                </c:pt>
                <c:pt idx="169">
                  <c:v>45688</c:v>
                </c:pt>
                <c:pt idx="170">
                  <c:v>45689</c:v>
                </c:pt>
                <c:pt idx="171">
                  <c:v>45690</c:v>
                </c:pt>
                <c:pt idx="172">
                  <c:v>45691</c:v>
                </c:pt>
                <c:pt idx="173">
                  <c:v>45692</c:v>
                </c:pt>
                <c:pt idx="174">
                  <c:v>45693</c:v>
                </c:pt>
                <c:pt idx="175">
                  <c:v>45694</c:v>
                </c:pt>
                <c:pt idx="176">
                  <c:v>45695</c:v>
                </c:pt>
                <c:pt idx="177">
                  <c:v>45696</c:v>
                </c:pt>
                <c:pt idx="178">
                  <c:v>45697</c:v>
                </c:pt>
                <c:pt idx="179">
                  <c:v>45698</c:v>
                </c:pt>
                <c:pt idx="180">
                  <c:v>45699</c:v>
                </c:pt>
                <c:pt idx="181">
                  <c:v>45700</c:v>
                </c:pt>
                <c:pt idx="182">
                  <c:v>45701</c:v>
                </c:pt>
                <c:pt idx="183">
                  <c:v>45702</c:v>
                </c:pt>
                <c:pt idx="184">
                  <c:v>45703</c:v>
                </c:pt>
                <c:pt idx="185">
                  <c:v>45704</c:v>
                </c:pt>
                <c:pt idx="186">
                  <c:v>45705</c:v>
                </c:pt>
                <c:pt idx="187">
                  <c:v>45706</c:v>
                </c:pt>
                <c:pt idx="188">
                  <c:v>45707</c:v>
                </c:pt>
                <c:pt idx="189">
                  <c:v>45708</c:v>
                </c:pt>
                <c:pt idx="190">
                  <c:v>45709</c:v>
                </c:pt>
                <c:pt idx="191">
                  <c:v>45710</c:v>
                </c:pt>
                <c:pt idx="192">
                  <c:v>45711</c:v>
                </c:pt>
                <c:pt idx="193">
                  <c:v>45712</c:v>
                </c:pt>
                <c:pt idx="194">
                  <c:v>45713</c:v>
                </c:pt>
                <c:pt idx="195">
                  <c:v>45714</c:v>
                </c:pt>
                <c:pt idx="196">
                  <c:v>45715</c:v>
                </c:pt>
                <c:pt idx="197">
                  <c:v>45716</c:v>
                </c:pt>
                <c:pt idx="198">
                  <c:v>45717</c:v>
                </c:pt>
                <c:pt idx="199">
                  <c:v>45718</c:v>
                </c:pt>
                <c:pt idx="200">
                  <c:v>45719</c:v>
                </c:pt>
                <c:pt idx="201">
                  <c:v>45720</c:v>
                </c:pt>
                <c:pt idx="202">
                  <c:v>45721</c:v>
                </c:pt>
                <c:pt idx="203">
                  <c:v>45722</c:v>
                </c:pt>
                <c:pt idx="204">
                  <c:v>45723</c:v>
                </c:pt>
                <c:pt idx="205">
                  <c:v>45724</c:v>
                </c:pt>
                <c:pt idx="206">
                  <c:v>45725</c:v>
                </c:pt>
                <c:pt idx="207">
                  <c:v>45726</c:v>
                </c:pt>
                <c:pt idx="208">
                  <c:v>45727</c:v>
                </c:pt>
                <c:pt idx="209">
                  <c:v>45728</c:v>
                </c:pt>
                <c:pt idx="210">
                  <c:v>45729</c:v>
                </c:pt>
                <c:pt idx="211">
                  <c:v>45730</c:v>
                </c:pt>
                <c:pt idx="212">
                  <c:v>45731</c:v>
                </c:pt>
                <c:pt idx="213">
                  <c:v>45732</c:v>
                </c:pt>
                <c:pt idx="214">
                  <c:v>45733</c:v>
                </c:pt>
                <c:pt idx="215">
                  <c:v>45734</c:v>
                </c:pt>
                <c:pt idx="216">
                  <c:v>45735</c:v>
                </c:pt>
                <c:pt idx="217">
                  <c:v>45736</c:v>
                </c:pt>
                <c:pt idx="218">
                  <c:v>45737</c:v>
                </c:pt>
                <c:pt idx="219">
                  <c:v>45738</c:v>
                </c:pt>
                <c:pt idx="220">
                  <c:v>45739</c:v>
                </c:pt>
                <c:pt idx="221">
                  <c:v>45740</c:v>
                </c:pt>
                <c:pt idx="222">
                  <c:v>45741</c:v>
                </c:pt>
                <c:pt idx="223">
                  <c:v>45742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-1.6855424231625588E-2</c:v>
                </c:pt>
                <c:pt idx="2">
                  <c:v>-1.1407469500501033E-2</c:v>
                </c:pt>
                <c:pt idx="3">
                  <c:v>1.4830053391637871E-2</c:v>
                </c:pt>
                <c:pt idx="4">
                  <c:v>6.1365278142485102E-2</c:v>
                </c:pt>
                <c:pt idx="5">
                  <c:v>0.12774875500591226</c:v>
                </c:pt>
                <c:pt idx="6">
                  <c:v>0.21251981398869918</c:v>
                </c:pt>
                <c:pt idx="7">
                  <c:v>0.31554449548782681</c:v>
                </c:pt>
                <c:pt idx="8">
                  <c:v>0.43407920247053844</c:v>
                </c:pt>
                <c:pt idx="9">
                  <c:v>0.56849302283963743</c:v>
                </c:pt>
                <c:pt idx="10">
                  <c:v>0.71445976737930494</c:v>
                </c:pt>
                <c:pt idx="11">
                  <c:v>0.87162552002696281</c:v>
                </c:pt>
                <c:pt idx="12">
                  <c:v>1.0351117043018256</c:v>
                </c:pt>
                <c:pt idx="13">
                  <c:v>1.2071992049009901</c:v>
                </c:pt>
                <c:pt idx="14">
                  <c:v>1.3889586784514203</c:v>
                </c:pt>
                <c:pt idx="15">
                  <c:v>1.578650498250298</c:v>
                </c:pt>
                <c:pt idx="16">
                  <c:v>1.7726214317801736</c:v>
                </c:pt>
                <c:pt idx="17">
                  <c:v>1.972866848219184</c:v>
                </c:pt>
                <c:pt idx="18">
                  <c:v>2.1863618168476058</c:v>
                </c:pt>
                <c:pt idx="19">
                  <c:v>2.4057673131506307</c:v>
                </c:pt>
                <c:pt idx="20">
                  <c:v>2.6318701755412475</c:v>
                </c:pt>
                <c:pt idx="21">
                  <c:v>2.8602937663117691</c:v>
                </c:pt>
                <c:pt idx="22">
                  <c:v>3.0865602295695487</c:v>
                </c:pt>
                <c:pt idx="23">
                  <c:v>3.3217171581249545</c:v>
                </c:pt>
                <c:pt idx="24">
                  <c:v>3.5523887233129532</c:v>
                </c:pt>
                <c:pt idx="25">
                  <c:v>3.7862905950697634</c:v>
                </c:pt>
                <c:pt idx="26">
                  <c:v>4.0228458470992727</c:v>
                </c:pt>
                <c:pt idx="27">
                  <c:v>4.2659890726788561</c:v>
                </c:pt>
                <c:pt idx="28">
                  <c:v>4.504481119838057</c:v>
                </c:pt>
                <c:pt idx="29">
                  <c:v>4.7449387749760357</c:v>
                </c:pt>
                <c:pt idx="30">
                  <c:v>4.9893602690240364</c:v>
                </c:pt>
                <c:pt idx="31">
                  <c:v>5.2353781307794991</c:v>
                </c:pt>
                <c:pt idx="32">
                  <c:v>5.4777444197232699</c:v>
                </c:pt>
                <c:pt idx="33">
                  <c:v>5.7142660555859965</c:v>
                </c:pt>
                <c:pt idx="34">
                  <c:v>5.9469358724627979</c:v>
                </c:pt>
                <c:pt idx="35">
                  <c:v>6.1760694768615183</c:v>
                </c:pt>
                <c:pt idx="36">
                  <c:v>6.400895987425093</c:v>
                </c:pt>
                <c:pt idx="37">
                  <c:v>6.6251477853698209</c:v>
                </c:pt>
                <c:pt idx="38">
                  <c:v>6.8482990079177561</c:v>
                </c:pt>
                <c:pt idx="39">
                  <c:v>7.0749276415696265</c:v>
                </c:pt>
                <c:pt idx="40">
                  <c:v>7.2933924465229989</c:v>
                </c:pt>
                <c:pt idx="41">
                  <c:v>7.5069653413197832</c:v>
                </c:pt>
                <c:pt idx="42">
                  <c:v>7.722484345195566</c:v>
                </c:pt>
                <c:pt idx="43">
                  <c:v>7.9388256691303436</c:v>
                </c:pt>
                <c:pt idx="44">
                  <c:v>8.1560551972443776</c:v>
                </c:pt>
                <c:pt idx="45">
                  <c:v>8.3673083139310407</c:v>
                </c:pt>
                <c:pt idx="46">
                  <c:v>8.5706936318313467</c:v>
                </c:pt>
                <c:pt idx="47">
                  <c:v>8.768761229078196</c:v>
                </c:pt>
                <c:pt idx="48">
                  <c:v>8.9666611731145967</c:v>
                </c:pt>
                <c:pt idx="49">
                  <c:v>9.1550770365027336</c:v>
                </c:pt>
                <c:pt idx="50">
                  <c:v>9.3397270497509588</c:v>
                </c:pt>
                <c:pt idx="51">
                  <c:v>9.5217168810869648</c:v>
                </c:pt>
                <c:pt idx="52">
                  <c:v>9.6966072754132497</c:v>
                </c:pt>
                <c:pt idx="53">
                  <c:v>9.8760950406370522</c:v>
                </c:pt>
                <c:pt idx="54">
                  <c:v>10.053691612705125</c:v>
                </c:pt>
                <c:pt idx="55">
                  <c:v>10.218341247525615</c:v>
                </c:pt>
                <c:pt idx="56">
                  <c:v>10.381951824047304</c:v>
                </c:pt>
                <c:pt idx="57">
                  <c:v>10.547085529024272</c:v>
                </c:pt>
                <c:pt idx="58">
                  <c:v>10.706960577548321</c:v>
                </c:pt>
                <c:pt idx="59">
                  <c:v>10.859093326370967</c:v>
                </c:pt>
                <c:pt idx="60">
                  <c:v>11.004300314191587</c:v>
                </c:pt>
                <c:pt idx="61">
                  <c:v>11.146194249615757</c:v>
                </c:pt>
                <c:pt idx="62">
                  <c:v>11.290013800168518</c:v>
                </c:pt>
                <c:pt idx="63">
                  <c:v>11.425222632337132</c:v>
                </c:pt>
                <c:pt idx="64">
                  <c:v>11.55452882780261</c:v>
                </c:pt>
                <c:pt idx="65">
                  <c:v>11.679325235312144</c:v>
                </c:pt>
                <c:pt idx="66">
                  <c:v>11.804642505056037</c:v>
                </c:pt>
                <c:pt idx="67">
                  <c:v>11.928806721007234</c:v>
                </c:pt>
                <c:pt idx="68">
                  <c:v>12.052491110408718</c:v>
                </c:pt>
                <c:pt idx="69">
                  <c:v>12.167767530524756</c:v>
                </c:pt>
                <c:pt idx="70">
                  <c:v>12.283233822531109</c:v>
                </c:pt>
                <c:pt idx="71">
                  <c:v>12.397505652619234</c:v>
                </c:pt>
                <c:pt idx="72">
                  <c:v>12.514185184728536</c:v>
                </c:pt>
                <c:pt idx="73">
                  <c:v>12.622787823084597</c:v>
                </c:pt>
                <c:pt idx="74">
                  <c:v>12.728139262577024</c:v>
                </c:pt>
                <c:pt idx="75">
                  <c:v>12.833212905734603</c:v>
                </c:pt>
                <c:pt idx="76">
                  <c:v>12.93355809606712</c:v>
                </c:pt>
                <c:pt idx="77">
                  <c:v>13.027473234120302</c:v>
                </c:pt>
                <c:pt idx="78">
                  <c:v>13.118818142180007</c:v>
                </c:pt>
                <c:pt idx="79">
                  <c:v>13.206616339945715</c:v>
                </c:pt>
                <c:pt idx="80">
                  <c:v>13.292878732504047</c:v>
                </c:pt>
                <c:pt idx="81">
                  <c:v>13.378394942065086</c:v>
                </c:pt>
                <c:pt idx="82">
                  <c:v>13.458927348855989</c:v>
                </c:pt>
                <c:pt idx="83">
                  <c:v>13.538536674401103</c:v>
                </c:pt>
                <c:pt idx="84">
                  <c:v>13.616902184028671</c:v>
                </c:pt>
                <c:pt idx="85">
                  <c:v>13.690800114683432</c:v>
                </c:pt>
                <c:pt idx="86">
                  <c:v>13.763995604537284</c:v>
                </c:pt>
                <c:pt idx="87">
                  <c:v>13.83520655525377</c:v>
                </c:pt>
                <c:pt idx="88">
                  <c:v>13.903854630989574</c:v>
                </c:pt>
                <c:pt idx="89">
                  <c:v>13.969136900605033</c:v>
                </c:pt>
                <c:pt idx="90">
                  <c:v>14.032015224019629</c:v>
                </c:pt>
                <c:pt idx="91">
                  <c:v>14.09425543053948</c:v>
                </c:pt>
                <c:pt idx="92">
                  <c:v>14.155725204674901</c:v>
                </c:pt>
                <c:pt idx="93">
                  <c:v>14.21351949911705</c:v>
                </c:pt>
                <c:pt idx="94">
                  <c:v>14.267943183942537</c:v>
                </c:pt>
                <c:pt idx="95">
                  <c:v>14.32043865051511</c:v>
                </c:pt>
                <c:pt idx="96">
                  <c:v>14.37265309650061</c:v>
                </c:pt>
                <c:pt idx="97">
                  <c:v>14.423312414153468</c:v>
                </c:pt>
                <c:pt idx="98">
                  <c:v>14.47299213700356</c:v>
                </c:pt>
                <c:pt idx="99">
                  <c:v>14.521683008898028</c:v>
                </c:pt>
                <c:pt idx="100">
                  <c:v>14.56815922805068</c:v>
                </c:pt>
                <c:pt idx="101">
                  <c:v>14.614925787083511</c:v>
                </c:pt>
                <c:pt idx="102">
                  <c:v>14.660122986011476</c:v>
                </c:pt>
                <c:pt idx="103">
                  <c:v>14.702596970770161</c:v>
                </c:pt>
                <c:pt idx="104">
                  <c:v>14.74331792008863</c:v>
                </c:pt>
                <c:pt idx="105">
                  <c:v>14.782875218960406</c:v>
                </c:pt>
                <c:pt idx="106">
                  <c:v>14.821739367163824</c:v>
                </c:pt>
                <c:pt idx="107">
                  <c:v>14.859818371861451</c:v>
                </c:pt>
                <c:pt idx="108">
                  <c:v>14.89751283222877</c:v>
                </c:pt>
                <c:pt idx="109">
                  <c:v>14.934484441642873</c:v>
                </c:pt>
                <c:pt idx="110">
                  <c:v>14.970134206211823</c:v>
                </c:pt>
                <c:pt idx="111">
                  <c:v>15.003973865323685</c:v>
                </c:pt>
                <c:pt idx="112">
                  <c:v>15.036575377388905</c:v>
                </c:pt>
                <c:pt idx="113">
                  <c:v>15.066831115988712</c:v>
                </c:pt>
                <c:pt idx="114">
                  <c:v>15.095864112667588</c:v>
                </c:pt>
                <c:pt idx="115">
                  <c:v>15.124713009261196</c:v>
                </c:pt>
                <c:pt idx="116">
                  <c:v>15.15229555211242</c:v>
                </c:pt>
                <c:pt idx="117">
                  <c:v>15.179830388717694</c:v>
                </c:pt>
                <c:pt idx="118">
                  <c:v>15.207130896939278</c:v>
                </c:pt>
                <c:pt idx="119">
                  <c:v>15.232929571151191</c:v>
                </c:pt>
                <c:pt idx="120">
                  <c:v>15.25757761802101</c:v>
                </c:pt>
                <c:pt idx="121">
                  <c:v>15.281006832776848</c:v>
                </c:pt>
                <c:pt idx="122">
                  <c:v>15.303687369762111</c:v>
                </c:pt>
                <c:pt idx="123">
                  <c:v>15.325550811781753</c:v>
                </c:pt>
                <c:pt idx="124">
                  <c:v>15.346145767617571</c:v>
                </c:pt>
                <c:pt idx="125">
                  <c:v>15.366208386403775</c:v>
                </c:pt>
                <c:pt idx="126">
                  <c:v>15.385879113958529</c:v>
                </c:pt>
                <c:pt idx="127">
                  <c:v>15.404790679822169</c:v>
                </c:pt>
                <c:pt idx="128">
                  <c:v>15.423174199115039</c:v>
                </c:pt>
                <c:pt idx="129">
                  <c:v>15.440395832900125</c:v>
                </c:pt>
                <c:pt idx="130">
                  <c:v>15.457129515897156</c:v>
                </c:pt>
                <c:pt idx="131">
                  <c:v>15.473507873936615</c:v>
                </c:pt>
                <c:pt idx="132">
                  <c:v>15.488953094752029</c:v>
                </c:pt>
                <c:pt idx="133">
                  <c:v>15.503648039519621</c:v>
                </c:pt>
                <c:pt idx="134">
                  <c:v>15.517468843581467</c:v>
                </c:pt>
                <c:pt idx="135">
                  <c:v>15.53104074563382</c:v>
                </c:pt>
                <c:pt idx="136">
                  <c:v>15.544442286550618</c:v>
                </c:pt>
                <c:pt idx="137">
                  <c:v>15.557820764248884</c:v>
                </c:pt>
                <c:pt idx="138">
                  <c:v>15.570587572094572</c:v>
                </c:pt>
                <c:pt idx="139">
                  <c:v>15.58283539916857</c:v>
                </c:pt>
                <c:pt idx="140">
                  <c:v>15.594680090925138</c:v>
                </c:pt>
                <c:pt idx="141">
                  <c:v>15.605254605082905</c:v>
                </c:pt>
                <c:pt idx="142">
                  <c:v>15.615039638491229</c:v>
                </c:pt>
                <c:pt idx="143">
                  <c:v>15.623836480808805</c:v>
                </c:pt>
                <c:pt idx="144">
                  <c:v>15.632109941344698</c:v>
                </c:pt>
                <c:pt idx="145">
                  <c:v>15.640015132840663</c:v>
                </c:pt>
                <c:pt idx="146">
                  <c:v>15.647830582960225</c:v>
                </c:pt>
                <c:pt idx="147">
                  <c:v>15.655647105896934</c:v>
                </c:pt>
                <c:pt idx="148">
                  <c:v>15.662763574269976</c:v>
                </c:pt>
                <c:pt idx="149">
                  <c:v>15.669247511279451</c:v>
                </c:pt>
                <c:pt idx="150">
                  <c:v>15.675236561120432</c:v>
                </c:pt>
                <c:pt idx="151">
                  <c:v>15.681521847917798</c:v>
                </c:pt>
                <c:pt idx="152">
                  <c:v>15.68769759103502</c:v>
                </c:pt>
                <c:pt idx="153">
                  <c:v>15.69343769921633</c:v>
                </c:pt>
                <c:pt idx="154">
                  <c:v>15.699204073574691</c:v>
                </c:pt>
                <c:pt idx="155">
                  <c:v>15.704839033940907</c:v>
                </c:pt>
                <c:pt idx="156">
                  <c:v>15.710296706116937</c:v>
                </c:pt>
                <c:pt idx="157">
                  <c:v>15.71569249268012</c:v>
                </c:pt>
                <c:pt idx="158">
                  <c:v>15.720636120789374</c:v>
                </c:pt>
                <c:pt idx="159">
                  <c:v>15.726880870749028</c:v>
                </c:pt>
                <c:pt idx="160">
                  <c:v>15.733163124593693</c:v>
                </c:pt>
                <c:pt idx="161">
                  <c:v>15.739155232480483</c:v>
                </c:pt>
                <c:pt idx="162">
                  <c:v>15.745087658488995</c:v>
                </c:pt>
                <c:pt idx="163">
                  <c:v>15.75107731248764</c:v>
                </c:pt>
                <c:pt idx="164">
                  <c:v>15.756588736445806</c:v>
                </c:pt>
                <c:pt idx="165">
                  <c:v>15.761781089625684</c:v>
                </c:pt>
                <c:pt idx="166">
                  <c:v>15.766698268570753</c:v>
                </c:pt>
                <c:pt idx="167">
                  <c:v>15.771448998483221</c:v>
                </c:pt>
                <c:pt idx="168">
                  <c:v>15.77622120867691</c:v>
                </c:pt>
                <c:pt idx="169">
                  <c:v>15.780846593515914</c:v>
                </c:pt>
                <c:pt idx="170">
                  <c:v>15.785108875813421</c:v>
                </c:pt>
                <c:pt idx="171">
                  <c:v>15.789435216031867</c:v>
                </c:pt>
                <c:pt idx="172">
                  <c:v>15.793322110419602</c:v>
                </c:pt>
                <c:pt idx="173">
                  <c:v>15.7972695068917</c:v>
                </c:pt>
                <c:pt idx="174">
                  <c:v>15.80117204029364</c:v>
                </c:pt>
                <c:pt idx="175">
                  <c:v>15.804616405925342</c:v>
                </c:pt>
                <c:pt idx="176">
                  <c:v>15.807779215687098</c:v>
                </c:pt>
                <c:pt idx="177">
                  <c:v>15.810841252141724</c:v>
                </c:pt>
                <c:pt idx="178">
                  <c:v>15.813705932788807</c:v>
                </c:pt>
                <c:pt idx="179">
                  <c:v>15.816486762795424</c:v>
                </c:pt>
                <c:pt idx="180">
                  <c:v>15.819265798336119</c:v>
                </c:pt>
                <c:pt idx="181">
                  <c:v>15.822024384590685</c:v>
                </c:pt>
                <c:pt idx="182">
                  <c:v>15.824478464098259</c:v>
                </c:pt>
                <c:pt idx="183">
                  <c:v>15.826856605589551</c:v>
                </c:pt>
                <c:pt idx="184">
                  <c:v>15.829233052075802</c:v>
                </c:pt>
                <c:pt idx="185">
                  <c:v>15.831500134739276</c:v>
                </c:pt>
                <c:pt idx="186">
                  <c:v>15.833986191603055</c:v>
                </c:pt>
                <c:pt idx="187">
                  <c:v>15.836324684579054</c:v>
                </c:pt>
                <c:pt idx="188">
                  <c:v>15.838519703827737</c:v>
                </c:pt>
                <c:pt idx="189">
                  <c:v>15.840853862409414</c:v>
                </c:pt>
                <c:pt idx="190">
                  <c:v>15.843181590381137</c:v>
                </c:pt>
                <c:pt idx="191">
                  <c:v>15.845323407830316</c:v>
                </c:pt>
                <c:pt idx="192">
                  <c:v>15.84748038855887</c:v>
                </c:pt>
                <c:pt idx="193">
                  <c:v>15.849450392890294</c:v>
                </c:pt>
                <c:pt idx="194">
                  <c:v>15.851200656810859</c:v>
                </c:pt>
                <c:pt idx="195">
                  <c:v>15.852901575008762</c:v>
                </c:pt>
                <c:pt idx="196">
                  <c:v>15.854517351426823</c:v>
                </c:pt>
                <c:pt idx="197">
                  <c:v>15.856185424854207</c:v>
                </c:pt>
                <c:pt idx="198">
                  <c:v>15.857981127403134</c:v>
                </c:pt>
                <c:pt idx="199">
                  <c:v>15.859791209358214</c:v>
                </c:pt>
                <c:pt idx="200">
                  <c:v>15.861677528080044</c:v>
                </c:pt>
                <c:pt idx="201">
                  <c:v>15.863673601583354</c:v>
                </c:pt>
                <c:pt idx="202">
                  <c:v>15.865634291419063</c:v>
                </c:pt>
                <c:pt idx="203">
                  <c:v>15.867601093180197</c:v>
                </c:pt>
                <c:pt idx="204">
                  <c:v>15.869506804236865</c:v>
                </c:pt>
                <c:pt idx="205">
                  <c:v>15.871326485217077</c:v>
                </c:pt>
                <c:pt idx="206">
                  <c:v>15.87322413193187</c:v>
                </c:pt>
                <c:pt idx="207">
                  <c:v>15.875010239910631</c:v>
                </c:pt>
                <c:pt idx="208">
                  <c:v>15.877075636559763</c:v>
                </c:pt>
                <c:pt idx="209">
                  <c:v>15.879179189348836</c:v>
                </c:pt>
                <c:pt idx="210">
                  <c:v>15.881160501912607</c:v>
                </c:pt>
                <c:pt idx="211">
                  <c:v>15.883088232604917</c:v>
                </c:pt>
                <c:pt idx="212">
                  <c:v>15.885032513663855</c:v>
                </c:pt>
                <c:pt idx="213">
                  <c:v>15.887016931592752</c:v>
                </c:pt>
                <c:pt idx="214">
                  <c:v>15.888987620701052</c:v>
                </c:pt>
                <c:pt idx="215">
                  <c:v>15.890891780654913</c:v>
                </c:pt>
                <c:pt idx="216">
                  <c:v>15.892673414154975</c:v>
                </c:pt>
                <c:pt idx="217">
                  <c:v>15.894469390727574</c:v>
                </c:pt>
                <c:pt idx="218">
                  <c:v>15.896246389047876</c:v>
                </c:pt>
                <c:pt idx="219">
                  <c:v>15.89797890832984</c:v>
                </c:pt>
                <c:pt idx="220">
                  <c:v>15.899631843589558</c:v>
                </c:pt>
                <c:pt idx="221">
                  <c:v>15.901238275699232</c:v>
                </c:pt>
                <c:pt idx="222">
                  <c:v>15.902810636034033</c:v>
                </c:pt>
                <c:pt idx="223">
                  <c:v>15.904355061551488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ser>
          <c:idx val="7"/>
          <c:order val="7"/>
          <c:tx>
            <c:strRef>
              <c:f>ConceptDemo!$Z$17</c:f>
              <c:strCache>
                <c:ptCount val="1"/>
                <c:pt idx="0">
                  <c:v>10 day Uptake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ConceptDemo!$R$19:$R$662</c:f>
              <c:numCache>
                <c:formatCode>m/d/yyyy</c:formatCode>
                <c:ptCount val="644"/>
                <c:pt idx="0">
                  <c:v>45520</c:v>
                </c:pt>
                <c:pt idx="1">
                  <c:v>45521</c:v>
                </c:pt>
                <c:pt idx="2">
                  <c:v>45522</c:v>
                </c:pt>
                <c:pt idx="3">
                  <c:v>45523</c:v>
                </c:pt>
                <c:pt idx="4">
                  <c:v>45524</c:v>
                </c:pt>
                <c:pt idx="5">
                  <c:v>45525</c:v>
                </c:pt>
                <c:pt idx="6">
                  <c:v>45526</c:v>
                </c:pt>
                <c:pt idx="7">
                  <c:v>45527</c:v>
                </c:pt>
                <c:pt idx="8">
                  <c:v>45528</c:v>
                </c:pt>
                <c:pt idx="9">
                  <c:v>45529</c:v>
                </c:pt>
                <c:pt idx="10">
                  <c:v>45530</c:v>
                </c:pt>
                <c:pt idx="11">
                  <c:v>45531</c:v>
                </c:pt>
                <c:pt idx="12">
                  <c:v>45532</c:v>
                </c:pt>
                <c:pt idx="13">
                  <c:v>45533</c:v>
                </c:pt>
                <c:pt idx="14">
                  <c:v>45534</c:v>
                </c:pt>
                <c:pt idx="15">
                  <c:v>45535</c:v>
                </c:pt>
                <c:pt idx="16">
                  <c:v>45536</c:v>
                </c:pt>
                <c:pt idx="17">
                  <c:v>45537</c:v>
                </c:pt>
                <c:pt idx="18">
                  <c:v>45538</c:v>
                </c:pt>
                <c:pt idx="19">
                  <c:v>45539</c:v>
                </c:pt>
                <c:pt idx="20">
                  <c:v>45540</c:v>
                </c:pt>
                <c:pt idx="21">
                  <c:v>45541</c:v>
                </c:pt>
                <c:pt idx="22">
                  <c:v>45542</c:v>
                </c:pt>
                <c:pt idx="23">
                  <c:v>45543</c:v>
                </c:pt>
                <c:pt idx="24">
                  <c:v>45544</c:v>
                </c:pt>
                <c:pt idx="25">
                  <c:v>45545</c:v>
                </c:pt>
                <c:pt idx="26">
                  <c:v>45546</c:v>
                </c:pt>
                <c:pt idx="27">
                  <c:v>45547</c:v>
                </c:pt>
                <c:pt idx="28">
                  <c:v>45548</c:v>
                </c:pt>
                <c:pt idx="29">
                  <c:v>45549</c:v>
                </c:pt>
                <c:pt idx="30">
                  <c:v>45550</c:v>
                </c:pt>
                <c:pt idx="31">
                  <c:v>45551</c:v>
                </c:pt>
                <c:pt idx="32">
                  <c:v>45552</c:v>
                </c:pt>
                <c:pt idx="33">
                  <c:v>45553</c:v>
                </c:pt>
                <c:pt idx="34">
                  <c:v>45554</c:v>
                </c:pt>
                <c:pt idx="35">
                  <c:v>45555</c:v>
                </c:pt>
                <c:pt idx="36">
                  <c:v>45556</c:v>
                </c:pt>
                <c:pt idx="37">
                  <c:v>45557</c:v>
                </c:pt>
                <c:pt idx="38">
                  <c:v>45558</c:v>
                </c:pt>
                <c:pt idx="39">
                  <c:v>45559</c:v>
                </c:pt>
                <c:pt idx="40">
                  <c:v>45560</c:v>
                </c:pt>
                <c:pt idx="41">
                  <c:v>45561</c:v>
                </c:pt>
                <c:pt idx="42">
                  <c:v>45562</c:v>
                </c:pt>
                <c:pt idx="43">
                  <c:v>45563</c:v>
                </c:pt>
                <c:pt idx="44">
                  <c:v>45564</c:v>
                </c:pt>
                <c:pt idx="45">
                  <c:v>45565</c:v>
                </c:pt>
                <c:pt idx="46">
                  <c:v>45566</c:v>
                </c:pt>
                <c:pt idx="47">
                  <c:v>45567</c:v>
                </c:pt>
                <c:pt idx="48">
                  <c:v>45568</c:v>
                </c:pt>
                <c:pt idx="49">
                  <c:v>45569</c:v>
                </c:pt>
                <c:pt idx="50">
                  <c:v>45570</c:v>
                </c:pt>
                <c:pt idx="51">
                  <c:v>45571</c:v>
                </c:pt>
                <c:pt idx="52">
                  <c:v>45572</c:v>
                </c:pt>
                <c:pt idx="53">
                  <c:v>45573</c:v>
                </c:pt>
                <c:pt idx="54">
                  <c:v>45574</c:v>
                </c:pt>
                <c:pt idx="55">
                  <c:v>45575</c:v>
                </c:pt>
                <c:pt idx="56">
                  <c:v>45576</c:v>
                </c:pt>
                <c:pt idx="57">
                  <c:v>45577</c:v>
                </c:pt>
                <c:pt idx="58">
                  <c:v>45578</c:v>
                </c:pt>
                <c:pt idx="59">
                  <c:v>45579</c:v>
                </c:pt>
                <c:pt idx="60">
                  <c:v>45580</c:v>
                </c:pt>
                <c:pt idx="61">
                  <c:v>45581</c:v>
                </c:pt>
                <c:pt idx="62">
                  <c:v>45582</c:v>
                </c:pt>
                <c:pt idx="63">
                  <c:v>45583</c:v>
                </c:pt>
                <c:pt idx="64">
                  <c:v>45584</c:v>
                </c:pt>
                <c:pt idx="65">
                  <c:v>45585</c:v>
                </c:pt>
                <c:pt idx="66">
                  <c:v>45586</c:v>
                </c:pt>
                <c:pt idx="67">
                  <c:v>45587</c:v>
                </c:pt>
                <c:pt idx="68">
                  <c:v>45588</c:v>
                </c:pt>
                <c:pt idx="69">
                  <c:v>45589</c:v>
                </c:pt>
                <c:pt idx="70">
                  <c:v>45590</c:v>
                </c:pt>
                <c:pt idx="71">
                  <c:v>45591</c:v>
                </c:pt>
                <c:pt idx="72">
                  <c:v>45592</c:v>
                </c:pt>
                <c:pt idx="73">
                  <c:v>45593</c:v>
                </c:pt>
                <c:pt idx="74">
                  <c:v>45594</c:v>
                </c:pt>
                <c:pt idx="75">
                  <c:v>45595</c:v>
                </c:pt>
                <c:pt idx="76">
                  <c:v>45596</c:v>
                </c:pt>
                <c:pt idx="77">
                  <c:v>45597</c:v>
                </c:pt>
                <c:pt idx="78">
                  <c:v>45598</c:v>
                </c:pt>
                <c:pt idx="79">
                  <c:v>45599</c:v>
                </c:pt>
                <c:pt idx="80">
                  <c:v>45600</c:v>
                </c:pt>
                <c:pt idx="81">
                  <c:v>45601</c:v>
                </c:pt>
                <c:pt idx="82">
                  <c:v>45602</c:v>
                </c:pt>
                <c:pt idx="83">
                  <c:v>45603</c:v>
                </c:pt>
                <c:pt idx="84">
                  <c:v>45604</c:v>
                </c:pt>
                <c:pt idx="85">
                  <c:v>45605</c:v>
                </c:pt>
                <c:pt idx="86">
                  <c:v>45606</c:v>
                </c:pt>
                <c:pt idx="87">
                  <c:v>45607</c:v>
                </c:pt>
                <c:pt idx="88">
                  <c:v>45608</c:v>
                </c:pt>
                <c:pt idx="89">
                  <c:v>45609</c:v>
                </c:pt>
                <c:pt idx="90">
                  <c:v>45610</c:v>
                </c:pt>
                <c:pt idx="91">
                  <c:v>45611</c:v>
                </c:pt>
                <c:pt idx="92">
                  <c:v>45612</c:v>
                </c:pt>
                <c:pt idx="93">
                  <c:v>45613</c:v>
                </c:pt>
                <c:pt idx="94">
                  <c:v>45614</c:v>
                </c:pt>
                <c:pt idx="95">
                  <c:v>45615</c:v>
                </c:pt>
                <c:pt idx="96">
                  <c:v>45616</c:v>
                </c:pt>
                <c:pt idx="97">
                  <c:v>45617</c:v>
                </c:pt>
                <c:pt idx="98">
                  <c:v>45618</c:v>
                </c:pt>
                <c:pt idx="99">
                  <c:v>45619</c:v>
                </c:pt>
                <c:pt idx="100">
                  <c:v>45620</c:v>
                </c:pt>
                <c:pt idx="101">
                  <c:v>45621</c:v>
                </c:pt>
                <c:pt idx="102">
                  <c:v>45622</c:v>
                </c:pt>
                <c:pt idx="103">
                  <c:v>45623</c:v>
                </c:pt>
                <c:pt idx="104">
                  <c:v>45624</c:v>
                </c:pt>
                <c:pt idx="105">
                  <c:v>45625</c:v>
                </c:pt>
                <c:pt idx="106">
                  <c:v>45626</c:v>
                </c:pt>
                <c:pt idx="107">
                  <c:v>45627</c:v>
                </c:pt>
                <c:pt idx="108">
                  <c:v>45628</c:v>
                </c:pt>
                <c:pt idx="109">
                  <c:v>45629</c:v>
                </c:pt>
                <c:pt idx="110">
                  <c:v>45630</c:v>
                </c:pt>
                <c:pt idx="111">
                  <c:v>45631</c:v>
                </c:pt>
                <c:pt idx="112">
                  <c:v>45632</c:v>
                </c:pt>
                <c:pt idx="113">
                  <c:v>45633</c:v>
                </c:pt>
                <c:pt idx="114">
                  <c:v>45634</c:v>
                </c:pt>
                <c:pt idx="115">
                  <c:v>45635</c:v>
                </c:pt>
                <c:pt idx="116">
                  <c:v>45636</c:v>
                </c:pt>
                <c:pt idx="117">
                  <c:v>45637</c:v>
                </c:pt>
                <c:pt idx="118">
                  <c:v>45638</c:v>
                </c:pt>
                <c:pt idx="119">
                  <c:v>45639</c:v>
                </c:pt>
                <c:pt idx="120">
                  <c:v>45640</c:v>
                </c:pt>
                <c:pt idx="121">
                  <c:v>45641</c:v>
                </c:pt>
                <c:pt idx="122">
                  <c:v>45642</c:v>
                </c:pt>
                <c:pt idx="123">
                  <c:v>45643</c:v>
                </c:pt>
                <c:pt idx="124">
                  <c:v>45644</c:v>
                </c:pt>
                <c:pt idx="125">
                  <c:v>45645</c:v>
                </c:pt>
                <c:pt idx="126">
                  <c:v>45646</c:v>
                </c:pt>
                <c:pt idx="127">
                  <c:v>45647</c:v>
                </c:pt>
                <c:pt idx="128">
                  <c:v>45648</c:v>
                </c:pt>
                <c:pt idx="129">
                  <c:v>45649</c:v>
                </c:pt>
                <c:pt idx="130">
                  <c:v>45650</c:v>
                </c:pt>
                <c:pt idx="131">
                  <c:v>45651</c:v>
                </c:pt>
                <c:pt idx="132">
                  <c:v>45652</c:v>
                </c:pt>
                <c:pt idx="133">
                  <c:v>45653</c:v>
                </c:pt>
                <c:pt idx="134">
                  <c:v>45654</c:v>
                </c:pt>
                <c:pt idx="135">
                  <c:v>45655</c:v>
                </c:pt>
                <c:pt idx="136">
                  <c:v>45656</c:v>
                </c:pt>
                <c:pt idx="137">
                  <c:v>45657</c:v>
                </c:pt>
                <c:pt idx="138">
                  <c:v>45658</c:v>
                </c:pt>
                <c:pt idx="139">
                  <c:v>45659</c:v>
                </c:pt>
                <c:pt idx="140">
                  <c:v>45660</c:v>
                </c:pt>
                <c:pt idx="141">
                  <c:v>45661</c:v>
                </c:pt>
                <c:pt idx="142">
                  <c:v>45662</c:v>
                </c:pt>
                <c:pt idx="143">
                  <c:v>45663</c:v>
                </c:pt>
                <c:pt idx="144">
                  <c:v>45664</c:v>
                </c:pt>
                <c:pt idx="145">
                  <c:v>45665</c:v>
                </c:pt>
                <c:pt idx="146">
                  <c:v>45666</c:v>
                </c:pt>
                <c:pt idx="147">
                  <c:v>45667</c:v>
                </c:pt>
                <c:pt idx="148">
                  <c:v>45668</c:v>
                </c:pt>
                <c:pt idx="149">
                  <c:v>45669</c:v>
                </c:pt>
                <c:pt idx="150">
                  <c:v>45670</c:v>
                </c:pt>
                <c:pt idx="151">
                  <c:v>45671</c:v>
                </c:pt>
                <c:pt idx="152">
                  <c:v>45672</c:v>
                </c:pt>
                <c:pt idx="153">
                  <c:v>45673</c:v>
                </c:pt>
                <c:pt idx="154">
                  <c:v>45674</c:v>
                </c:pt>
                <c:pt idx="155">
                  <c:v>45675</c:v>
                </c:pt>
                <c:pt idx="156">
                  <c:v>45676</c:v>
                </c:pt>
                <c:pt idx="157">
                  <c:v>45677</c:v>
                </c:pt>
                <c:pt idx="158">
                  <c:v>45678</c:v>
                </c:pt>
                <c:pt idx="159">
                  <c:v>45679</c:v>
                </c:pt>
                <c:pt idx="160">
                  <c:v>45680</c:v>
                </c:pt>
                <c:pt idx="161">
                  <c:v>45681</c:v>
                </c:pt>
                <c:pt idx="162">
                  <c:v>45682</c:v>
                </c:pt>
                <c:pt idx="163">
                  <c:v>45683</c:v>
                </c:pt>
                <c:pt idx="164">
                  <c:v>45684</c:v>
                </c:pt>
                <c:pt idx="165">
                  <c:v>45685</c:v>
                </c:pt>
                <c:pt idx="166">
                  <c:v>45686</c:v>
                </c:pt>
                <c:pt idx="167">
                  <c:v>45687</c:v>
                </c:pt>
                <c:pt idx="168">
                  <c:v>45688</c:v>
                </c:pt>
                <c:pt idx="169">
                  <c:v>45689</c:v>
                </c:pt>
                <c:pt idx="170">
                  <c:v>45690</c:v>
                </c:pt>
                <c:pt idx="171">
                  <c:v>45691</c:v>
                </c:pt>
                <c:pt idx="172">
                  <c:v>45692</c:v>
                </c:pt>
                <c:pt idx="173">
                  <c:v>45693</c:v>
                </c:pt>
                <c:pt idx="174">
                  <c:v>45694</c:v>
                </c:pt>
                <c:pt idx="175">
                  <c:v>45695</c:v>
                </c:pt>
                <c:pt idx="176">
                  <c:v>45696</c:v>
                </c:pt>
                <c:pt idx="177">
                  <c:v>45697</c:v>
                </c:pt>
                <c:pt idx="178">
                  <c:v>45698</c:v>
                </c:pt>
                <c:pt idx="179">
                  <c:v>45699</c:v>
                </c:pt>
                <c:pt idx="180">
                  <c:v>45700</c:v>
                </c:pt>
                <c:pt idx="181">
                  <c:v>45701</c:v>
                </c:pt>
                <c:pt idx="182">
                  <c:v>45702</c:v>
                </c:pt>
                <c:pt idx="183">
                  <c:v>45703</c:v>
                </c:pt>
                <c:pt idx="184">
                  <c:v>45704</c:v>
                </c:pt>
                <c:pt idx="185">
                  <c:v>45705</c:v>
                </c:pt>
                <c:pt idx="186">
                  <c:v>45706</c:v>
                </c:pt>
                <c:pt idx="187">
                  <c:v>45707</c:v>
                </c:pt>
                <c:pt idx="188">
                  <c:v>45708</c:v>
                </c:pt>
                <c:pt idx="189">
                  <c:v>45709</c:v>
                </c:pt>
                <c:pt idx="190">
                  <c:v>45710</c:v>
                </c:pt>
                <c:pt idx="191">
                  <c:v>45711</c:v>
                </c:pt>
                <c:pt idx="192">
                  <c:v>45712</c:v>
                </c:pt>
                <c:pt idx="193">
                  <c:v>45713</c:v>
                </c:pt>
                <c:pt idx="194">
                  <c:v>45714</c:v>
                </c:pt>
                <c:pt idx="195">
                  <c:v>45715</c:v>
                </c:pt>
                <c:pt idx="196">
                  <c:v>45716</c:v>
                </c:pt>
                <c:pt idx="197">
                  <c:v>45717</c:v>
                </c:pt>
                <c:pt idx="198">
                  <c:v>45718</c:v>
                </c:pt>
                <c:pt idx="199">
                  <c:v>45719</c:v>
                </c:pt>
                <c:pt idx="200">
                  <c:v>45720</c:v>
                </c:pt>
                <c:pt idx="201">
                  <c:v>45721</c:v>
                </c:pt>
                <c:pt idx="202">
                  <c:v>45722</c:v>
                </c:pt>
                <c:pt idx="203">
                  <c:v>45723</c:v>
                </c:pt>
                <c:pt idx="204">
                  <c:v>45724</c:v>
                </c:pt>
                <c:pt idx="205">
                  <c:v>45725</c:v>
                </c:pt>
                <c:pt idx="206">
                  <c:v>45726</c:v>
                </c:pt>
                <c:pt idx="207">
                  <c:v>45727</c:v>
                </c:pt>
                <c:pt idx="208">
                  <c:v>45728</c:v>
                </c:pt>
                <c:pt idx="209">
                  <c:v>45729</c:v>
                </c:pt>
                <c:pt idx="210">
                  <c:v>45730</c:v>
                </c:pt>
                <c:pt idx="211">
                  <c:v>45731</c:v>
                </c:pt>
                <c:pt idx="212">
                  <c:v>45732</c:v>
                </c:pt>
                <c:pt idx="213">
                  <c:v>45733</c:v>
                </c:pt>
                <c:pt idx="214">
                  <c:v>45734</c:v>
                </c:pt>
                <c:pt idx="215">
                  <c:v>45735</c:v>
                </c:pt>
                <c:pt idx="216">
                  <c:v>45736</c:v>
                </c:pt>
                <c:pt idx="217">
                  <c:v>45737</c:v>
                </c:pt>
                <c:pt idx="218">
                  <c:v>45738</c:v>
                </c:pt>
                <c:pt idx="219">
                  <c:v>45739</c:v>
                </c:pt>
                <c:pt idx="220">
                  <c:v>45740</c:v>
                </c:pt>
                <c:pt idx="221">
                  <c:v>45741</c:v>
                </c:pt>
                <c:pt idx="222">
                  <c:v>45742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 formatCode="General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</c:numCache>
            </c:numRef>
          </c:xVal>
          <c:yVal>
            <c:numRef>
              <c:f>ConceptDemo!$Z$19:$Z$662</c:f>
              <c:numCache>
                <c:formatCode>General</c:formatCode>
                <c:ptCount val="6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1.32628610689558</c:v>
                </c:pt>
                <c:pt idx="71">
                  <c:v>1.4743915872337743</c:v>
                </c:pt>
                <c:pt idx="72">
                  <c:v>1.495789740953799</c:v>
                </c:pt>
                <c:pt idx="73">
                  <c:v>1.5786683648523381</c:v>
                </c:pt>
                <c:pt idx="74">
                  <c:v>1.7152186740717834</c:v>
                </c:pt>
                <c:pt idx="75">
                  <c:v>1.786464958673819</c:v>
                </c:pt>
                <c:pt idx="76">
                  <c:v>1.8190539297974961</c:v>
                </c:pt>
                <c:pt idx="77">
                  <c:v>1.9234660064827125</c:v>
                </c:pt>
                <c:pt idx="78">
                  <c:v>2.0091121889110219</c:v>
                </c:pt>
                <c:pt idx="79">
                  <c:v>2.1470941723404513</c:v>
                </c:pt>
                <c:pt idx="80">
                  <c:v>2.31856236379965</c:v>
                </c:pt>
                <c:pt idx="81">
                  <c:v>2.377633654038025</c:v>
                </c:pt>
                <c:pt idx="82">
                  <c:v>2.5596792639027299</c:v>
                </c:pt>
                <c:pt idx="83">
                  <c:v>2.7477093000962594</c:v>
                </c:pt>
                <c:pt idx="84">
                  <c:v>2.8258952265508519</c:v>
                </c:pt>
                <c:pt idx="85">
                  <c:v>3.0513826453624304</c:v>
                </c:pt>
                <c:pt idx="86">
                  <c:v>3.2406894974327294</c:v>
                </c:pt>
                <c:pt idx="87">
                  <c:v>3.4116736861071573</c:v>
                </c:pt>
                <c:pt idx="88">
                  <c:v>3.5409470550756694</c:v>
                </c:pt>
                <c:pt idx="89">
                  <c:v>3.7180784746333195</c:v>
                </c:pt>
                <c:pt idx="90">
                  <c:v>4.0137367447879058</c:v>
                </c:pt>
                <c:pt idx="91">
                  <c:v>4.3295269610114673</c:v>
                </c:pt>
                <c:pt idx="92">
                  <c:v>4.4533550550312206</c:v>
                </c:pt>
                <c:pt idx="93">
                  <c:v>4.5741202679359994</c:v>
                </c:pt>
                <c:pt idx="94">
                  <c:v>4.8044533867402528</c:v>
                </c:pt>
                <c:pt idx="95">
                  <c:v>5.2071322357824101</c:v>
                </c:pt>
                <c:pt idx="96">
                  <c:v>5.5134608357685622</c:v>
                </c:pt>
                <c:pt idx="97">
                  <c:v>5.9021666045866716</c:v>
                </c:pt>
                <c:pt idx="98">
                  <c:v>6.3207141230413555</c:v>
                </c:pt>
                <c:pt idx="99">
                  <c:v>6.6020082341100483</c:v>
                </c:pt>
                <c:pt idx="100">
                  <c:v>7.2521132507253583</c:v>
                </c:pt>
                <c:pt idx="101">
                  <c:v>7.6854192441441427</c:v>
                </c:pt>
                <c:pt idx="102">
                  <c:v>7.9285838084367732</c:v>
                </c:pt>
                <c:pt idx="103">
                  <c:v>8.3175696287583101</c:v>
                </c:pt>
                <c:pt idx="104">
                  <c:v>8.8313776315408887</c:v>
                </c:pt>
                <c:pt idx="105">
                  <c:v>9.4817584645236863</c:v>
                </c:pt>
                <c:pt idx="106">
                  <c:v>10.163747482430701</c:v>
                </c:pt>
                <c:pt idx="107">
                  <c:v>11.007242571266325</c:v>
                </c:pt>
                <c:pt idx="108">
                  <c:v>11.838013576394992</c:v>
                </c:pt>
                <c:pt idx="109">
                  <c:v>12.550482276062986</c:v>
                </c:pt>
                <c:pt idx="110">
                  <c:v>13.115701846715986</c:v>
                </c:pt>
                <c:pt idx="111">
                  <c:v>13.869657232104231</c:v>
                </c:pt>
                <c:pt idx="112">
                  <c:v>14.16596260654547</c:v>
                </c:pt>
                <c:pt idx="113">
                  <c:v>14.867104802871722</c:v>
                </c:pt>
                <c:pt idx="114">
                  <c:v>16.100472586483008</c:v>
                </c:pt>
                <c:pt idx="115">
                  <c:v>16.860284362697087</c:v>
                </c:pt>
                <c:pt idx="116">
                  <c:v>18.335900206653761</c:v>
                </c:pt>
                <c:pt idx="117">
                  <c:v>19.847023559106489</c:v>
                </c:pt>
                <c:pt idx="118">
                  <c:v>20.634181958857027</c:v>
                </c:pt>
                <c:pt idx="119">
                  <c:v>21.611332282860332</c:v>
                </c:pt>
                <c:pt idx="120">
                  <c:v>22.502589909045625</c:v>
                </c:pt>
                <c:pt idx="121">
                  <c:v>23.768463965883626</c:v>
                </c:pt>
                <c:pt idx="122">
                  <c:v>25.00046739937055</c:v>
                </c:pt>
                <c:pt idx="123">
                  <c:v>25.743366028317638</c:v>
                </c:pt>
                <c:pt idx="124">
                  <c:v>27.238551770047508</c:v>
                </c:pt>
                <c:pt idx="125">
                  <c:v>28.973887125778219</c:v>
                </c:pt>
                <c:pt idx="126">
                  <c:v>30.300140516432279</c:v>
                </c:pt>
                <c:pt idx="127">
                  <c:v>31.950612560799669</c:v>
                </c:pt>
                <c:pt idx="128">
                  <c:v>32.60907892959608</c:v>
                </c:pt>
                <c:pt idx="129">
                  <c:v>34.248578534964338</c:v>
                </c:pt>
                <c:pt idx="130">
                  <c:v>36.166777198712481</c:v>
                </c:pt>
                <c:pt idx="131">
                  <c:v>36.970803113120354</c:v>
                </c:pt>
                <c:pt idx="132">
                  <c:v>38.524677580695794</c:v>
                </c:pt>
                <c:pt idx="133">
                  <c:v>41.811983913482322</c:v>
                </c:pt>
                <c:pt idx="134">
                  <c:v>44.142429982590841</c:v>
                </c:pt>
                <c:pt idx="135">
                  <c:v>45.121543279759777</c:v>
                </c:pt>
                <c:pt idx="136">
                  <c:v>45.702284491547971</c:v>
                </c:pt>
                <c:pt idx="137">
                  <c:v>46.781158353083612</c:v>
                </c:pt>
                <c:pt idx="138">
                  <c:v>47.982430583234645</c:v>
                </c:pt>
                <c:pt idx="139">
                  <c:v>50.309614221241929</c:v>
                </c:pt>
                <c:pt idx="140">
                  <c:v>51.059513606475804</c:v>
                </c:pt>
                <c:pt idx="141">
                  <c:v>52.946195613800597</c:v>
                </c:pt>
                <c:pt idx="142">
                  <c:v>52.833040142628107</c:v>
                </c:pt>
                <c:pt idx="143">
                  <c:v>54.069207414640772</c:v>
                </c:pt>
                <c:pt idx="144">
                  <c:v>56.348883742634257</c:v>
                </c:pt>
                <c:pt idx="145">
                  <c:v>57.856208074593667</c:v>
                </c:pt>
                <c:pt idx="146">
                  <c:v>59.302951218739963</c:v>
                </c:pt>
                <c:pt idx="147">
                  <c:v>59.41368206058911</c:v>
                </c:pt>
                <c:pt idx="148">
                  <c:v>59.050757899375412</c:v>
                </c:pt>
                <c:pt idx="149">
                  <c:v>59.781364175777867</c:v>
                </c:pt>
                <c:pt idx="150">
                  <c:v>60.510336801112032</c:v>
                </c:pt>
                <c:pt idx="151">
                  <c:v>61.295774325943739</c:v>
                </c:pt>
                <c:pt idx="152">
                  <c:v>61.113727119823125</c:v>
                </c:pt>
                <c:pt idx="153">
                  <c:v>60.816912916072283</c:v>
                </c:pt>
                <c:pt idx="154">
                  <c:v>59.72971268499947</c:v>
                </c:pt>
                <c:pt idx="155">
                  <c:v>59.385084142207063</c:v>
                </c:pt>
                <c:pt idx="156">
                  <c:v>59.66109868933728</c:v>
                </c:pt>
                <c:pt idx="157">
                  <c:v>58.648899722295198</c:v>
                </c:pt>
                <c:pt idx="158">
                  <c:v>58.440332919537923</c:v>
                </c:pt>
                <c:pt idx="159">
                  <c:v>57.654438573651419</c:v>
                </c:pt>
                <c:pt idx="160">
                  <c:v>56.534224987853463</c:v>
                </c:pt>
                <c:pt idx="161">
                  <c:v>55.364804639095553</c:v>
                </c:pt>
                <c:pt idx="162">
                  <c:v>54.625277072284177</c:v>
                </c:pt>
                <c:pt idx="163">
                  <c:v>53.45160936095823</c:v>
                </c:pt>
                <c:pt idx="164">
                  <c:v>50.993169729671024</c:v>
                </c:pt>
                <c:pt idx="165">
                  <c:v>49.805420259696973</c:v>
                </c:pt>
                <c:pt idx="166">
                  <c:v>48.725774387160641</c:v>
                </c:pt>
                <c:pt idx="167">
                  <c:v>47.545116870784909</c:v>
                </c:pt>
                <c:pt idx="168">
                  <c:v>45.590900798389953</c:v>
                </c:pt>
                <c:pt idx="169">
                  <c:v>43.986958085672541</c:v>
                </c:pt>
                <c:pt idx="170">
                  <c:v>41.683464078944894</c:v>
                </c:pt>
                <c:pt idx="171">
                  <c:v>39.446175034266275</c:v>
                </c:pt>
                <c:pt idx="172">
                  <c:v>36.519276505401876</c:v>
                </c:pt>
                <c:pt idx="173">
                  <c:v>35.760154435319009</c:v>
                </c:pt>
                <c:pt idx="174">
                  <c:v>33.881546314352704</c:v>
                </c:pt>
                <c:pt idx="175">
                  <c:v>32.445620779322439</c:v>
                </c:pt>
                <c:pt idx="176">
                  <c:v>30.815635838603725</c:v>
                </c:pt>
                <c:pt idx="177">
                  <c:v>29.455450527273683</c:v>
                </c:pt>
                <c:pt idx="178">
                  <c:v>28.448042476701403</c:v>
                </c:pt>
                <c:pt idx="179">
                  <c:v>27.16483556799119</c:v>
                </c:pt>
                <c:pt idx="180">
                  <c:v>25.566798233703594</c:v>
                </c:pt>
                <c:pt idx="181">
                  <c:v>23.887347988136298</c:v>
                </c:pt>
                <c:pt idx="182">
                  <c:v>22.552780727423851</c:v>
                </c:pt>
                <c:pt idx="183">
                  <c:v>21.008203403885091</c:v>
                </c:pt>
                <c:pt idx="184">
                  <c:v>19.69242986852862</c:v>
                </c:pt>
                <c:pt idx="185">
                  <c:v>18.561431824102215</c:v>
                </c:pt>
                <c:pt idx="186">
                  <c:v>17.586280062723745</c:v>
                </c:pt>
                <c:pt idx="187">
                  <c:v>16.526523432444833</c:v>
                </c:pt>
                <c:pt idx="188">
                  <c:v>15.589660583957539</c:v>
                </c:pt>
                <c:pt idx="189">
                  <c:v>14.575617115334012</c:v>
                </c:pt>
                <c:pt idx="190">
                  <c:v>13.526902113483175</c:v>
                </c:pt>
                <c:pt idx="191">
                  <c:v>12.681718351892073</c:v>
                </c:pt>
                <c:pt idx="192">
                  <c:v>11.631885968675419</c:v>
                </c:pt>
                <c:pt idx="193">
                  <c:v>10.640037717048472</c:v>
                </c:pt>
                <c:pt idx="194">
                  <c:v>10.055764900220083</c:v>
                </c:pt>
                <c:pt idx="195">
                  <c:v>9.4959177179259768</c:v>
                </c:pt>
                <c:pt idx="196">
                  <c:v>8.7831188828806717</c:v>
                </c:pt>
                <c:pt idx="197">
                  <c:v>8.2713073256536518</c:v>
                </c:pt>
                <c:pt idx="198">
                  <c:v>7.9204328391006129</c:v>
                </c:pt>
                <c:pt idx="199">
                  <c:v>7.4418710863312754</c:v>
                </c:pt>
                <c:pt idx="200">
                  <c:v>6.7044684852720593</c:v>
                </c:pt>
                <c:pt idx="201">
                  <c:v>6.2641570685150327</c:v>
                </c:pt>
                <c:pt idx="202">
                  <c:v>6.008212357779712</c:v>
                </c:pt>
                <c:pt idx="203">
                  <c:v>5.4593264399863983</c:v>
                </c:pt>
                <c:pt idx="204">
                  <c:v>5.2212664918658902</c:v>
                </c:pt>
                <c:pt idx="205">
                  <c:v>4.9557982170222203</c:v>
                </c:pt>
                <c:pt idx="206">
                  <c:v>4.5710912560934958</c:v>
                </c:pt>
                <c:pt idx="207">
                  <c:v>4.2439462579301335</c:v>
                </c:pt>
                <c:pt idx="208">
                  <c:v>4.0167991712417006</c:v>
                </c:pt>
                <c:pt idx="209">
                  <c:v>3.6877838378251226</c:v>
                </c:pt>
                <c:pt idx="210">
                  <c:v>3.4581846875636302</c:v>
                </c:pt>
                <c:pt idx="211">
                  <c:v>3.2141361776081112</c:v>
                </c:pt>
                <c:pt idx="212">
                  <c:v>3.0382631023491058</c:v>
                </c:pt>
                <c:pt idx="213">
                  <c:v>2.8451510706071304</c:v>
                </c:pt>
                <c:pt idx="214">
                  <c:v>2.6554643570318603</c:v>
                </c:pt>
                <c:pt idx="215">
                  <c:v>2.428185403142038</c:v>
                </c:pt>
                <c:pt idx="216">
                  <c:v>2.2866744566829311</c:v>
                </c:pt>
                <c:pt idx="217">
                  <c:v>2.1805775617627887</c:v>
                </c:pt>
                <c:pt idx="218">
                  <c:v>2.0324587945873418</c:v>
                </c:pt>
                <c:pt idx="219">
                  <c:v>1.8705084802809324</c:v>
                </c:pt>
                <c:pt idx="220">
                  <c:v>1.7487913040207559</c:v>
                </c:pt>
                <c:pt idx="221">
                  <c:v>1.6447184266257864</c:v>
                </c:pt>
                <c:pt idx="222">
                  <c:v>1.5510354191394526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2-4D57-9AE6-5FD71C8B3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668657021186891"/>
          <c:y val="0.222747114798475"/>
          <c:w val="0.24331347581064822"/>
          <c:h val="0.540915434899738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ConceptDemo!$AF$18:$AF$395</c:f>
              <c:numCache>
                <c:formatCode>m/d/yyyy</c:formatCode>
                <c:ptCount val="378"/>
                <c:pt idx="0">
                  <c:v>45743</c:v>
                </c:pt>
                <c:pt idx="1">
                  <c:v>45744</c:v>
                </c:pt>
                <c:pt idx="2">
                  <c:v>45745</c:v>
                </c:pt>
                <c:pt idx="3">
                  <c:v>45746</c:v>
                </c:pt>
                <c:pt idx="4">
                  <c:v>45747</c:v>
                </c:pt>
                <c:pt idx="5">
                  <c:v>45748</c:v>
                </c:pt>
                <c:pt idx="6">
                  <c:v>45749</c:v>
                </c:pt>
                <c:pt idx="7">
                  <c:v>45750</c:v>
                </c:pt>
                <c:pt idx="8">
                  <c:v>45751</c:v>
                </c:pt>
                <c:pt idx="9">
                  <c:v>45752</c:v>
                </c:pt>
                <c:pt idx="10">
                  <c:v>45753</c:v>
                </c:pt>
                <c:pt idx="11">
                  <c:v>45754</c:v>
                </c:pt>
                <c:pt idx="12">
                  <c:v>45755</c:v>
                </c:pt>
                <c:pt idx="13">
                  <c:v>45756</c:v>
                </c:pt>
                <c:pt idx="14">
                  <c:v>45757</c:v>
                </c:pt>
                <c:pt idx="15">
                  <c:v>45758</c:v>
                </c:pt>
                <c:pt idx="16">
                  <c:v>45759</c:v>
                </c:pt>
                <c:pt idx="17">
                  <c:v>45760</c:v>
                </c:pt>
                <c:pt idx="18">
                  <c:v>45761</c:v>
                </c:pt>
                <c:pt idx="19">
                  <c:v>45762</c:v>
                </c:pt>
                <c:pt idx="20">
                  <c:v>45763</c:v>
                </c:pt>
                <c:pt idx="21">
                  <c:v>45764</c:v>
                </c:pt>
                <c:pt idx="22">
                  <c:v>45765</c:v>
                </c:pt>
                <c:pt idx="23">
                  <c:v>45766</c:v>
                </c:pt>
                <c:pt idx="24">
                  <c:v>45767</c:v>
                </c:pt>
                <c:pt idx="25">
                  <c:v>45768</c:v>
                </c:pt>
                <c:pt idx="26">
                  <c:v>45769</c:v>
                </c:pt>
                <c:pt idx="27">
                  <c:v>45770</c:v>
                </c:pt>
                <c:pt idx="28">
                  <c:v>45771</c:v>
                </c:pt>
                <c:pt idx="29">
                  <c:v>45772</c:v>
                </c:pt>
                <c:pt idx="30">
                  <c:v>45773</c:v>
                </c:pt>
                <c:pt idx="31">
                  <c:v>45774</c:v>
                </c:pt>
                <c:pt idx="32">
                  <c:v>45775</c:v>
                </c:pt>
                <c:pt idx="33">
                  <c:v>45776</c:v>
                </c:pt>
                <c:pt idx="34">
                  <c:v>45777</c:v>
                </c:pt>
                <c:pt idx="35">
                  <c:v>45778</c:v>
                </c:pt>
                <c:pt idx="36">
                  <c:v>45779</c:v>
                </c:pt>
                <c:pt idx="37">
                  <c:v>45780</c:v>
                </c:pt>
                <c:pt idx="38">
                  <c:v>45781</c:v>
                </c:pt>
                <c:pt idx="39">
                  <c:v>45782</c:v>
                </c:pt>
                <c:pt idx="40">
                  <c:v>45783</c:v>
                </c:pt>
                <c:pt idx="41">
                  <c:v>45784</c:v>
                </c:pt>
                <c:pt idx="42">
                  <c:v>45785</c:v>
                </c:pt>
                <c:pt idx="43">
                  <c:v>45786</c:v>
                </c:pt>
                <c:pt idx="44">
                  <c:v>45787</c:v>
                </c:pt>
                <c:pt idx="45">
                  <c:v>45788</c:v>
                </c:pt>
                <c:pt idx="46">
                  <c:v>45789</c:v>
                </c:pt>
                <c:pt idx="47">
                  <c:v>45790</c:v>
                </c:pt>
                <c:pt idx="48">
                  <c:v>45791</c:v>
                </c:pt>
                <c:pt idx="49">
                  <c:v>45792</c:v>
                </c:pt>
                <c:pt idx="50">
                  <c:v>45793</c:v>
                </c:pt>
                <c:pt idx="51">
                  <c:v>45794</c:v>
                </c:pt>
                <c:pt idx="52">
                  <c:v>45795</c:v>
                </c:pt>
                <c:pt idx="53">
                  <c:v>45796</c:v>
                </c:pt>
                <c:pt idx="54">
                  <c:v>45797</c:v>
                </c:pt>
                <c:pt idx="55">
                  <c:v>45798</c:v>
                </c:pt>
                <c:pt idx="56">
                  <c:v>45799</c:v>
                </c:pt>
                <c:pt idx="57">
                  <c:v>45800</c:v>
                </c:pt>
                <c:pt idx="58">
                  <c:v>45801</c:v>
                </c:pt>
                <c:pt idx="59">
                  <c:v>45802</c:v>
                </c:pt>
                <c:pt idx="60">
                  <c:v>45803</c:v>
                </c:pt>
                <c:pt idx="61">
                  <c:v>45804</c:v>
                </c:pt>
                <c:pt idx="62">
                  <c:v>45805</c:v>
                </c:pt>
                <c:pt idx="63">
                  <c:v>45806</c:v>
                </c:pt>
                <c:pt idx="64">
                  <c:v>45807</c:v>
                </c:pt>
                <c:pt idx="65">
                  <c:v>45808</c:v>
                </c:pt>
                <c:pt idx="66">
                  <c:v>45809</c:v>
                </c:pt>
                <c:pt idx="67">
                  <c:v>45810</c:v>
                </c:pt>
                <c:pt idx="68">
                  <c:v>45811</c:v>
                </c:pt>
                <c:pt idx="69">
                  <c:v>45812</c:v>
                </c:pt>
                <c:pt idx="70">
                  <c:v>45813</c:v>
                </c:pt>
                <c:pt idx="71">
                  <c:v>45814</c:v>
                </c:pt>
                <c:pt idx="72">
                  <c:v>45815</c:v>
                </c:pt>
                <c:pt idx="73">
                  <c:v>45816</c:v>
                </c:pt>
                <c:pt idx="74">
                  <c:v>45817</c:v>
                </c:pt>
                <c:pt idx="75">
                  <c:v>45818</c:v>
                </c:pt>
                <c:pt idx="76">
                  <c:v>45819</c:v>
                </c:pt>
                <c:pt idx="77">
                  <c:v>45820</c:v>
                </c:pt>
                <c:pt idx="78">
                  <c:v>45821</c:v>
                </c:pt>
                <c:pt idx="79">
                  <c:v>45822</c:v>
                </c:pt>
                <c:pt idx="80">
                  <c:v>45823</c:v>
                </c:pt>
                <c:pt idx="81">
                  <c:v>45824</c:v>
                </c:pt>
                <c:pt idx="82">
                  <c:v>45825</c:v>
                </c:pt>
                <c:pt idx="83">
                  <c:v>45826</c:v>
                </c:pt>
                <c:pt idx="84">
                  <c:v>45827</c:v>
                </c:pt>
                <c:pt idx="85">
                  <c:v>45828</c:v>
                </c:pt>
                <c:pt idx="86">
                  <c:v>45829</c:v>
                </c:pt>
                <c:pt idx="87">
                  <c:v>45830</c:v>
                </c:pt>
                <c:pt idx="88">
                  <c:v>45831</c:v>
                </c:pt>
                <c:pt idx="89">
                  <c:v>45832</c:v>
                </c:pt>
                <c:pt idx="90">
                  <c:v>45833</c:v>
                </c:pt>
                <c:pt idx="91">
                  <c:v>45834</c:v>
                </c:pt>
                <c:pt idx="92">
                  <c:v>45835</c:v>
                </c:pt>
                <c:pt idx="93">
                  <c:v>45836</c:v>
                </c:pt>
                <c:pt idx="94">
                  <c:v>45837</c:v>
                </c:pt>
                <c:pt idx="95">
                  <c:v>45838</c:v>
                </c:pt>
                <c:pt idx="96">
                  <c:v>45839</c:v>
                </c:pt>
                <c:pt idx="97">
                  <c:v>45840</c:v>
                </c:pt>
                <c:pt idx="98">
                  <c:v>45841</c:v>
                </c:pt>
                <c:pt idx="99">
                  <c:v>45842</c:v>
                </c:pt>
                <c:pt idx="100">
                  <c:v>45843</c:v>
                </c:pt>
                <c:pt idx="101">
                  <c:v>45844</c:v>
                </c:pt>
                <c:pt idx="102">
                  <c:v>45845</c:v>
                </c:pt>
                <c:pt idx="103">
                  <c:v>45846</c:v>
                </c:pt>
                <c:pt idx="104">
                  <c:v>45847</c:v>
                </c:pt>
                <c:pt idx="105">
                  <c:v>45848</c:v>
                </c:pt>
                <c:pt idx="106">
                  <c:v>45849</c:v>
                </c:pt>
                <c:pt idx="107">
                  <c:v>45850</c:v>
                </c:pt>
                <c:pt idx="108">
                  <c:v>45851</c:v>
                </c:pt>
                <c:pt idx="109">
                  <c:v>45852</c:v>
                </c:pt>
                <c:pt idx="110">
                  <c:v>45853</c:v>
                </c:pt>
                <c:pt idx="111">
                  <c:v>45854</c:v>
                </c:pt>
                <c:pt idx="112">
                  <c:v>45855</c:v>
                </c:pt>
                <c:pt idx="113">
                  <c:v>45856</c:v>
                </c:pt>
                <c:pt idx="114">
                  <c:v>45857</c:v>
                </c:pt>
                <c:pt idx="115">
                  <c:v>45858</c:v>
                </c:pt>
                <c:pt idx="116">
                  <c:v>45859</c:v>
                </c:pt>
                <c:pt idx="117">
                  <c:v>45860</c:v>
                </c:pt>
                <c:pt idx="118">
                  <c:v>45861</c:v>
                </c:pt>
                <c:pt idx="119">
                  <c:v>45862</c:v>
                </c:pt>
                <c:pt idx="120">
                  <c:v>45863</c:v>
                </c:pt>
                <c:pt idx="121">
                  <c:v>45864</c:v>
                </c:pt>
                <c:pt idx="122">
                  <c:v>45865</c:v>
                </c:pt>
                <c:pt idx="123">
                  <c:v>45866</c:v>
                </c:pt>
                <c:pt idx="124">
                  <c:v>45867</c:v>
                </c:pt>
                <c:pt idx="125">
                  <c:v>45868</c:v>
                </c:pt>
                <c:pt idx="126">
                  <c:v>45869</c:v>
                </c:pt>
                <c:pt idx="127">
                  <c:v>45870</c:v>
                </c:pt>
                <c:pt idx="128">
                  <c:v>45871</c:v>
                </c:pt>
                <c:pt idx="129">
                  <c:v>45872</c:v>
                </c:pt>
                <c:pt idx="130">
                  <c:v>45873</c:v>
                </c:pt>
                <c:pt idx="131">
                  <c:v>45874</c:v>
                </c:pt>
                <c:pt idx="132">
                  <c:v>45875</c:v>
                </c:pt>
                <c:pt idx="133">
                  <c:v>45876</c:v>
                </c:pt>
                <c:pt idx="134">
                  <c:v>45877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ConceptDemo!$AI$18:$AI$395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2.9955747419807333</c:v>
                </c:pt>
                <c:pt idx="15">
                  <c:v>3.2474563862880004</c:v>
                </c:pt>
                <c:pt idx="16">
                  <c:v>3.5217083668422462</c:v>
                </c:pt>
                <c:pt idx="17">
                  <c:v>3.8266522029008909</c:v>
                </c:pt>
                <c:pt idx="18">
                  <c:v>4.1477059398311802</c:v>
                </c:pt>
                <c:pt idx="19">
                  <c:v>4.4891067131595515</c:v>
                </c:pt>
                <c:pt idx="20">
                  <c:v>4.8771963361775805</c:v>
                </c:pt>
                <c:pt idx="21">
                  <c:v>5.2881229318685792</c:v>
                </c:pt>
                <c:pt idx="22">
                  <c:v>5.7336292308417063</c:v>
                </c:pt>
                <c:pt idx="23">
                  <c:v>6.2050252177626692</c:v>
                </c:pt>
                <c:pt idx="24">
                  <c:v>6.7259792090606823</c:v>
                </c:pt>
                <c:pt idx="25">
                  <c:v>7.2814389000079993</c:v>
                </c:pt>
                <c:pt idx="26">
                  <c:v>7.8375981648745157</c:v>
                </c:pt>
                <c:pt idx="27">
                  <c:v>8.4451083645688367</c:v>
                </c:pt>
                <c:pt idx="28">
                  <c:v>9.0853565656600939</c:v>
                </c:pt>
                <c:pt idx="29">
                  <c:v>9.7940090369354227</c:v>
                </c:pt>
                <c:pt idx="30">
                  <c:v>10.575116882363613</c:v>
                </c:pt>
                <c:pt idx="31">
                  <c:v>11.45173820795325</c:v>
                </c:pt>
                <c:pt idx="32">
                  <c:v>12.421509710066681</c:v>
                </c:pt>
                <c:pt idx="33">
                  <c:v>13.37766319147916</c:v>
                </c:pt>
                <c:pt idx="34">
                  <c:v>14.36107983023304</c:v>
                </c:pt>
                <c:pt idx="35">
                  <c:v>15.422167165289656</c:v>
                </c:pt>
                <c:pt idx="36">
                  <c:v>16.545889908567339</c:v>
                </c:pt>
                <c:pt idx="37">
                  <c:v>17.733134901885499</c:v>
                </c:pt>
                <c:pt idx="38">
                  <c:v>18.961587798851671</c:v>
                </c:pt>
                <c:pt idx="39">
                  <c:v>20.284417125271268</c:v>
                </c:pt>
                <c:pt idx="40">
                  <c:v>21.720323730832003</c:v>
                </c:pt>
                <c:pt idx="41">
                  <c:v>23.196667580197079</c:v>
                </c:pt>
                <c:pt idx="42">
                  <c:v>24.71941616375123</c:v>
                </c:pt>
                <c:pt idx="43">
                  <c:v>26.254011363893905</c:v>
                </c:pt>
                <c:pt idx="44">
                  <c:v>27.903612071876196</c:v>
                </c:pt>
                <c:pt idx="45">
                  <c:v>29.711734684332281</c:v>
                </c:pt>
                <c:pt idx="46">
                  <c:v>31.70096579321644</c:v>
                </c:pt>
                <c:pt idx="47">
                  <c:v>33.792068103663354</c:v>
                </c:pt>
                <c:pt idx="48">
                  <c:v>35.922818869851199</c:v>
                </c:pt>
                <c:pt idx="49">
                  <c:v>38.152566135359606</c:v>
                </c:pt>
                <c:pt idx="50">
                  <c:v>40.508680790763428</c:v>
                </c:pt>
                <c:pt idx="51">
                  <c:v>42.872530124738837</c:v>
                </c:pt>
                <c:pt idx="52">
                  <c:v>45.313036082949814</c:v>
                </c:pt>
                <c:pt idx="53">
                  <c:v>48.034467003264254</c:v>
                </c:pt>
                <c:pt idx="54">
                  <c:v>50.879109015258067</c:v>
                </c:pt>
                <c:pt idx="55">
                  <c:v>53.974203677118389</c:v>
                </c:pt>
                <c:pt idx="56">
                  <c:v>57.022565662763483</c:v>
                </c:pt>
                <c:pt idx="57">
                  <c:v>60.117119722882499</c:v>
                </c:pt>
                <c:pt idx="58">
                  <c:v>63.320120709579463</c:v>
                </c:pt>
                <c:pt idx="59">
                  <c:v>66.78462572033402</c:v>
                </c:pt>
                <c:pt idx="60">
                  <c:v>70.584297650158121</c:v>
                </c:pt>
                <c:pt idx="61">
                  <c:v>74.256065136144628</c:v>
                </c:pt>
                <c:pt idx="62">
                  <c:v>77.712365862690376</c:v>
                </c:pt>
                <c:pt idx="63">
                  <c:v>81.101038706085632</c:v>
                </c:pt>
                <c:pt idx="64">
                  <c:v>84.758864423389298</c:v>
                </c:pt>
                <c:pt idx="65">
                  <c:v>88.379027409855482</c:v>
                </c:pt>
                <c:pt idx="66">
                  <c:v>92.12716756726185</c:v>
                </c:pt>
                <c:pt idx="67">
                  <c:v>95.894466835564572</c:v>
                </c:pt>
                <c:pt idx="68">
                  <c:v>99.446898337856979</c:v>
                </c:pt>
                <c:pt idx="69">
                  <c:v>103.15491614123833</c:v>
                </c:pt>
                <c:pt idx="70">
                  <c:v>107.03488980573096</c:v>
                </c:pt>
                <c:pt idx="71">
                  <c:v>110.97006372304236</c:v>
                </c:pt>
                <c:pt idx="72">
                  <c:v>115.06711211209583</c:v>
                </c:pt>
                <c:pt idx="73">
                  <c:v>119.44891973461797</c:v>
                </c:pt>
                <c:pt idx="74">
                  <c:v>124.19397574928377</c:v>
                </c:pt>
                <c:pt idx="75">
                  <c:v>129.05831963681109</c:v>
                </c:pt>
                <c:pt idx="76">
                  <c:v>134.06714511758798</c:v>
                </c:pt>
                <c:pt idx="77">
                  <c:v>139.04425375076497</c:v>
                </c:pt>
                <c:pt idx="78">
                  <c:v>143.97028167085224</c:v>
                </c:pt>
                <c:pt idx="79">
                  <c:v>148.54933264614041</c:v>
                </c:pt>
                <c:pt idx="80">
                  <c:v>153.23620316846345</c:v>
                </c:pt>
                <c:pt idx="81">
                  <c:v>157.54569566595714</c:v>
                </c:pt>
                <c:pt idx="82">
                  <c:v>161.95467523771254</c:v>
                </c:pt>
                <c:pt idx="83">
                  <c:v>166.82011946807265</c:v>
                </c:pt>
                <c:pt idx="84">
                  <c:v>171.45562715842948</c:v>
                </c:pt>
                <c:pt idx="85">
                  <c:v>176.25434084834723</c:v>
                </c:pt>
                <c:pt idx="86">
                  <c:v>181.17407857787413</c:v>
                </c:pt>
                <c:pt idx="87">
                  <c:v>185.84979821009159</c:v>
                </c:pt>
                <c:pt idx="88">
                  <c:v>190.33707999547713</c:v>
                </c:pt>
                <c:pt idx="89">
                  <c:v>194.9282272095563</c:v>
                </c:pt>
                <c:pt idx="90">
                  <c:v>199.6680416359473</c:v>
                </c:pt>
                <c:pt idx="91">
                  <c:v>204.11476545889218</c:v>
                </c:pt>
                <c:pt idx="92">
                  <c:v>208.6442534980437</c:v>
                </c:pt>
                <c:pt idx="93">
                  <c:v>213.07405069501417</c:v>
                </c:pt>
                <c:pt idx="94">
                  <c:v>217.5780712960875</c:v>
                </c:pt>
                <c:pt idx="95">
                  <c:v>222.14348216230789</c:v>
                </c:pt>
                <c:pt idx="96">
                  <c:v>226.20355964528056</c:v>
                </c:pt>
                <c:pt idx="97">
                  <c:v>229.86419479584615</c:v>
                </c:pt>
                <c:pt idx="98">
                  <c:v>233.61305991310414</c:v>
                </c:pt>
                <c:pt idx="99">
                  <c:v>237.72321125788793</c:v>
                </c:pt>
                <c:pt idx="100">
                  <c:v>242.20041104754864</c:v>
                </c:pt>
                <c:pt idx="101">
                  <c:v>246.60363968893401</c:v>
                </c:pt>
                <c:pt idx="102">
                  <c:v>250.92227971626039</c:v>
                </c:pt>
                <c:pt idx="103">
                  <c:v>254.97055222607142</c:v>
                </c:pt>
                <c:pt idx="104">
                  <c:v>259.09259664000672</c:v>
                </c:pt>
                <c:pt idx="105">
                  <c:v>262.68311690504743</c:v>
                </c:pt>
                <c:pt idx="106">
                  <c:v>265.96987526312842</c:v>
                </c:pt>
                <c:pt idx="107">
                  <c:v>269.43636633630376</c:v>
                </c:pt>
                <c:pt idx="108">
                  <c:v>272.99405368116834</c:v>
                </c:pt>
                <c:pt idx="109">
                  <c:v>276.21413527012265</c:v>
                </c:pt>
                <c:pt idx="110">
                  <c:v>280.03170018345253</c:v>
                </c:pt>
                <c:pt idx="111">
                  <c:v>284.18738060964733</c:v>
                </c:pt>
                <c:pt idx="112">
                  <c:v>288.09967035057537</c:v>
                </c:pt>
                <c:pt idx="113">
                  <c:v>291.69501065147386</c:v>
                </c:pt>
                <c:pt idx="114">
                  <c:v>295.14269644505504</c:v>
                </c:pt>
                <c:pt idx="115">
                  <c:v>298.8401731170095</c:v>
                </c:pt>
                <c:pt idx="116">
                  <c:v>302.15381490938796</c:v>
                </c:pt>
                <c:pt idx="117">
                  <c:v>305.76511782388434</c:v>
                </c:pt>
                <c:pt idx="118">
                  <c:v>309.21308882505662</c:v>
                </c:pt>
                <c:pt idx="119">
                  <c:v>312.60923825723438</c:v>
                </c:pt>
                <c:pt idx="120">
                  <c:v>315.59730900186992</c:v>
                </c:pt>
                <c:pt idx="121">
                  <c:v>318.46552571959717</c:v>
                </c:pt>
                <c:pt idx="122">
                  <c:v>321.50642524896284</c:v>
                </c:pt>
                <c:pt idx="123">
                  <c:v>324.52439119868478</c:v>
                </c:pt>
                <c:pt idx="124">
                  <c:v>327.56850746517893</c:v>
                </c:pt>
                <c:pt idx="125">
                  <c:v>330.52810848330159</c:v>
                </c:pt>
                <c:pt idx="126">
                  <c:v>333.45383436451976</c:v>
                </c:pt>
                <c:pt idx="127">
                  <c:v>336.32282063277779</c:v>
                </c:pt>
                <c:pt idx="128">
                  <c:v>339.27018289604894</c:v>
                </c:pt>
                <c:pt idx="129">
                  <c:v>342.09461107532667</c:v>
                </c:pt>
                <c:pt idx="130">
                  <c:v>344.79122416242399</c:v>
                </c:pt>
                <c:pt idx="131">
                  <c:v>347.27908538765587</c:v>
                </c:pt>
                <c:pt idx="132">
                  <c:v>349.65817661928929</c:v>
                </c:pt>
                <c:pt idx="133">
                  <c:v>352.00925105280027</c:v>
                </c:pt>
                <c:pt idx="134">
                  <c:v>354.28235294117644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ConceptDemo!$AF$18:$AF$395</c:f>
              <c:numCache>
                <c:formatCode>m/d/yyyy</c:formatCode>
                <c:ptCount val="378"/>
                <c:pt idx="0">
                  <c:v>45743</c:v>
                </c:pt>
                <c:pt idx="1">
                  <c:v>45744</c:v>
                </c:pt>
                <c:pt idx="2">
                  <c:v>45745</c:v>
                </c:pt>
                <c:pt idx="3">
                  <c:v>45746</c:v>
                </c:pt>
                <c:pt idx="4">
                  <c:v>45747</c:v>
                </c:pt>
                <c:pt idx="5">
                  <c:v>45748</c:v>
                </c:pt>
                <c:pt idx="6">
                  <c:v>45749</c:v>
                </c:pt>
                <c:pt idx="7">
                  <c:v>45750</c:v>
                </c:pt>
                <c:pt idx="8">
                  <c:v>45751</c:v>
                </c:pt>
                <c:pt idx="9">
                  <c:v>45752</c:v>
                </c:pt>
                <c:pt idx="10">
                  <c:v>45753</c:v>
                </c:pt>
                <c:pt idx="11">
                  <c:v>45754</c:v>
                </c:pt>
                <c:pt idx="12">
                  <c:v>45755</c:v>
                </c:pt>
                <c:pt idx="13">
                  <c:v>45756</c:v>
                </c:pt>
                <c:pt idx="14">
                  <c:v>45757</c:v>
                </c:pt>
                <c:pt idx="15">
                  <c:v>45758</c:v>
                </c:pt>
                <c:pt idx="16">
                  <c:v>45759</c:v>
                </c:pt>
                <c:pt idx="17">
                  <c:v>45760</c:v>
                </c:pt>
                <c:pt idx="18">
                  <c:v>45761</c:v>
                </c:pt>
                <c:pt idx="19">
                  <c:v>45762</c:v>
                </c:pt>
                <c:pt idx="20">
                  <c:v>45763</c:v>
                </c:pt>
                <c:pt idx="21">
                  <c:v>45764</c:v>
                </c:pt>
                <c:pt idx="22">
                  <c:v>45765</c:v>
                </c:pt>
                <c:pt idx="23">
                  <c:v>45766</c:v>
                </c:pt>
                <c:pt idx="24">
                  <c:v>45767</c:v>
                </c:pt>
                <c:pt idx="25">
                  <c:v>45768</c:v>
                </c:pt>
                <c:pt idx="26">
                  <c:v>45769</c:v>
                </c:pt>
                <c:pt idx="27">
                  <c:v>45770</c:v>
                </c:pt>
                <c:pt idx="28">
                  <c:v>45771</c:v>
                </c:pt>
                <c:pt idx="29">
                  <c:v>45772</c:v>
                </c:pt>
                <c:pt idx="30">
                  <c:v>45773</c:v>
                </c:pt>
                <c:pt idx="31">
                  <c:v>45774</c:v>
                </c:pt>
                <c:pt idx="32">
                  <c:v>45775</c:v>
                </c:pt>
                <c:pt idx="33">
                  <c:v>45776</c:v>
                </c:pt>
                <c:pt idx="34">
                  <c:v>45777</c:v>
                </c:pt>
                <c:pt idx="35">
                  <c:v>45778</c:v>
                </c:pt>
                <c:pt idx="36">
                  <c:v>45779</c:v>
                </c:pt>
                <c:pt idx="37">
                  <c:v>45780</c:v>
                </c:pt>
                <c:pt idx="38">
                  <c:v>45781</c:v>
                </c:pt>
                <c:pt idx="39">
                  <c:v>45782</c:v>
                </c:pt>
                <c:pt idx="40">
                  <c:v>45783</c:v>
                </c:pt>
                <c:pt idx="41">
                  <c:v>45784</c:v>
                </c:pt>
                <c:pt idx="42">
                  <c:v>45785</c:v>
                </c:pt>
                <c:pt idx="43">
                  <c:v>45786</c:v>
                </c:pt>
                <c:pt idx="44">
                  <c:v>45787</c:v>
                </c:pt>
                <c:pt idx="45">
                  <c:v>45788</c:v>
                </c:pt>
                <c:pt idx="46">
                  <c:v>45789</c:v>
                </c:pt>
                <c:pt idx="47">
                  <c:v>45790</c:v>
                </c:pt>
                <c:pt idx="48">
                  <c:v>45791</c:v>
                </c:pt>
                <c:pt idx="49">
                  <c:v>45792</c:v>
                </c:pt>
                <c:pt idx="50">
                  <c:v>45793</c:v>
                </c:pt>
                <c:pt idx="51">
                  <c:v>45794</c:v>
                </c:pt>
                <c:pt idx="52">
                  <c:v>45795</c:v>
                </c:pt>
                <c:pt idx="53">
                  <c:v>45796</c:v>
                </c:pt>
                <c:pt idx="54">
                  <c:v>45797</c:v>
                </c:pt>
                <c:pt idx="55">
                  <c:v>45798</c:v>
                </c:pt>
                <c:pt idx="56">
                  <c:v>45799</c:v>
                </c:pt>
                <c:pt idx="57">
                  <c:v>45800</c:v>
                </c:pt>
                <c:pt idx="58">
                  <c:v>45801</c:v>
                </c:pt>
                <c:pt idx="59">
                  <c:v>45802</c:v>
                </c:pt>
                <c:pt idx="60">
                  <c:v>45803</c:v>
                </c:pt>
                <c:pt idx="61">
                  <c:v>45804</c:v>
                </c:pt>
                <c:pt idx="62">
                  <c:v>45805</c:v>
                </c:pt>
                <c:pt idx="63">
                  <c:v>45806</c:v>
                </c:pt>
                <c:pt idx="64">
                  <c:v>45807</c:v>
                </c:pt>
                <c:pt idx="65">
                  <c:v>45808</c:v>
                </c:pt>
                <c:pt idx="66">
                  <c:v>45809</c:v>
                </c:pt>
                <c:pt idx="67">
                  <c:v>45810</c:v>
                </c:pt>
                <c:pt idx="68">
                  <c:v>45811</c:v>
                </c:pt>
                <c:pt idx="69">
                  <c:v>45812</c:v>
                </c:pt>
                <c:pt idx="70">
                  <c:v>45813</c:v>
                </c:pt>
                <c:pt idx="71">
                  <c:v>45814</c:v>
                </c:pt>
                <c:pt idx="72">
                  <c:v>45815</c:v>
                </c:pt>
                <c:pt idx="73">
                  <c:v>45816</c:v>
                </c:pt>
                <c:pt idx="74">
                  <c:v>45817</c:v>
                </c:pt>
                <c:pt idx="75">
                  <c:v>45818</c:v>
                </c:pt>
                <c:pt idx="76">
                  <c:v>45819</c:v>
                </c:pt>
                <c:pt idx="77">
                  <c:v>45820</c:v>
                </c:pt>
                <c:pt idx="78">
                  <c:v>45821</c:v>
                </c:pt>
                <c:pt idx="79">
                  <c:v>45822</c:v>
                </c:pt>
                <c:pt idx="80">
                  <c:v>45823</c:v>
                </c:pt>
                <c:pt idx="81">
                  <c:v>45824</c:v>
                </c:pt>
                <c:pt idx="82">
                  <c:v>45825</c:v>
                </c:pt>
                <c:pt idx="83">
                  <c:v>45826</c:v>
                </c:pt>
                <c:pt idx="84">
                  <c:v>45827</c:v>
                </c:pt>
                <c:pt idx="85">
                  <c:v>45828</c:v>
                </c:pt>
                <c:pt idx="86">
                  <c:v>45829</c:v>
                </c:pt>
                <c:pt idx="87">
                  <c:v>45830</c:v>
                </c:pt>
                <c:pt idx="88">
                  <c:v>45831</c:v>
                </c:pt>
                <c:pt idx="89">
                  <c:v>45832</c:v>
                </c:pt>
                <c:pt idx="90">
                  <c:v>45833</c:v>
                </c:pt>
                <c:pt idx="91">
                  <c:v>45834</c:v>
                </c:pt>
                <c:pt idx="92">
                  <c:v>45835</c:v>
                </c:pt>
                <c:pt idx="93">
                  <c:v>45836</c:v>
                </c:pt>
                <c:pt idx="94">
                  <c:v>45837</c:v>
                </c:pt>
                <c:pt idx="95">
                  <c:v>45838</c:v>
                </c:pt>
                <c:pt idx="96">
                  <c:v>45839</c:v>
                </c:pt>
                <c:pt idx="97">
                  <c:v>45840</c:v>
                </c:pt>
                <c:pt idx="98">
                  <c:v>45841</c:v>
                </c:pt>
                <c:pt idx="99">
                  <c:v>45842</c:v>
                </c:pt>
                <c:pt idx="100">
                  <c:v>45843</c:v>
                </c:pt>
                <c:pt idx="101">
                  <c:v>45844</c:v>
                </c:pt>
                <c:pt idx="102">
                  <c:v>45845</c:v>
                </c:pt>
                <c:pt idx="103">
                  <c:v>45846</c:v>
                </c:pt>
                <c:pt idx="104">
                  <c:v>45847</c:v>
                </c:pt>
                <c:pt idx="105">
                  <c:v>45848</c:v>
                </c:pt>
                <c:pt idx="106">
                  <c:v>45849</c:v>
                </c:pt>
                <c:pt idx="107">
                  <c:v>45850</c:v>
                </c:pt>
                <c:pt idx="108">
                  <c:v>45851</c:v>
                </c:pt>
                <c:pt idx="109">
                  <c:v>45852</c:v>
                </c:pt>
                <c:pt idx="110">
                  <c:v>45853</c:v>
                </c:pt>
                <c:pt idx="111">
                  <c:v>45854</c:v>
                </c:pt>
                <c:pt idx="112">
                  <c:v>45855</c:v>
                </c:pt>
                <c:pt idx="113">
                  <c:v>45856</c:v>
                </c:pt>
                <c:pt idx="114">
                  <c:v>45857</c:v>
                </c:pt>
                <c:pt idx="115">
                  <c:v>45858</c:v>
                </c:pt>
                <c:pt idx="116">
                  <c:v>45859</c:v>
                </c:pt>
                <c:pt idx="117">
                  <c:v>45860</c:v>
                </c:pt>
                <c:pt idx="118">
                  <c:v>45861</c:v>
                </c:pt>
                <c:pt idx="119">
                  <c:v>45862</c:v>
                </c:pt>
                <c:pt idx="120">
                  <c:v>45863</c:v>
                </c:pt>
                <c:pt idx="121">
                  <c:v>45864</c:v>
                </c:pt>
                <c:pt idx="122">
                  <c:v>45865</c:v>
                </c:pt>
                <c:pt idx="123">
                  <c:v>45866</c:v>
                </c:pt>
                <c:pt idx="124">
                  <c:v>45867</c:v>
                </c:pt>
                <c:pt idx="125">
                  <c:v>45868</c:v>
                </c:pt>
                <c:pt idx="126">
                  <c:v>45869</c:v>
                </c:pt>
                <c:pt idx="127">
                  <c:v>45870</c:v>
                </c:pt>
                <c:pt idx="128">
                  <c:v>45871</c:v>
                </c:pt>
                <c:pt idx="129">
                  <c:v>45872</c:v>
                </c:pt>
                <c:pt idx="130">
                  <c:v>45873</c:v>
                </c:pt>
                <c:pt idx="131">
                  <c:v>45874</c:v>
                </c:pt>
                <c:pt idx="132">
                  <c:v>45875</c:v>
                </c:pt>
                <c:pt idx="133">
                  <c:v>45876</c:v>
                </c:pt>
                <c:pt idx="134">
                  <c:v>45877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ConceptDemo!$AH$18:$AH$395</c:f>
              <c:numCache>
                <c:formatCode>General</c:formatCode>
                <c:ptCount val="378"/>
                <c:pt idx="0">
                  <c:v>10.645630892376335</c:v>
                </c:pt>
                <c:pt idx="1">
                  <c:v>6.7452312453167966</c:v>
                </c:pt>
                <c:pt idx="2">
                  <c:v>3.0789486800611749</c:v>
                </c:pt>
                <c:pt idx="3">
                  <c:v>-0.29352156120085215</c:v>
                </c:pt>
                <c:pt idx="4">
                  <c:v>-3.3646928346329057</c:v>
                </c:pt>
                <c:pt idx="5">
                  <c:v>-6.1616241305979891</c:v>
                </c:pt>
                <c:pt idx="6">
                  <c:v>-8.7182607424912817</c:v>
                </c:pt>
                <c:pt idx="7">
                  <c:v>-11.093983337734507</c:v>
                </c:pt>
                <c:pt idx="8">
                  <c:v>-13.237385602779746</c:v>
                </c:pt>
                <c:pt idx="9">
                  <c:v>-15.216253964771203</c:v>
                </c:pt>
                <c:pt idx="10">
                  <c:v>-17.020915193978453</c:v>
                </c:pt>
                <c:pt idx="11">
                  <c:v>-18.66440236088593</c:v>
                </c:pt>
                <c:pt idx="12">
                  <c:v>-20.122941351033838</c:v>
                </c:pt>
                <c:pt idx="13">
                  <c:v>-21.386514439517729</c:v>
                </c:pt>
                <c:pt idx="14">
                  <c:v>-22.509948531799708</c:v>
                </c:pt>
                <c:pt idx="15">
                  <c:v>-23.745004419954185</c:v>
                </c:pt>
                <c:pt idx="16">
                  <c:v>-24.869947176437503</c:v>
                </c:pt>
                <c:pt idx="17">
                  <c:v>-25.929370213845278</c:v>
                </c:pt>
                <c:pt idx="18">
                  <c:v>-26.873441974643026</c:v>
                </c:pt>
                <c:pt idx="19">
                  <c:v>-27.730060731875366</c:v>
                </c:pt>
                <c:pt idx="20">
                  <c:v>-28.529057627960619</c:v>
                </c:pt>
                <c:pt idx="21">
                  <c:v>-29.248923533516514</c:v>
                </c:pt>
                <c:pt idx="22">
                  <c:v>-29.909315183030607</c:v>
                </c:pt>
                <c:pt idx="23">
                  <c:v>-30.515297186205672</c:v>
                </c:pt>
                <c:pt idx="24">
                  <c:v>-31.105341360390796</c:v>
                </c:pt>
                <c:pt idx="25">
                  <c:v>-31.63214135138432</c:v>
                </c:pt>
                <c:pt idx="26">
                  <c:v>-32.087392619975766</c:v>
                </c:pt>
                <c:pt idx="27">
                  <c:v>-32.532690586411505</c:v>
                </c:pt>
                <c:pt idx="28">
                  <c:v>-32.927052372013989</c:v>
                </c:pt>
                <c:pt idx="29">
                  <c:v>-33.326610754156341</c:v>
                </c:pt>
                <c:pt idx="30">
                  <c:v>-33.740613066266455</c:v>
                </c:pt>
                <c:pt idx="31">
                  <c:v>-34.184661410405816</c:v>
                </c:pt>
                <c:pt idx="32">
                  <c:v>-34.662235249901222</c:v>
                </c:pt>
                <c:pt idx="33">
                  <c:v>-35.124311192033218</c:v>
                </c:pt>
                <c:pt idx="34">
                  <c:v>-35.59440654397433</c:v>
                </c:pt>
                <c:pt idx="35">
                  <c:v>-36.102617195354114</c:v>
                </c:pt>
                <c:pt idx="36">
                  <c:v>-36.644555051096013</c:v>
                </c:pt>
                <c:pt idx="37">
                  <c:v>-37.223955230705926</c:v>
                </c:pt>
                <c:pt idx="38">
                  <c:v>-37.830686283292827</c:v>
                </c:pt>
                <c:pt idx="39">
                  <c:v>-38.498483765627597</c:v>
                </c:pt>
                <c:pt idx="40">
                  <c:v>-39.242440974774325</c:v>
                </c:pt>
                <c:pt idx="41">
                  <c:v>-40.021245813159624</c:v>
                </c:pt>
                <c:pt idx="42">
                  <c:v>-40.839500560961369</c:v>
                </c:pt>
                <c:pt idx="43">
                  <c:v>-41.675085725891172</c:v>
                </c:pt>
                <c:pt idx="44">
                  <c:v>-42.597375692473243</c:v>
                </c:pt>
                <c:pt idx="45">
                  <c:v>-43.639303864602439</c:v>
                </c:pt>
                <c:pt idx="46">
                  <c:v>-44.820814950411275</c:v>
                </c:pt>
                <c:pt idx="47">
                  <c:v>-46.091141295063416</c:v>
                </c:pt>
                <c:pt idx="48">
                  <c:v>-47.407386654191029</c:v>
                </c:pt>
                <c:pt idx="49">
                  <c:v>-48.812385899201942</c:v>
                </c:pt>
                <c:pt idx="50">
                  <c:v>-50.327901373877864</c:v>
                </c:pt>
                <c:pt idx="51">
                  <c:v>-51.866361049276492</c:v>
                </c:pt>
                <c:pt idx="52">
                  <c:v>-53.47886563360359</c:v>
                </c:pt>
                <c:pt idx="53">
                  <c:v>-55.32410406871702</c:v>
                </c:pt>
                <c:pt idx="54">
                  <c:v>-57.284173096408637</c:v>
                </c:pt>
                <c:pt idx="55">
                  <c:v>-59.460472274146142</c:v>
                </c:pt>
                <c:pt idx="56">
                  <c:v>-61.620310397118317</c:v>
                </c:pt>
                <c:pt idx="57">
                  <c:v>-63.834951721946524</c:v>
                </c:pt>
                <c:pt idx="58">
                  <c:v>-66.154299213312981</c:v>
                </c:pt>
                <c:pt idx="59">
                  <c:v>-68.704571921636813</c:v>
                </c:pt>
                <c:pt idx="60">
                  <c:v>-71.549317568540403</c:v>
                </c:pt>
                <c:pt idx="61">
                  <c:v>-74.307742516637873</c:v>
                </c:pt>
                <c:pt idx="62">
                  <c:v>-76.900400250139654</c:v>
                </c:pt>
                <c:pt idx="63">
                  <c:v>-79.447310886174904</c:v>
                </c:pt>
                <c:pt idx="64">
                  <c:v>-82.234874382295857</c:v>
                </c:pt>
                <c:pt idx="65">
                  <c:v>-85.001462831324986</c:v>
                </c:pt>
                <c:pt idx="66">
                  <c:v>-87.888706678836513</c:v>
                </c:pt>
                <c:pt idx="67">
                  <c:v>-90.802568627822225</c:v>
                </c:pt>
                <c:pt idx="68">
                  <c:v>-93.537726377301169</c:v>
                </c:pt>
                <c:pt idx="69">
                  <c:v>-96.416430213333939</c:v>
                </c:pt>
                <c:pt idx="70">
                  <c:v>-99.453622495828441</c:v>
                </c:pt>
                <c:pt idx="71">
                  <c:v>-102.54701297926786</c:v>
                </c:pt>
                <c:pt idx="72">
                  <c:v>-105.79062752985291</c:v>
                </c:pt>
                <c:pt idx="73">
                  <c:v>-109.2935099243156</c:v>
                </c:pt>
                <c:pt idx="74">
                  <c:v>-113.12582553011475</c:v>
                </c:pt>
                <c:pt idx="75">
                  <c:v>-117.07282118323894</c:v>
                </c:pt>
                <c:pt idx="76">
                  <c:v>-121.15667151841424</c:v>
                </c:pt>
                <c:pt idx="77">
                  <c:v>-125.22063951849867</c:v>
                </c:pt>
                <c:pt idx="78">
                  <c:v>-129.24628335804312</c:v>
                </c:pt>
                <c:pt idx="79">
                  <c:v>-132.96724016099392</c:v>
                </c:pt>
                <c:pt idx="80">
                  <c:v>-136.78959428723093</c:v>
                </c:pt>
                <c:pt idx="81">
                  <c:v>-140.27607393026631</c:v>
                </c:pt>
                <c:pt idx="82">
                  <c:v>-143.85538588476575</c:v>
                </c:pt>
                <c:pt idx="83">
                  <c:v>-147.84947018286314</c:v>
                </c:pt>
                <c:pt idx="84">
                  <c:v>-151.63917110353574</c:v>
                </c:pt>
                <c:pt idx="85">
                  <c:v>-155.57876091405876</c:v>
                </c:pt>
                <c:pt idx="86">
                  <c:v>-159.62988830290755</c:v>
                </c:pt>
                <c:pt idx="87">
                  <c:v>-163.46210214277443</c:v>
                </c:pt>
                <c:pt idx="88">
                  <c:v>-167.12465283394982</c:v>
                </c:pt>
                <c:pt idx="89">
                  <c:v>-170.88218440331599</c:v>
                </c:pt>
                <c:pt idx="90">
                  <c:v>-174.77497159665771</c:v>
                </c:pt>
                <c:pt idx="91">
                  <c:v>-178.40197358976317</c:v>
                </c:pt>
                <c:pt idx="92">
                  <c:v>-182.10390589153326</c:v>
                </c:pt>
                <c:pt idx="93">
                  <c:v>-185.71477767809171</c:v>
                </c:pt>
                <c:pt idx="94">
                  <c:v>-189.39219999631015</c:v>
                </c:pt>
                <c:pt idx="95">
                  <c:v>-193.12411399188321</c:v>
                </c:pt>
                <c:pt idx="96">
                  <c:v>-196.39556337832744</c:v>
                </c:pt>
                <c:pt idx="97">
                  <c:v>-199.30172116543284</c:v>
                </c:pt>
                <c:pt idx="98">
                  <c:v>-202.28699368437714</c:v>
                </c:pt>
                <c:pt idx="99">
                  <c:v>-205.59919014590156</c:v>
                </c:pt>
                <c:pt idx="100">
                  <c:v>-209.24157431247403</c:v>
                </c:pt>
                <c:pt idx="101">
                  <c:v>-212.81395854255391</c:v>
                </c:pt>
                <c:pt idx="102">
                  <c:v>-216.30651358357716</c:v>
                </c:pt>
                <c:pt idx="103">
                  <c:v>-219.55119817070857</c:v>
                </c:pt>
                <c:pt idx="104">
                  <c:v>-222.85898212378436</c:v>
                </c:pt>
                <c:pt idx="105">
                  <c:v>-225.68268618942767</c:v>
                </c:pt>
                <c:pt idx="106">
                  <c:v>-228.22825197630345</c:v>
                </c:pt>
                <c:pt idx="107">
                  <c:v>-230.93373031923181</c:v>
                </c:pt>
                <c:pt idx="108">
                  <c:v>-233.71813368252896</c:v>
                </c:pt>
                <c:pt idx="109">
                  <c:v>-236.19428683337296</c:v>
                </c:pt>
                <c:pt idx="110">
                  <c:v>-239.2042133880968</c:v>
                </c:pt>
                <c:pt idx="111">
                  <c:v>-242.51030695760909</c:v>
                </c:pt>
                <c:pt idx="112">
                  <c:v>-245.59259207479076</c:v>
                </c:pt>
                <c:pt idx="113">
                  <c:v>-248.38601729866042</c:v>
                </c:pt>
                <c:pt idx="114">
                  <c:v>-251.04197437738486</c:v>
                </c:pt>
                <c:pt idx="115">
                  <c:v>-253.91320727819317</c:v>
                </c:pt>
                <c:pt idx="116">
                  <c:v>-256.43739393082751</c:v>
                </c:pt>
                <c:pt idx="117">
                  <c:v>-259.21739180498332</c:v>
                </c:pt>
                <c:pt idx="118">
                  <c:v>-261.84538065918213</c:v>
                </c:pt>
                <c:pt idx="119">
                  <c:v>-264.41948298358881</c:v>
                </c:pt>
                <c:pt idx="120">
                  <c:v>-266.62799770879184</c:v>
                </c:pt>
                <c:pt idx="121">
                  <c:v>-268.72467150853595</c:v>
                </c:pt>
                <c:pt idx="122">
                  <c:v>-270.96468100859533</c:v>
                </c:pt>
                <c:pt idx="123">
                  <c:v>-273.17613925472409</c:v>
                </c:pt>
                <c:pt idx="124">
                  <c:v>-275.40074389002723</c:v>
                </c:pt>
                <c:pt idx="125">
                  <c:v>-277.54260767543531</c:v>
                </c:pt>
                <c:pt idx="126">
                  <c:v>-279.6449769312697</c:v>
                </c:pt>
                <c:pt idx="127">
                  <c:v>-281.68796824873817</c:v>
                </c:pt>
                <c:pt idx="128">
                  <c:v>-283.78488019333867</c:v>
                </c:pt>
                <c:pt idx="129">
                  <c:v>-285.76532775078516</c:v>
                </c:pt>
                <c:pt idx="130">
                  <c:v>-287.62590613489755</c:v>
                </c:pt>
                <c:pt idx="131">
                  <c:v>-289.30045222230569</c:v>
                </c:pt>
                <c:pt idx="132">
                  <c:v>-290.87323451887636</c:v>
                </c:pt>
                <c:pt idx="133">
                  <c:v>-292.41106202009371</c:v>
                </c:pt>
                <c:pt idx="134">
                  <c:v>-293.87281186844189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ConceptDemo!$AK$17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ConceptDemo!$AK$18:$AK$662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ConceptDemo!$AL$17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ConceptDemo!$AL$18:$AL$662</c:f>
              <c:numCache>
                <c:formatCode>General</c:formatCode>
                <c:ptCount val="645"/>
                <c:pt idx="0">
                  <c:v>0.6653518616140357</c:v>
                </c:pt>
                <c:pt idx="1">
                  <c:v>1.3396116524591926</c:v>
                </c:pt>
                <c:pt idx="2">
                  <c:v>2.041151823356381</c:v>
                </c:pt>
                <c:pt idx="3">
                  <c:v>2.7228022230208579</c:v>
                </c:pt>
                <c:pt idx="4">
                  <c:v>3.4106004096106428</c:v>
                </c:pt>
                <c:pt idx="5">
                  <c:v>4.0838226259541779</c:v>
                </c:pt>
                <c:pt idx="6">
                  <c:v>4.776130082946672</c:v>
                </c:pt>
                <c:pt idx="7">
                  <c:v>5.4910237987799677</c:v>
                </c:pt>
                <c:pt idx="8">
                  <c:v>6.1772923951791077</c:v>
                </c:pt>
                <c:pt idx="9">
                  <c:v>6.8607348158502193</c:v>
                </c:pt>
                <c:pt idx="10">
                  <c:v>7.5626713078352923</c:v>
                </c:pt>
                <c:pt idx="11">
                  <c:v>8.269441560164557</c:v>
                </c:pt>
                <c:pt idx="12">
                  <c:v>8.9809341741693451</c:v>
                </c:pt>
                <c:pt idx="13">
                  <c:v>9.717584334190196</c:v>
                </c:pt>
                <c:pt idx="14">
                  <c:v>10.46358518085397</c:v>
                </c:pt>
                <c:pt idx="15">
                  <c:v>11.20579466571078</c:v>
                </c:pt>
                <c:pt idx="16">
                  <c:v>11.982587428404068</c:v>
                </c:pt>
                <c:pt idx="17">
                  <c:v>12.783230840680323</c:v>
                </c:pt>
                <c:pt idx="18">
                  <c:v>13.587304052990168</c:v>
                </c:pt>
                <c:pt idx="19">
                  <c:v>14.393566133080686</c:v>
                </c:pt>
                <c:pt idx="20">
                  <c:v>15.263000483102607</c:v>
                </c:pt>
                <c:pt idx="21">
                  <c:v>16.129522539630898</c:v>
                </c:pt>
                <c:pt idx="22">
                  <c:v>17.012567087047298</c:v>
                </c:pt>
                <c:pt idx="23">
                  <c:v>17.885632276854444</c:v>
                </c:pt>
                <c:pt idx="24">
                  <c:v>18.769174992241233</c:v>
                </c:pt>
                <c:pt idx="25">
                  <c:v>19.673989407702997</c:v>
                </c:pt>
                <c:pt idx="26">
                  <c:v>20.549253669255009</c:v>
                </c:pt>
                <c:pt idx="27">
                  <c:v>21.438620640330047</c:v>
                </c:pt>
                <c:pt idx="28">
                  <c:v>22.350147618095054</c:v>
                </c:pt>
                <c:pt idx="29">
                  <c:v>23.287201422391796</c:v>
                </c:pt>
                <c:pt idx="30">
                  <c:v>24.242355650938368</c:v>
                </c:pt>
                <c:pt idx="31">
                  <c:v>25.229488653783928</c:v>
                </c:pt>
                <c:pt idx="32">
                  <c:v>26.236114098242311</c:v>
                </c:pt>
                <c:pt idx="33">
                  <c:v>27.170041389882467</c:v>
                </c:pt>
                <c:pt idx="34">
                  <c:v>28.073051534136365</c:v>
                </c:pt>
                <c:pt idx="35">
                  <c:v>28.981426548480499</c:v>
                </c:pt>
                <c:pt idx="36">
                  <c:v>29.882143382312957</c:v>
                </c:pt>
                <c:pt idx="37">
                  <c:v>30.774481781965317</c:v>
                </c:pt>
                <c:pt idx="38">
                  <c:v>31.645708371169995</c:v>
                </c:pt>
                <c:pt idx="39">
                  <c:v>32.523687241849331</c:v>
                </c:pt>
                <c:pt idx="40">
                  <c:v>33.413748893185712</c:v>
                </c:pt>
                <c:pt idx="41">
                  <c:v>34.279745730983969</c:v>
                </c:pt>
                <c:pt idx="42">
                  <c:v>35.126486284668189</c:v>
                </c:pt>
                <c:pt idx="43">
                  <c:v>35.942680161480595</c:v>
                </c:pt>
                <c:pt idx="44">
                  <c:v>36.768255216889308</c:v>
                </c:pt>
                <c:pt idx="45">
                  <c:v>37.614995770573529</c:v>
                </c:pt>
                <c:pt idx="46">
                  <c:v>38.485474072963662</c:v>
                </c:pt>
                <c:pt idx="47">
                  <c:v>39.349980233670827</c:v>
                </c:pt>
                <c:pt idx="48">
                  <c:v>40.190116937447478</c:v>
                </c:pt>
                <c:pt idx="49">
                  <c:v>41.024410193547411</c:v>
                </c:pt>
                <c:pt idx="50">
                  <c:v>41.859432510058866</c:v>
                </c:pt>
                <c:pt idx="51">
                  <c:v>42.665597384823741</c:v>
                </c:pt>
                <c:pt idx="52">
                  <c:v>43.46180969077578</c:v>
                </c:pt>
                <c:pt idx="53">
                  <c:v>44.292463516179204</c:v>
                </c:pt>
                <c:pt idx="54">
                  <c:v>45.119487693050885</c:v>
                </c:pt>
                <c:pt idx="55">
                  <c:v>45.967700081071357</c:v>
                </c:pt>
                <c:pt idx="56">
                  <c:v>46.777437962363834</c:v>
                </c:pt>
                <c:pt idx="57">
                  <c:v>47.570114281707433</c:v>
                </c:pt>
                <c:pt idx="58">
                  <c:v>48.35785656471792</c:v>
                </c:pt>
                <c:pt idx="59">
                  <c:v>49.165449471914187</c:v>
                </c:pt>
                <c:pt idx="60">
                  <c:v>50.001931083819024</c:v>
                </c:pt>
                <c:pt idx="61">
                  <c:v>50.793901373584042</c:v>
                </c:pt>
                <c:pt idx="62">
                  <c:v>51.535379824413702</c:v>
                </c:pt>
                <c:pt idx="63">
                  <c:v>52.252052975473568</c:v>
                </c:pt>
                <c:pt idx="64">
                  <c:v>52.988798082765285</c:v>
                </c:pt>
                <c:pt idx="65">
                  <c:v>53.706134721633923</c:v>
                </c:pt>
                <c:pt idx="66">
                  <c:v>54.425464129271738</c:v>
                </c:pt>
                <c:pt idx="67">
                  <c:v>55.134205375386465</c:v>
                </c:pt>
                <c:pt idx="68">
                  <c:v>55.807935230929978</c:v>
                </c:pt>
                <c:pt idx="69">
                  <c:v>56.488706725922206</c:v>
                </c:pt>
                <c:pt idx="70">
                  <c:v>57.177859646457435</c:v>
                </c:pt>
                <c:pt idx="71">
                  <c:v>57.863136201988212</c:v>
                </c:pt>
                <c:pt idx="72">
                  <c:v>58.555529930956489</c:v>
                </c:pt>
                <c:pt idx="73">
                  <c:v>59.266909004449751</c:v>
                </c:pt>
                <c:pt idx="74">
                  <c:v>60.004329146508461</c:v>
                </c:pt>
                <c:pt idx="75">
                  <c:v>60.743100515079441</c:v>
                </c:pt>
                <c:pt idx="76">
                  <c:v>61.485934822407764</c:v>
                </c:pt>
                <c:pt idx="77">
                  <c:v>62.216621962924236</c:v>
                </c:pt>
                <c:pt idx="78">
                  <c:v>62.934622473792459</c:v>
                </c:pt>
                <c:pt idx="79">
                  <c:v>63.615393968784687</c:v>
                </c:pt>
                <c:pt idx="80">
                  <c:v>64.300025799646562</c:v>
                </c:pt>
                <c:pt idx="81">
                  <c:v>64.948537463657999</c:v>
                </c:pt>
                <c:pt idx="82">
                  <c:v>65.601418496397727</c:v>
                </c:pt>
                <c:pt idx="83">
                  <c:v>66.287985646338342</c:v>
                </c:pt>
                <c:pt idx="84">
                  <c:v>66.952187488856666</c:v>
                </c:pt>
                <c:pt idx="85">
                  <c:v>67.626555588840432</c:v>
                </c:pt>
                <c:pt idx="86">
                  <c:v>68.3079695195851</c:v>
                </c:pt>
                <c:pt idx="87">
                  <c:v>68.967754217774583</c:v>
                </c:pt>
                <c:pt idx="88">
                  <c:v>69.611295023839787</c:v>
                </c:pt>
                <c:pt idx="89">
                  <c:v>70.261677002550485</c:v>
                </c:pt>
                <c:pt idx="90">
                  <c:v>70.922721843718932</c:v>
                </c:pt>
                <c:pt idx="91">
                  <c:v>71.560699349663537</c:v>
                </c:pt>
                <c:pt idx="92">
                  <c:v>72.204860189380852</c:v>
                </c:pt>
                <c:pt idx="93">
                  <c:v>72.841605560058369</c:v>
                </c:pt>
                <c:pt idx="94">
                  <c:v>73.484526710466099</c:v>
                </c:pt>
                <c:pt idx="95">
                  <c:v>74.133038374477536</c:v>
                </c:pt>
                <c:pt idx="96">
                  <c:v>74.744256837422995</c:v>
                </c:pt>
                <c:pt idx="97">
                  <c:v>75.327110961853322</c:v>
                </c:pt>
                <c:pt idx="98">
                  <c:v>75.917562227462497</c:v>
                </c:pt>
                <c:pt idx="99">
                  <c:v>76.536611013989528</c:v>
                </c:pt>
                <c:pt idx="100">
                  <c:v>77.186369175913057</c:v>
                </c:pt>
                <c:pt idx="101">
                  <c:v>77.833013931348077</c:v>
                </c:pt>
                <c:pt idx="102">
                  <c:v>78.475935081755807</c:v>
                </c:pt>
                <c:pt idx="103">
                  <c:v>79.100442038105854</c:v>
                </c:pt>
                <c:pt idx="104">
                  <c:v>79.734113673192496</c:v>
                </c:pt>
                <c:pt idx="105">
                  <c:v>80.328681777992941</c:v>
                </c:pt>
                <c:pt idx="106">
                  <c:v>80.902271798219928</c:v>
                </c:pt>
                <c:pt idx="107">
                  <c:v>81.492723063829104</c:v>
                </c:pt>
                <c:pt idx="108">
                  <c:v>82.093797425283483</c:v>
                </c:pt>
                <c:pt idx="109">
                  <c:v>82.670850350252195</c:v>
                </c:pt>
                <c:pt idx="110">
                  <c:v>83.301457676067074</c:v>
                </c:pt>
                <c:pt idx="111">
                  <c:v>83.967558277450195</c:v>
                </c:pt>
                <c:pt idx="112">
                  <c:v>84.617940256160892</c:v>
                </c:pt>
                <c:pt idx="113">
                  <c:v>85.245492691565431</c:v>
                </c:pt>
                <c:pt idx="114">
                  <c:v>85.865146438176751</c:v>
                </c:pt>
                <c:pt idx="115">
                  <c:v>86.514281161886359</c:v>
                </c:pt>
                <c:pt idx="116">
                  <c:v>87.13332994841339</c:v>
                </c:pt>
                <c:pt idx="117">
                  <c:v>87.78808924950124</c:v>
                </c:pt>
                <c:pt idx="118">
                  <c:v>88.434112458724329</c:v>
                </c:pt>
                <c:pt idx="119">
                  <c:v>89.082624122735766</c:v>
                </c:pt>
                <c:pt idx="120">
                  <c:v>89.69624516328561</c:v>
                </c:pt>
                <c:pt idx="121">
                  <c:v>90.303871002572563</c:v>
                </c:pt>
                <c:pt idx="122">
                  <c:v>90.936929021937289</c:v>
                </c:pt>
                <c:pt idx="123">
                  <c:v>91.575523161686931</c:v>
                </c:pt>
                <c:pt idx="124">
                  <c:v>92.225905140397629</c:v>
                </c:pt>
                <c:pt idx="125">
                  <c:v>92.875663302321158</c:v>
                </c:pt>
                <c:pt idx="126">
                  <c:v>93.531049450843824</c:v>
                </c:pt>
                <c:pt idx="127">
                  <c:v>94.189575523987088</c:v>
                </c:pt>
                <c:pt idx="128">
                  <c:v>94.869704964525368</c:v>
                </c:pt>
                <c:pt idx="129">
                  <c:v>95.545350695715527</c:v>
                </c:pt>
                <c:pt idx="130">
                  <c:v>96.215259077456892</c:v>
                </c:pt>
                <c:pt idx="131">
                  <c:v>96.866889825691416</c:v>
                </c:pt>
                <c:pt idx="132">
                  <c:v>97.513534581126436</c:v>
                </c:pt>
                <c:pt idx="133">
                  <c:v>98.167041324379767</c:v>
                </c:pt>
                <c:pt idx="134">
                  <c:v>98.819922357119495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ConceptDemo!$AM$17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ConceptDemo!$AM$17:$AM$662</c:f>
              <c:numCache>
                <c:formatCode>General</c:formatCode>
                <c:ptCount val="646"/>
                <c:pt idx="0">
                  <c:v>0</c:v>
                </c:pt>
                <c:pt idx="1">
                  <c:v>-4.8780669898486373</c:v>
                </c:pt>
                <c:pt idx="2">
                  <c:v>-9.4527264277533334</c:v>
                </c:pt>
                <c:pt idx="3">
                  <c:v>-13.820549163906144</c:v>
                </c:pt>
                <c:pt idx="4">
                  <c:v>-17.874669804832649</c:v>
                </c:pt>
                <c:pt idx="5">
                  <c:v>-21.633639264854487</c:v>
                </c:pt>
                <c:pt idx="6">
                  <c:v>-25.103792777163108</c:v>
                </c:pt>
                <c:pt idx="7">
                  <c:v>-28.352736846048895</c:v>
                </c:pt>
                <c:pt idx="8">
                  <c:v>-31.443353157125415</c:v>
                </c:pt>
                <c:pt idx="9">
                  <c:v>-34.273024018569792</c:v>
                </c:pt>
                <c:pt idx="10">
                  <c:v>-36.935334801232358</c:v>
                </c:pt>
                <c:pt idx="11">
                  <c:v>-39.441932522424679</c:v>
                </c:pt>
                <c:pt idx="12">
                  <c:v>-41.79218994166142</c:v>
                </c:pt>
                <c:pt idx="13">
                  <c:v>-43.962221545814117</c:v>
                </c:pt>
                <c:pt idx="14">
                  <c:v>-45.962444794318856</c:v>
                </c:pt>
                <c:pt idx="15">
                  <c:v>-47.831879733264607</c:v>
                </c:pt>
                <c:pt idx="16">
                  <c:v>-49.557263461968631</c:v>
                </c:pt>
                <c:pt idx="17">
                  <c:v>-51.184747000590988</c:v>
                </c:pt>
                <c:pt idx="18">
                  <c:v>-52.739869614216374</c:v>
                </c:pt>
                <c:pt idx="19">
                  <c:v>-54.166960850393679</c:v>
                </c:pt>
                <c:pt idx="20">
                  <c:v>-55.488440914388164</c:v>
                </c:pt>
                <c:pt idx="21">
                  <c:v>-56.768782537477307</c:v>
                </c:pt>
                <c:pt idx="22">
                  <c:v>-57.944243903870493</c:v>
                </c:pt>
                <c:pt idx="23">
                  <c:v>-59.042173801827857</c:v>
                </c:pt>
                <c:pt idx="24">
                  <c:v>-60.049825007889105</c:v>
                </c:pt>
                <c:pt idx="25">
                  <c:v>-61.002457906163002</c:v>
                </c:pt>
                <c:pt idx="26">
                  <c:v>-61.878612621670975</c:v>
                </c:pt>
                <c:pt idx="27">
                  <c:v>-62.652968886947917</c:v>
                </c:pt>
                <c:pt idx="28">
                  <c:v>-63.380123624764373</c:v>
                </c:pt>
                <c:pt idx="29">
                  <c:v>-64.045764187040618</c:v>
                </c:pt>
                <c:pt idx="30">
                  <c:v>-64.673723902204387</c:v>
                </c:pt>
                <c:pt idx="31">
                  <c:v>-65.261772597432881</c:v>
                </c:pt>
                <c:pt idx="32">
                  <c:v>-65.81633261882817</c:v>
                </c:pt>
                <c:pt idx="33">
                  <c:v>-66.330760400668538</c:v>
                </c:pt>
                <c:pt idx="34">
                  <c:v>-66.770610153028215</c:v>
                </c:pt>
                <c:pt idx="35">
                  <c:v>-67.160299010469345</c:v>
                </c:pt>
                <c:pt idx="36">
                  <c:v>-67.515797341136647</c:v>
                </c:pt>
                <c:pt idx="37">
                  <c:v>-67.834729287433319</c:v>
                </c:pt>
                <c:pt idx="38">
                  <c:v>-68.119222873377424</c:v>
                </c:pt>
                <c:pt idx="39">
                  <c:v>-68.368727618202826</c:v>
                </c:pt>
                <c:pt idx="40">
                  <c:v>-68.591674644797337</c:v>
                </c:pt>
                <c:pt idx="41">
                  <c:v>-68.789786899719715</c:v>
                </c:pt>
                <c:pt idx="42">
                  <c:v>-68.958244726538197</c:v>
                </c:pt>
                <c:pt idx="43">
                  <c:v>-69.100491444470009</c:v>
                </c:pt>
                <c:pt idx="44">
                  <c:v>-69.21767528606955</c:v>
                </c:pt>
                <c:pt idx="45">
                  <c:v>-69.315939600078053</c:v>
                </c:pt>
                <c:pt idx="46">
                  <c:v>-69.396485713435382</c:v>
                </c:pt>
                <c:pt idx="47">
                  <c:v>-69.459243992750189</c:v>
                </c:pt>
                <c:pt idx="48">
                  <c:v>-69.502974187662574</c:v>
                </c:pt>
                <c:pt idx="49">
                  <c:v>-69.528605484379</c:v>
                </c:pt>
                <c:pt idx="50">
                  <c:v>-69.538150719981445</c:v>
                </c:pt>
                <c:pt idx="51">
                  <c:v>-69.532573855765008</c:v>
                </c:pt>
                <c:pt idx="52">
                  <c:v>-69.513349071953101</c:v>
                </c:pt>
                <c:pt idx="53">
                  <c:v>-69.481560004021262</c:v>
                </c:pt>
                <c:pt idx="54">
                  <c:v>-69.436021344223676</c:v>
                </c:pt>
                <c:pt idx="55">
                  <c:v>-69.378472536793169</c:v>
                </c:pt>
                <c:pt idx="56">
                  <c:v>-69.307889440690815</c:v>
                </c:pt>
                <c:pt idx="57">
                  <c:v>-69.22910345931038</c:v>
                </c:pt>
                <c:pt idx="58">
                  <c:v>-69.141867043363163</c:v>
                </c:pt>
                <c:pt idx="59">
                  <c:v>-69.045955831043145</c:v>
                </c:pt>
                <c:pt idx="60">
                  <c:v>-68.939316435808692</c:v>
                </c:pt>
                <c:pt idx="61">
                  <c:v>-68.820871764793026</c:v>
                </c:pt>
                <c:pt idx="62">
                  <c:v>-68.699499516669022</c:v>
                </c:pt>
                <c:pt idx="63">
                  <c:v>-68.577334974454715</c:v>
                </c:pt>
                <c:pt idx="64">
                  <c:v>-68.452245918154574</c:v>
                </c:pt>
                <c:pt idx="65">
                  <c:v>-68.318728804263571</c:v>
                </c:pt>
                <c:pt idx="66">
                  <c:v>-68.182490905695147</c:v>
                </c:pt>
                <c:pt idx="67">
                  <c:v>-68.040924003438136</c:v>
                </c:pt>
                <c:pt idx="68">
                  <c:v>-67.896227930235852</c:v>
                </c:pt>
                <c:pt idx="69">
                  <c:v>-67.752684032965902</c:v>
                </c:pt>
                <c:pt idx="70">
                  <c:v>-67.604141560609548</c:v>
                </c:pt>
                <c:pt idx="71">
                  <c:v>-67.450513099146661</c:v>
                </c:pt>
                <c:pt idx="72">
                  <c:v>-67.294006220805457</c:v>
                </c:pt>
                <c:pt idx="73">
                  <c:v>-67.132966111305308</c:v>
                </c:pt>
                <c:pt idx="74">
                  <c:v>-66.965419956739112</c:v>
                </c:pt>
                <c:pt idx="75">
                  <c:v>-66.790099689931182</c:v>
                </c:pt>
                <c:pt idx="76">
                  <c:v>-66.611522824099012</c:v>
                </c:pt>
                <c:pt idx="77">
                  <c:v>-66.429381985825728</c:v>
                </c:pt>
                <c:pt idx="78">
                  <c:v>-66.246928493249641</c:v>
                </c:pt>
                <c:pt idx="79">
                  <c:v>-66.064544923575042</c:v>
                </c:pt>
                <c:pt idx="80">
                  <c:v>-65.887222246229911</c:v>
                </c:pt>
                <c:pt idx="81">
                  <c:v>-65.707337681005754</c:v>
                </c:pt>
                <c:pt idx="82">
                  <c:v>-65.532836490558878</c:v>
                </c:pt>
                <c:pt idx="83">
                  <c:v>-65.356049906042671</c:v>
                </c:pt>
                <c:pt idx="84">
                  <c:v>-65.171257123720579</c:v>
                </c:pt>
                <c:pt idx="85">
                  <c:v>-64.989652196554658</c:v>
                </c:pt>
                <c:pt idx="86">
                  <c:v>-64.804896417143695</c:v>
                </c:pt>
                <c:pt idx="87">
                  <c:v>-64.61770000721026</c:v>
                </c:pt>
                <c:pt idx="88">
                  <c:v>-64.433978913049131</c:v>
                </c:pt>
                <c:pt idx="89">
                  <c:v>-64.252788624904213</c:v>
                </c:pt>
                <c:pt idx="90">
                  <c:v>-64.069554958901904</c:v>
                </c:pt>
                <c:pt idx="91">
                  <c:v>-63.883572567021041</c:v>
                </c:pt>
                <c:pt idx="92">
                  <c:v>-63.701828243126229</c:v>
                </c:pt>
                <c:pt idx="93">
                  <c:v>-63.518433345462093</c:v>
                </c:pt>
                <c:pt idx="94">
                  <c:v>-63.336253305727588</c:v>
                </c:pt>
                <c:pt idx="95">
                  <c:v>-63.152576173280444</c:v>
                </c:pt>
                <c:pt idx="96">
                  <c:v>-62.967590966644551</c:v>
                </c:pt>
                <c:pt idx="97">
                  <c:v>-62.790181333061575</c:v>
                </c:pt>
                <c:pt idx="98">
                  <c:v>-62.618558094031712</c:v>
                </c:pt>
                <c:pt idx="99">
                  <c:v>-62.445416761327202</c:v>
                </c:pt>
                <c:pt idx="100">
                  <c:v>-62.266510664594882</c:v>
                </c:pt>
                <c:pt idx="101">
                  <c:v>-62.081453203430172</c:v>
                </c:pt>
                <c:pt idx="102">
                  <c:v>-61.897253547559721</c:v>
                </c:pt>
                <c:pt idx="103">
                  <c:v>-61.714089711664343</c:v>
                </c:pt>
                <c:pt idx="104">
                  <c:v>-61.535008745334785</c:v>
                </c:pt>
                <c:pt idx="105">
                  <c:v>-61.354419919561913</c:v>
                </c:pt>
                <c:pt idx="106">
                  <c:v>-61.182171824964961</c:v>
                </c:pt>
                <c:pt idx="107">
                  <c:v>-61.014569273986744</c:v>
                </c:pt>
                <c:pt idx="108">
                  <c:v>-60.844007809348938</c:v>
                </c:pt>
                <c:pt idx="109">
                  <c:v>-60.671798189235879</c:v>
                </c:pt>
                <c:pt idx="110">
                  <c:v>-60.504922676094267</c:v>
                </c:pt>
                <c:pt idx="111">
                  <c:v>-60.327891643303126</c:v>
                </c:pt>
                <c:pt idx="112">
                  <c:v>-60.144405388003698</c:v>
                </c:pt>
                <c:pt idx="113">
                  <c:v>-59.964782742968026</c:v>
                </c:pt>
                <c:pt idx="114">
                  <c:v>-59.790420101343742</c:v>
                </c:pt>
                <c:pt idx="115">
                  <c:v>-59.618345133098352</c:v>
                </c:pt>
                <c:pt idx="116">
                  <c:v>-59.441236085661799</c:v>
                </c:pt>
                <c:pt idx="117">
                  <c:v>-59.270829732444689</c:v>
                </c:pt>
                <c:pt idx="118">
                  <c:v>-59.094283993191986</c:v>
                </c:pt>
                <c:pt idx="119">
                  <c:v>-58.920325055441609</c:v>
                </c:pt>
                <c:pt idx="120">
                  <c:v>-58.746789611681969</c:v>
                </c:pt>
                <c:pt idx="121">
                  <c:v>-58.580854632799308</c:v>
                </c:pt>
                <c:pt idx="122">
                  <c:v>-58.416937554103079</c:v>
                </c:pt>
                <c:pt idx="123">
                  <c:v>-58.249105544161544</c:v>
                </c:pt>
                <c:pt idx="124">
                  <c:v>-58.081191980318039</c:v>
                </c:pt>
                <c:pt idx="125">
                  <c:v>-57.912062327837702</c:v>
                </c:pt>
                <c:pt idx="126">
                  <c:v>-57.744083257046633</c:v>
                </c:pt>
                <c:pt idx="127">
                  <c:v>-57.576112780185547</c:v>
                </c:pt>
                <c:pt idx="128">
                  <c:v>-57.408643902539268</c:v>
                </c:pt>
                <c:pt idx="129">
                  <c:v>-57.238323024406895</c:v>
                </c:pt>
                <c:pt idx="130">
                  <c:v>-57.069988133765861</c:v>
                </c:pt>
                <c:pt idx="131">
                  <c:v>-56.90386181252228</c:v>
                </c:pt>
                <c:pt idx="132">
                  <c:v>-56.742177422933054</c:v>
                </c:pt>
                <c:pt idx="133">
                  <c:v>-56.582513243305335</c:v>
                </c:pt>
                <c:pt idx="134">
                  <c:v>-56.422773054265058</c:v>
                </c:pt>
                <c:pt idx="135">
                  <c:v>-56.264302046976788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ConceptDemo!$AB$17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45519</c:v>
                </c:pt>
                <c:pt idx="1">
                  <c:v>45520</c:v>
                </c:pt>
                <c:pt idx="2">
                  <c:v>45521</c:v>
                </c:pt>
                <c:pt idx="3">
                  <c:v>45522</c:v>
                </c:pt>
                <c:pt idx="4">
                  <c:v>45523</c:v>
                </c:pt>
                <c:pt idx="5">
                  <c:v>45524</c:v>
                </c:pt>
                <c:pt idx="6">
                  <c:v>45525</c:v>
                </c:pt>
                <c:pt idx="7">
                  <c:v>45526</c:v>
                </c:pt>
                <c:pt idx="8">
                  <c:v>45527</c:v>
                </c:pt>
                <c:pt idx="9">
                  <c:v>45528</c:v>
                </c:pt>
                <c:pt idx="10">
                  <c:v>45529</c:v>
                </c:pt>
                <c:pt idx="11">
                  <c:v>45530</c:v>
                </c:pt>
                <c:pt idx="12">
                  <c:v>45531</c:v>
                </c:pt>
                <c:pt idx="13">
                  <c:v>45532</c:v>
                </c:pt>
                <c:pt idx="14">
                  <c:v>45533</c:v>
                </c:pt>
                <c:pt idx="15">
                  <c:v>45534</c:v>
                </c:pt>
                <c:pt idx="16">
                  <c:v>45535</c:v>
                </c:pt>
                <c:pt idx="17">
                  <c:v>45536</c:v>
                </c:pt>
                <c:pt idx="18">
                  <c:v>45537</c:v>
                </c:pt>
                <c:pt idx="19">
                  <c:v>45538</c:v>
                </c:pt>
                <c:pt idx="20">
                  <c:v>45539</c:v>
                </c:pt>
                <c:pt idx="21">
                  <c:v>45540</c:v>
                </c:pt>
                <c:pt idx="22">
                  <c:v>45541</c:v>
                </c:pt>
                <c:pt idx="23">
                  <c:v>45542</c:v>
                </c:pt>
                <c:pt idx="24">
                  <c:v>45543</c:v>
                </c:pt>
                <c:pt idx="25">
                  <c:v>45544</c:v>
                </c:pt>
                <c:pt idx="26">
                  <c:v>45545</c:v>
                </c:pt>
                <c:pt idx="27">
                  <c:v>45546</c:v>
                </c:pt>
                <c:pt idx="28">
                  <c:v>45547</c:v>
                </c:pt>
                <c:pt idx="29">
                  <c:v>45548</c:v>
                </c:pt>
                <c:pt idx="30">
                  <c:v>45549</c:v>
                </c:pt>
                <c:pt idx="31">
                  <c:v>45550</c:v>
                </c:pt>
                <c:pt idx="32">
                  <c:v>45551</c:v>
                </c:pt>
                <c:pt idx="33">
                  <c:v>45552</c:v>
                </c:pt>
                <c:pt idx="34">
                  <c:v>45553</c:v>
                </c:pt>
                <c:pt idx="35">
                  <c:v>45554</c:v>
                </c:pt>
                <c:pt idx="36">
                  <c:v>45555</c:v>
                </c:pt>
                <c:pt idx="37">
                  <c:v>45556</c:v>
                </c:pt>
                <c:pt idx="38">
                  <c:v>45557</c:v>
                </c:pt>
                <c:pt idx="39">
                  <c:v>45558</c:v>
                </c:pt>
                <c:pt idx="40">
                  <c:v>45559</c:v>
                </c:pt>
                <c:pt idx="41">
                  <c:v>45560</c:v>
                </c:pt>
                <c:pt idx="42">
                  <c:v>45561</c:v>
                </c:pt>
                <c:pt idx="43">
                  <c:v>45562</c:v>
                </c:pt>
                <c:pt idx="44">
                  <c:v>45563</c:v>
                </c:pt>
                <c:pt idx="45">
                  <c:v>45564</c:v>
                </c:pt>
                <c:pt idx="46">
                  <c:v>45565</c:v>
                </c:pt>
                <c:pt idx="47">
                  <c:v>45566</c:v>
                </c:pt>
                <c:pt idx="48">
                  <c:v>45567</c:v>
                </c:pt>
                <c:pt idx="49">
                  <c:v>45568</c:v>
                </c:pt>
                <c:pt idx="50">
                  <c:v>45569</c:v>
                </c:pt>
                <c:pt idx="51">
                  <c:v>45570</c:v>
                </c:pt>
                <c:pt idx="52">
                  <c:v>45571</c:v>
                </c:pt>
                <c:pt idx="53">
                  <c:v>45572</c:v>
                </c:pt>
                <c:pt idx="54">
                  <c:v>45573</c:v>
                </c:pt>
                <c:pt idx="55">
                  <c:v>45574</c:v>
                </c:pt>
                <c:pt idx="56">
                  <c:v>45575</c:v>
                </c:pt>
                <c:pt idx="57">
                  <c:v>45576</c:v>
                </c:pt>
                <c:pt idx="58">
                  <c:v>45577</c:v>
                </c:pt>
                <c:pt idx="59">
                  <c:v>45578</c:v>
                </c:pt>
                <c:pt idx="60">
                  <c:v>45579</c:v>
                </c:pt>
                <c:pt idx="61">
                  <c:v>45580</c:v>
                </c:pt>
                <c:pt idx="62">
                  <c:v>45581</c:v>
                </c:pt>
                <c:pt idx="63">
                  <c:v>45582</c:v>
                </c:pt>
                <c:pt idx="64">
                  <c:v>45583</c:v>
                </c:pt>
                <c:pt idx="65">
                  <c:v>45584</c:v>
                </c:pt>
                <c:pt idx="66">
                  <c:v>45585</c:v>
                </c:pt>
                <c:pt idx="67">
                  <c:v>45586</c:v>
                </c:pt>
                <c:pt idx="68">
                  <c:v>45587</c:v>
                </c:pt>
                <c:pt idx="69">
                  <c:v>45588</c:v>
                </c:pt>
                <c:pt idx="70">
                  <c:v>45589</c:v>
                </c:pt>
                <c:pt idx="71">
                  <c:v>45590</c:v>
                </c:pt>
                <c:pt idx="72">
                  <c:v>45591</c:v>
                </c:pt>
                <c:pt idx="73">
                  <c:v>45592</c:v>
                </c:pt>
                <c:pt idx="74">
                  <c:v>45593</c:v>
                </c:pt>
                <c:pt idx="75">
                  <c:v>45594</c:v>
                </c:pt>
                <c:pt idx="76">
                  <c:v>45595</c:v>
                </c:pt>
                <c:pt idx="77">
                  <c:v>45596</c:v>
                </c:pt>
                <c:pt idx="78">
                  <c:v>45597</c:v>
                </c:pt>
                <c:pt idx="79">
                  <c:v>45598</c:v>
                </c:pt>
                <c:pt idx="80">
                  <c:v>45599</c:v>
                </c:pt>
                <c:pt idx="81">
                  <c:v>45600</c:v>
                </c:pt>
                <c:pt idx="82">
                  <c:v>45601</c:v>
                </c:pt>
                <c:pt idx="83">
                  <c:v>45602</c:v>
                </c:pt>
                <c:pt idx="84">
                  <c:v>45603</c:v>
                </c:pt>
                <c:pt idx="85">
                  <c:v>45604</c:v>
                </c:pt>
                <c:pt idx="86">
                  <c:v>45605</c:v>
                </c:pt>
                <c:pt idx="87">
                  <c:v>45606</c:v>
                </c:pt>
                <c:pt idx="88">
                  <c:v>45607</c:v>
                </c:pt>
                <c:pt idx="89">
                  <c:v>45608</c:v>
                </c:pt>
                <c:pt idx="90">
                  <c:v>45609</c:v>
                </c:pt>
                <c:pt idx="91">
                  <c:v>45610</c:v>
                </c:pt>
                <c:pt idx="92">
                  <c:v>45611</c:v>
                </c:pt>
                <c:pt idx="93">
                  <c:v>45612</c:v>
                </c:pt>
                <c:pt idx="94">
                  <c:v>45613</c:v>
                </c:pt>
                <c:pt idx="95">
                  <c:v>45614</c:v>
                </c:pt>
                <c:pt idx="96">
                  <c:v>45615</c:v>
                </c:pt>
                <c:pt idx="97">
                  <c:v>45616</c:v>
                </c:pt>
                <c:pt idx="98">
                  <c:v>45617</c:v>
                </c:pt>
                <c:pt idx="99">
                  <c:v>45618</c:v>
                </c:pt>
                <c:pt idx="100">
                  <c:v>45619</c:v>
                </c:pt>
                <c:pt idx="101">
                  <c:v>45620</c:v>
                </c:pt>
                <c:pt idx="102">
                  <c:v>45621</c:v>
                </c:pt>
                <c:pt idx="103">
                  <c:v>45622</c:v>
                </c:pt>
                <c:pt idx="104">
                  <c:v>45623</c:v>
                </c:pt>
                <c:pt idx="105">
                  <c:v>45624</c:v>
                </c:pt>
                <c:pt idx="106">
                  <c:v>45625</c:v>
                </c:pt>
                <c:pt idx="107">
                  <c:v>45626</c:v>
                </c:pt>
                <c:pt idx="108">
                  <c:v>45627</c:v>
                </c:pt>
                <c:pt idx="109">
                  <c:v>45628</c:v>
                </c:pt>
                <c:pt idx="110">
                  <c:v>45629</c:v>
                </c:pt>
                <c:pt idx="111">
                  <c:v>45630</c:v>
                </c:pt>
                <c:pt idx="112">
                  <c:v>45631</c:v>
                </c:pt>
                <c:pt idx="113">
                  <c:v>45632</c:v>
                </c:pt>
                <c:pt idx="114">
                  <c:v>45633</c:v>
                </c:pt>
                <c:pt idx="115">
                  <c:v>45634</c:v>
                </c:pt>
                <c:pt idx="116">
                  <c:v>45635</c:v>
                </c:pt>
                <c:pt idx="117">
                  <c:v>45636</c:v>
                </c:pt>
                <c:pt idx="118">
                  <c:v>45637</c:v>
                </c:pt>
                <c:pt idx="119">
                  <c:v>45638</c:v>
                </c:pt>
                <c:pt idx="120">
                  <c:v>45639</c:v>
                </c:pt>
                <c:pt idx="121">
                  <c:v>45640</c:v>
                </c:pt>
                <c:pt idx="122">
                  <c:v>45641</c:v>
                </c:pt>
                <c:pt idx="123">
                  <c:v>45642</c:v>
                </c:pt>
                <c:pt idx="124">
                  <c:v>45643</c:v>
                </c:pt>
                <c:pt idx="125">
                  <c:v>45644</c:v>
                </c:pt>
                <c:pt idx="126">
                  <c:v>45645</c:v>
                </c:pt>
                <c:pt idx="127">
                  <c:v>45646</c:v>
                </c:pt>
                <c:pt idx="128">
                  <c:v>45647</c:v>
                </c:pt>
                <c:pt idx="129">
                  <c:v>45648</c:v>
                </c:pt>
                <c:pt idx="130">
                  <c:v>45649</c:v>
                </c:pt>
                <c:pt idx="131">
                  <c:v>45650</c:v>
                </c:pt>
                <c:pt idx="132">
                  <c:v>45651</c:v>
                </c:pt>
                <c:pt idx="133">
                  <c:v>45652</c:v>
                </c:pt>
                <c:pt idx="134">
                  <c:v>45653</c:v>
                </c:pt>
                <c:pt idx="135">
                  <c:v>45654</c:v>
                </c:pt>
                <c:pt idx="136">
                  <c:v>45655</c:v>
                </c:pt>
                <c:pt idx="137">
                  <c:v>45656</c:v>
                </c:pt>
                <c:pt idx="138">
                  <c:v>45657</c:v>
                </c:pt>
                <c:pt idx="139">
                  <c:v>45658</c:v>
                </c:pt>
                <c:pt idx="140">
                  <c:v>45659</c:v>
                </c:pt>
                <c:pt idx="141">
                  <c:v>45660</c:v>
                </c:pt>
                <c:pt idx="142">
                  <c:v>45661</c:v>
                </c:pt>
                <c:pt idx="143">
                  <c:v>45662</c:v>
                </c:pt>
                <c:pt idx="144">
                  <c:v>45663</c:v>
                </c:pt>
                <c:pt idx="145">
                  <c:v>45664</c:v>
                </c:pt>
                <c:pt idx="146">
                  <c:v>45665</c:v>
                </c:pt>
                <c:pt idx="147">
                  <c:v>45666</c:v>
                </c:pt>
                <c:pt idx="148">
                  <c:v>45667</c:v>
                </c:pt>
                <c:pt idx="149">
                  <c:v>45668</c:v>
                </c:pt>
                <c:pt idx="150">
                  <c:v>45669</c:v>
                </c:pt>
                <c:pt idx="151">
                  <c:v>45670</c:v>
                </c:pt>
                <c:pt idx="152">
                  <c:v>45671</c:v>
                </c:pt>
                <c:pt idx="153">
                  <c:v>45672</c:v>
                </c:pt>
                <c:pt idx="154">
                  <c:v>45673</c:v>
                </c:pt>
                <c:pt idx="155">
                  <c:v>45674</c:v>
                </c:pt>
                <c:pt idx="156">
                  <c:v>45675</c:v>
                </c:pt>
                <c:pt idx="157">
                  <c:v>45676</c:v>
                </c:pt>
                <c:pt idx="158">
                  <c:v>45677</c:v>
                </c:pt>
                <c:pt idx="159">
                  <c:v>45678</c:v>
                </c:pt>
                <c:pt idx="160">
                  <c:v>45679</c:v>
                </c:pt>
                <c:pt idx="161">
                  <c:v>45680</c:v>
                </c:pt>
                <c:pt idx="162">
                  <c:v>45681</c:v>
                </c:pt>
                <c:pt idx="163">
                  <c:v>45682</c:v>
                </c:pt>
                <c:pt idx="164">
                  <c:v>45683</c:v>
                </c:pt>
                <c:pt idx="165">
                  <c:v>45684</c:v>
                </c:pt>
                <c:pt idx="166">
                  <c:v>45685</c:v>
                </c:pt>
                <c:pt idx="167">
                  <c:v>45686</c:v>
                </c:pt>
                <c:pt idx="168">
                  <c:v>45687</c:v>
                </c:pt>
                <c:pt idx="169">
                  <c:v>45688</c:v>
                </c:pt>
                <c:pt idx="170">
                  <c:v>45689</c:v>
                </c:pt>
                <c:pt idx="171">
                  <c:v>45690</c:v>
                </c:pt>
                <c:pt idx="172">
                  <c:v>45691</c:v>
                </c:pt>
                <c:pt idx="173">
                  <c:v>45692</c:v>
                </c:pt>
                <c:pt idx="174">
                  <c:v>45693</c:v>
                </c:pt>
                <c:pt idx="175">
                  <c:v>45694</c:v>
                </c:pt>
                <c:pt idx="176">
                  <c:v>45695</c:v>
                </c:pt>
                <c:pt idx="177">
                  <c:v>45696</c:v>
                </c:pt>
                <c:pt idx="178">
                  <c:v>45697</c:v>
                </c:pt>
                <c:pt idx="179">
                  <c:v>45698</c:v>
                </c:pt>
                <c:pt idx="180">
                  <c:v>45699</c:v>
                </c:pt>
                <c:pt idx="181">
                  <c:v>45700</c:v>
                </c:pt>
                <c:pt idx="182">
                  <c:v>45701</c:v>
                </c:pt>
                <c:pt idx="183">
                  <c:v>45702</c:v>
                </c:pt>
                <c:pt idx="184">
                  <c:v>45703</c:v>
                </c:pt>
                <c:pt idx="185">
                  <c:v>45704</c:v>
                </c:pt>
                <c:pt idx="186">
                  <c:v>45705</c:v>
                </c:pt>
                <c:pt idx="187">
                  <c:v>45706</c:v>
                </c:pt>
                <c:pt idx="188">
                  <c:v>45707</c:v>
                </c:pt>
                <c:pt idx="189">
                  <c:v>45708</c:v>
                </c:pt>
                <c:pt idx="190">
                  <c:v>45709</c:v>
                </c:pt>
                <c:pt idx="191">
                  <c:v>45710</c:v>
                </c:pt>
                <c:pt idx="192">
                  <c:v>45711</c:v>
                </c:pt>
                <c:pt idx="193">
                  <c:v>45712</c:v>
                </c:pt>
                <c:pt idx="194">
                  <c:v>45713</c:v>
                </c:pt>
                <c:pt idx="195">
                  <c:v>45714</c:v>
                </c:pt>
                <c:pt idx="196">
                  <c:v>45715</c:v>
                </c:pt>
                <c:pt idx="197">
                  <c:v>45716</c:v>
                </c:pt>
                <c:pt idx="198">
                  <c:v>45717</c:v>
                </c:pt>
                <c:pt idx="199">
                  <c:v>45718</c:v>
                </c:pt>
                <c:pt idx="200">
                  <c:v>45719</c:v>
                </c:pt>
                <c:pt idx="201">
                  <c:v>45720</c:v>
                </c:pt>
                <c:pt idx="202">
                  <c:v>45721</c:v>
                </c:pt>
                <c:pt idx="203">
                  <c:v>45722</c:v>
                </c:pt>
                <c:pt idx="204">
                  <c:v>45723</c:v>
                </c:pt>
                <c:pt idx="205">
                  <c:v>45724</c:v>
                </c:pt>
                <c:pt idx="206">
                  <c:v>45725</c:v>
                </c:pt>
                <c:pt idx="207">
                  <c:v>45726</c:v>
                </c:pt>
                <c:pt idx="208">
                  <c:v>45727</c:v>
                </c:pt>
                <c:pt idx="209">
                  <c:v>45728</c:v>
                </c:pt>
                <c:pt idx="210">
                  <c:v>45729</c:v>
                </c:pt>
                <c:pt idx="211">
                  <c:v>45730</c:v>
                </c:pt>
                <c:pt idx="212">
                  <c:v>45731</c:v>
                </c:pt>
                <c:pt idx="213">
                  <c:v>45732</c:v>
                </c:pt>
                <c:pt idx="214">
                  <c:v>45733</c:v>
                </c:pt>
                <c:pt idx="215">
                  <c:v>45734</c:v>
                </c:pt>
                <c:pt idx="216">
                  <c:v>45735</c:v>
                </c:pt>
                <c:pt idx="217">
                  <c:v>45736</c:v>
                </c:pt>
                <c:pt idx="218">
                  <c:v>45737</c:v>
                </c:pt>
                <c:pt idx="219">
                  <c:v>45738</c:v>
                </c:pt>
                <c:pt idx="220">
                  <c:v>45739</c:v>
                </c:pt>
                <c:pt idx="221">
                  <c:v>45740</c:v>
                </c:pt>
                <c:pt idx="222">
                  <c:v>45741</c:v>
                </c:pt>
                <c:pt idx="223">
                  <c:v>45742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108</c:v>
                </c:pt>
                <c:pt idx="1">
                  <c:v>114.15478260869567</c:v>
                </c:pt>
                <c:pt idx="2">
                  <c:v>117.88010812854445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118.52173913043477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119.51304347826087</c:v>
                </c:pt>
                <c:pt idx="50">
                  <c:v>120</c:v>
                </c:pt>
                <c:pt idx="51">
                  <c:v>119.65217391304347</c:v>
                </c:pt>
                <c:pt idx="52">
                  <c:v>119.30117202268431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119.09565217391305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118.26086956521739</c:v>
                </c:pt>
                <c:pt idx="65">
                  <c:v>115.40491493383743</c:v>
                </c:pt>
                <c:pt idx="66">
                  <c:v>115.56592290622174</c:v>
                </c:pt>
                <c:pt idx="67">
                  <c:v>116.51814267930718</c:v>
                </c:pt>
                <c:pt idx="68">
                  <c:v>118.57453335093102</c:v>
                </c:pt>
                <c:pt idx="69">
                  <c:v>118.72883800710443</c:v>
                </c:pt>
                <c:pt idx="70">
                  <c:v>116.02596393186482</c:v>
                </c:pt>
                <c:pt idx="71">
                  <c:v>111.88280235376838</c:v>
                </c:pt>
                <c:pt idx="72">
                  <c:v>112.47585082155527</c:v>
                </c:pt>
                <c:pt idx="73">
                  <c:v>114.91454569204207</c:v>
                </c:pt>
                <c:pt idx="74">
                  <c:v>113.94588355924935</c:v>
                </c:pt>
                <c:pt idx="75">
                  <c:v>111.96939944405111</c:v>
                </c:pt>
                <c:pt idx="76">
                  <c:v>108.85519553238908</c:v>
                </c:pt>
                <c:pt idx="77">
                  <c:v>106.64604077354272</c:v>
                </c:pt>
                <c:pt idx="78">
                  <c:v>102.46891509600653</c:v>
                </c:pt>
                <c:pt idx="79">
                  <c:v>101.83058480836436</c:v>
                </c:pt>
                <c:pt idx="80">
                  <c:v>102.40227206749563</c:v>
                </c:pt>
                <c:pt idx="81">
                  <c:v>108.01136563322129</c:v>
                </c:pt>
                <c:pt idx="82">
                  <c:v>109.61016978581017</c:v>
                </c:pt>
                <c:pt idx="83">
                  <c:v>111.5847908450291</c:v>
                </c:pt>
                <c:pt idx="84">
                  <c:v>111.8428553667481</c:v>
                </c:pt>
                <c:pt idx="85">
                  <c:v>112.14099056741749</c:v>
                </c:pt>
                <c:pt idx="86">
                  <c:v>110.83493103189801</c:v>
                </c:pt>
                <c:pt idx="87">
                  <c:v>107.89073692845612</c:v>
                </c:pt>
                <c:pt idx="88">
                  <c:v>108.64716984555851</c:v>
                </c:pt>
                <c:pt idx="89">
                  <c:v>107.86524330290932</c:v>
                </c:pt>
                <c:pt idx="90">
                  <c:v>107.35678845293052</c:v>
                </c:pt>
                <c:pt idx="91">
                  <c:v>104.93217067117192</c:v>
                </c:pt>
                <c:pt idx="92">
                  <c:v>106.72092991693799</c:v>
                </c:pt>
                <c:pt idx="93">
                  <c:v>104.51361946130957</c:v>
                </c:pt>
                <c:pt idx="94">
                  <c:v>102.38988413372195</c:v>
                </c:pt>
                <c:pt idx="95">
                  <c:v>99.290002397972515</c:v>
                </c:pt>
                <c:pt idx="96">
                  <c:v>97.854537283839093</c:v>
                </c:pt>
                <c:pt idx="97">
                  <c:v>97.496189637239212</c:v>
                </c:pt>
                <c:pt idx="98">
                  <c:v>99.088639590958948</c:v>
                </c:pt>
                <c:pt idx="99">
                  <c:v>98.376955648204842</c:v>
                </c:pt>
                <c:pt idx="100">
                  <c:v>96.955805651675377</c:v>
                </c:pt>
                <c:pt idx="101">
                  <c:v>95.572744825084584</c:v>
                </c:pt>
                <c:pt idx="102">
                  <c:v>93.317237303622107</c:v>
                </c:pt>
                <c:pt idx="103">
                  <c:v>93.225769160186104</c:v>
                </c:pt>
                <c:pt idx="104">
                  <c:v>95.422276103681824</c:v>
                </c:pt>
                <c:pt idx="105">
                  <c:v>93.908308805535071</c:v>
                </c:pt>
                <c:pt idx="106">
                  <c:v>92.748362187640012</c:v>
                </c:pt>
                <c:pt idx="107">
                  <c:v>89.48223413403872</c:v>
                </c:pt>
                <c:pt idx="108">
                  <c:v>92.9007457261566</c:v>
                </c:pt>
                <c:pt idx="109">
                  <c:v>89.679333426340676</c:v>
                </c:pt>
                <c:pt idx="110">
                  <c:v>94.392313076821907</c:v>
                </c:pt>
                <c:pt idx="111">
                  <c:v>96.687012147807565</c:v>
                </c:pt>
                <c:pt idx="112">
                  <c:v>96.605158434575131</c:v>
                </c:pt>
                <c:pt idx="113">
                  <c:v>96.870707934427756</c:v>
                </c:pt>
                <c:pt idx="114">
                  <c:v>94.302764708634754</c:v>
                </c:pt>
                <c:pt idx="115">
                  <c:v>89.816765058168315</c:v>
                </c:pt>
                <c:pt idx="116">
                  <c:v>88.225362798279249</c:v>
                </c:pt>
                <c:pt idx="117">
                  <c:v>83.243541657263549</c:v>
                </c:pt>
                <c:pt idx="118">
                  <c:v>80.071824453769977</c:v>
                </c:pt>
                <c:pt idx="119">
                  <c:v>76.080666854117638</c:v>
                </c:pt>
                <c:pt idx="120">
                  <c:v>76.473394857888451</c:v>
                </c:pt>
                <c:pt idx="121">
                  <c:v>73.900731798862637</c:v>
                </c:pt>
                <c:pt idx="122">
                  <c:v>76.449430015473766</c:v>
                </c:pt>
                <c:pt idx="123">
                  <c:v>77.76419216211255</c:v>
                </c:pt>
                <c:pt idx="124">
                  <c:v>78.841004568235846</c:v>
                </c:pt>
                <c:pt idx="125">
                  <c:v>79.228076950146786</c:v>
                </c:pt>
                <c:pt idx="126">
                  <c:v>74.348218184105122</c:v>
                </c:pt>
                <c:pt idx="127">
                  <c:v>73.996307315156628</c:v>
                </c:pt>
                <c:pt idx="128">
                  <c:v>69.675778427790718</c:v>
                </c:pt>
                <c:pt idx="129">
                  <c:v>66.47126341088601</c:v>
                </c:pt>
                <c:pt idx="130">
                  <c:v>65.295082593063228</c:v>
                </c:pt>
                <c:pt idx="131">
                  <c:v>66.47795519669512</c:v>
                </c:pt>
                <c:pt idx="132">
                  <c:v>61.854396125934329</c:v>
                </c:pt>
                <c:pt idx="133">
                  <c:v>58.99521225611231</c:v>
                </c:pt>
                <c:pt idx="134">
                  <c:v>54.466010694880843</c:v>
                </c:pt>
                <c:pt idx="135">
                  <c:v>54.224449928992762</c:v>
                </c:pt>
                <c:pt idx="136">
                  <c:v>56.466642555688743</c:v>
                </c:pt>
                <c:pt idx="137">
                  <c:v>66.08708033573312</c:v>
                </c:pt>
                <c:pt idx="138">
                  <c:v>63.665346971601842</c:v>
                </c:pt>
                <c:pt idx="139">
                  <c:v>62.478908487639913</c:v>
                </c:pt>
                <c:pt idx="140">
                  <c:v>58.736274484405207</c:v>
                </c:pt>
                <c:pt idx="141">
                  <c:v>55.058775489194275</c:v>
                </c:pt>
                <c:pt idx="142">
                  <c:v>51.838353838624684</c:v>
                </c:pt>
                <c:pt idx="143">
                  <c:v>49.498339298747105</c:v>
                </c:pt>
                <c:pt idx="144">
                  <c:v>47.707219616013077</c:v>
                </c:pt>
                <c:pt idx="145">
                  <c:v>45.523067964048508</c:v>
                </c:pt>
                <c:pt idx="146">
                  <c:v>45.662655206244743</c:v>
                </c:pt>
                <c:pt idx="147">
                  <c:v>46.327909882819831</c:v>
                </c:pt>
                <c:pt idx="148">
                  <c:v>43.900787468791705</c:v>
                </c:pt>
                <c:pt idx="149">
                  <c:v>41.838717937865979</c:v>
                </c:pt>
                <c:pt idx="150">
                  <c:v>39.305256832595802</c:v>
                </c:pt>
                <c:pt idx="151">
                  <c:v>41.842814098444499</c:v>
                </c:pt>
                <c:pt idx="152">
                  <c:v>41.570208542937607</c:v>
                </c:pt>
                <c:pt idx="153">
                  <c:v>39.72505439527184</c:v>
                </c:pt>
                <c:pt idx="154">
                  <c:v>40.986427553251325</c:v>
                </c:pt>
                <c:pt idx="155">
                  <c:v>41.721842348136683</c:v>
                </c:pt>
                <c:pt idx="156">
                  <c:v>41.305513381518054</c:v>
                </c:pt>
                <c:pt idx="157">
                  <c:v>41.052646579456017</c:v>
                </c:pt>
                <c:pt idx="158">
                  <c:v>38.738242048884146</c:v>
                </c:pt>
                <c:pt idx="159">
                  <c:v>49.490152751404906</c:v>
                </c:pt>
                <c:pt idx="160">
                  <c:v>51.045126536858021</c:v>
                </c:pt>
                <c:pt idx="161">
                  <c:v>50.166365815375755</c:v>
                </c:pt>
                <c:pt idx="162">
                  <c:v>51.097291181186975</c:v>
                </c:pt>
                <c:pt idx="163">
                  <c:v>52.422097535324319</c:v>
                </c:pt>
                <c:pt idx="164">
                  <c:v>49.370988023885488</c:v>
                </c:pt>
                <c:pt idx="165">
                  <c:v>49.042415397972967</c:v>
                </c:pt>
                <c:pt idx="166">
                  <c:v>47.28585602968348</c:v>
                </c:pt>
                <c:pt idx="167">
                  <c:v>46.226719759154996</c:v>
                </c:pt>
                <c:pt idx="168">
                  <c:v>46.995264781663153</c:v>
                </c:pt>
                <c:pt idx="169">
                  <c:v>47.078277754392822</c:v>
                </c:pt>
                <c:pt idx="170">
                  <c:v>44.300821446385029</c:v>
                </c:pt>
                <c:pt idx="171">
                  <c:v>46.9315585921523</c:v>
                </c:pt>
                <c:pt idx="172">
                  <c:v>43.977492442392766</c:v>
                </c:pt>
                <c:pt idx="173">
                  <c:v>47.857976467766363</c:v>
                </c:pt>
                <c:pt idx="174">
                  <c:v>47.03736857722528</c:v>
                </c:pt>
                <c:pt idx="175">
                  <c:v>42.942301606474111</c:v>
                </c:pt>
                <c:pt idx="176">
                  <c:v>40.056748723837998</c:v>
                </c:pt>
                <c:pt idx="177">
                  <c:v>39.712957056940411</c:v>
                </c:pt>
                <c:pt idx="178">
                  <c:v>37.626023363326823</c:v>
                </c:pt>
                <c:pt idx="179">
                  <c:v>36.353807218124444</c:v>
                </c:pt>
                <c:pt idx="180">
                  <c:v>36.614632711254032</c:v>
                </c:pt>
                <c:pt idx="181">
                  <c:v>37.304845827744465</c:v>
                </c:pt>
                <c:pt idx="182">
                  <c:v>34.3391518301163</c:v>
                </c:pt>
                <c:pt idx="183">
                  <c:v>33.870175644224176</c:v>
                </c:pt>
                <c:pt idx="184">
                  <c:v>35.050601456477779</c:v>
                </c:pt>
                <c:pt idx="185">
                  <c:v>34.310621302639021</c:v>
                </c:pt>
                <c:pt idx="186">
                  <c:v>38.315075315821467</c:v>
                </c:pt>
                <c:pt idx="187">
                  <c:v>36.419230304901482</c:v>
                </c:pt>
                <c:pt idx="188">
                  <c:v>34.847825454806667</c:v>
                </c:pt>
                <c:pt idx="189">
                  <c:v>37.550486241874708</c:v>
                </c:pt>
                <c:pt idx="190">
                  <c:v>38.402224625321217</c:v>
                </c:pt>
                <c:pt idx="191">
                  <c:v>36.56953618823696</c:v>
                </c:pt>
                <c:pt idx="192">
                  <c:v>37.572409958855609</c:v>
                </c:pt>
                <c:pt idx="193">
                  <c:v>36.024274150544606</c:v>
                </c:pt>
                <c:pt idx="194">
                  <c:v>33.6849793680544</c:v>
                </c:pt>
                <c:pt idx="195">
                  <c:v>33.014642985696085</c:v>
                </c:pt>
                <c:pt idx="196">
                  <c:v>31.615554683539422</c:v>
                </c:pt>
                <c:pt idx="197">
                  <c:v>33.781761958061765</c:v>
                </c:pt>
                <c:pt idx="198">
                  <c:v>36.827818809062741</c:v>
                </c:pt>
                <c:pt idx="199">
                  <c:v>36.776825433872126</c:v>
                </c:pt>
                <c:pt idx="200">
                  <c:v>38.87389807621625</c:v>
                </c:pt>
                <c:pt idx="201">
                  <c:v>44.125264911159547</c:v>
                </c:pt>
                <c:pt idx="202">
                  <c:v>44.474305554096858</c:v>
                </c:pt>
                <c:pt idx="203">
                  <c:v>44.255471714816601</c:v>
                </c:pt>
                <c:pt idx="204">
                  <c:v>45.527944837640987</c:v>
                </c:pt>
                <c:pt idx="205">
                  <c:v>43.283979319860023</c:v>
                </c:pt>
                <c:pt idx="206">
                  <c:v>45.298313494611257</c:v>
                </c:pt>
                <c:pt idx="207">
                  <c:v>44.36209519866911</c:v>
                </c:pt>
                <c:pt idx="208">
                  <c:v>53.03778125596137</c:v>
                </c:pt>
                <c:pt idx="209">
                  <c:v>54.628117155248489</c:v>
                </c:pt>
                <c:pt idx="210">
                  <c:v>54.053340878495149</c:v>
                </c:pt>
                <c:pt idx="211">
                  <c:v>53.816618339860874</c:v>
                </c:pt>
                <c:pt idx="212">
                  <c:v>56.172716408304844</c:v>
                </c:pt>
                <c:pt idx="213">
                  <c:v>58.156144659250977</c:v>
                </c:pt>
                <c:pt idx="214">
                  <c:v>59.272769737333689</c:v>
                </c:pt>
                <c:pt idx="215">
                  <c:v>59.019995108678195</c:v>
                </c:pt>
                <c:pt idx="216">
                  <c:v>58.341395734285804</c:v>
                </c:pt>
                <c:pt idx="217">
                  <c:v>61.472293631641158</c:v>
                </c:pt>
                <c:pt idx="218">
                  <c:v>59.631731763018216</c:v>
                </c:pt>
                <c:pt idx="219">
                  <c:v>61.46833918802929</c:v>
                </c:pt>
                <c:pt idx="220">
                  <c:v>63.67480383654118</c:v>
                </c:pt>
                <c:pt idx="221">
                  <c:v>63.876179979610484</c:v>
                </c:pt>
                <c:pt idx="222">
                  <c:v>64.120668093514041</c:v>
                </c:pt>
                <c:pt idx="223">
                  <c:v>67.177337715345146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ConceptDemo!$AD$17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45519</c:v>
                </c:pt>
                <c:pt idx="1">
                  <c:v>45520</c:v>
                </c:pt>
                <c:pt idx="2">
                  <c:v>45521</c:v>
                </c:pt>
                <c:pt idx="3">
                  <c:v>45522</c:v>
                </c:pt>
                <c:pt idx="4">
                  <c:v>45523</c:v>
                </c:pt>
                <c:pt idx="5">
                  <c:v>45524</c:v>
                </c:pt>
                <c:pt idx="6">
                  <c:v>45525</c:v>
                </c:pt>
                <c:pt idx="7">
                  <c:v>45526</c:v>
                </c:pt>
                <c:pt idx="8">
                  <c:v>45527</c:v>
                </c:pt>
                <c:pt idx="9">
                  <c:v>45528</c:v>
                </c:pt>
                <c:pt idx="10">
                  <c:v>45529</c:v>
                </c:pt>
                <c:pt idx="11">
                  <c:v>45530</c:v>
                </c:pt>
                <c:pt idx="12">
                  <c:v>45531</c:v>
                </c:pt>
                <c:pt idx="13">
                  <c:v>45532</c:v>
                </c:pt>
                <c:pt idx="14">
                  <c:v>45533</c:v>
                </c:pt>
                <c:pt idx="15">
                  <c:v>45534</c:v>
                </c:pt>
                <c:pt idx="16">
                  <c:v>45535</c:v>
                </c:pt>
                <c:pt idx="17">
                  <c:v>45536</c:v>
                </c:pt>
                <c:pt idx="18">
                  <c:v>45537</c:v>
                </c:pt>
                <c:pt idx="19">
                  <c:v>45538</c:v>
                </c:pt>
                <c:pt idx="20">
                  <c:v>45539</c:v>
                </c:pt>
                <c:pt idx="21">
                  <c:v>45540</c:v>
                </c:pt>
                <c:pt idx="22">
                  <c:v>45541</c:v>
                </c:pt>
                <c:pt idx="23">
                  <c:v>45542</c:v>
                </c:pt>
                <c:pt idx="24">
                  <c:v>45543</c:v>
                </c:pt>
                <c:pt idx="25">
                  <c:v>45544</c:v>
                </c:pt>
                <c:pt idx="26">
                  <c:v>45545</c:v>
                </c:pt>
                <c:pt idx="27">
                  <c:v>45546</c:v>
                </c:pt>
                <c:pt idx="28">
                  <c:v>45547</c:v>
                </c:pt>
                <c:pt idx="29">
                  <c:v>45548</c:v>
                </c:pt>
                <c:pt idx="30">
                  <c:v>45549</c:v>
                </c:pt>
                <c:pt idx="31">
                  <c:v>45550</c:v>
                </c:pt>
                <c:pt idx="32">
                  <c:v>45551</c:v>
                </c:pt>
                <c:pt idx="33">
                  <c:v>45552</c:v>
                </c:pt>
                <c:pt idx="34">
                  <c:v>45553</c:v>
                </c:pt>
                <c:pt idx="35">
                  <c:v>45554</c:v>
                </c:pt>
                <c:pt idx="36">
                  <c:v>45555</c:v>
                </c:pt>
                <c:pt idx="37">
                  <c:v>45556</c:v>
                </c:pt>
                <c:pt idx="38">
                  <c:v>45557</c:v>
                </c:pt>
                <c:pt idx="39">
                  <c:v>45558</c:v>
                </c:pt>
                <c:pt idx="40">
                  <c:v>45559</c:v>
                </c:pt>
                <c:pt idx="41">
                  <c:v>45560</c:v>
                </c:pt>
                <c:pt idx="42">
                  <c:v>45561</c:v>
                </c:pt>
                <c:pt idx="43">
                  <c:v>45562</c:v>
                </c:pt>
                <c:pt idx="44">
                  <c:v>45563</c:v>
                </c:pt>
                <c:pt idx="45">
                  <c:v>45564</c:v>
                </c:pt>
                <c:pt idx="46">
                  <c:v>45565</c:v>
                </c:pt>
                <c:pt idx="47">
                  <c:v>45566</c:v>
                </c:pt>
                <c:pt idx="48">
                  <c:v>45567</c:v>
                </c:pt>
                <c:pt idx="49">
                  <c:v>45568</c:v>
                </c:pt>
                <c:pt idx="50">
                  <c:v>45569</c:v>
                </c:pt>
                <c:pt idx="51">
                  <c:v>45570</c:v>
                </c:pt>
                <c:pt idx="52">
                  <c:v>45571</c:v>
                </c:pt>
                <c:pt idx="53">
                  <c:v>45572</c:v>
                </c:pt>
                <c:pt idx="54">
                  <c:v>45573</c:v>
                </c:pt>
                <c:pt idx="55">
                  <c:v>45574</c:v>
                </c:pt>
                <c:pt idx="56">
                  <c:v>45575</c:v>
                </c:pt>
                <c:pt idx="57">
                  <c:v>45576</c:v>
                </c:pt>
                <c:pt idx="58">
                  <c:v>45577</c:v>
                </c:pt>
                <c:pt idx="59">
                  <c:v>45578</c:v>
                </c:pt>
                <c:pt idx="60">
                  <c:v>45579</c:v>
                </c:pt>
                <c:pt idx="61">
                  <c:v>45580</c:v>
                </c:pt>
                <c:pt idx="62">
                  <c:v>45581</c:v>
                </c:pt>
                <c:pt idx="63">
                  <c:v>45582</c:v>
                </c:pt>
                <c:pt idx="64">
                  <c:v>45583</c:v>
                </c:pt>
                <c:pt idx="65">
                  <c:v>45584</c:v>
                </c:pt>
                <c:pt idx="66">
                  <c:v>45585</c:v>
                </c:pt>
                <c:pt idx="67">
                  <c:v>45586</c:v>
                </c:pt>
                <c:pt idx="68">
                  <c:v>45587</c:v>
                </c:pt>
                <c:pt idx="69">
                  <c:v>45588</c:v>
                </c:pt>
                <c:pt idx="70">
                  <c:v>45589</c:v>
                </c:pt>
                <c:pt idx="71">
                  <c:v>45590</c:v>
                </c:pt>
                <c:pt idx="72">
                  <c:v>45591</c:v>
                </c:pt>
                <c:pt idx="73">
                  <c:v>45592</c:v>
                </c:pt>
                <c:pt idx="74">
                  <c:v>45593</c:v>
                </c:pt>
                <c:pt idx="75">
                  <c:v>45594</c:v>
                </c:pt>
                <c:pt idx="76">
                  <c:v>45595</c:v>
                </c:pt>
                <c:pt idx="77">
                  <c:v>45596</c:v>
                </c:pt>
                <c:pt idx="78">
                  <c:v>45597</c:v>
                </c:pt>
                <c:pt idx="79">
                  <c:v>45598</c:v>
                </c:pt>
                <c:pt idx="80">
                  <c:v>45599</c:v>
                </c:pt>
                <c:pt idx="81">
                  <c:v>45600</c:v>
                </c:pt>
                <c:pt idx="82">
                  <c:v>45601</c:v>
                </c:pt>
                <c:pt idx="83">
                  <c:v>45602</c:v>
                </c:pt>
                <c:pt idx="84">
                  <c:v>45603</c:v>
                </c:pt>
                <c:pt idx="85">
                  <c:v>45604</c:v>
                </c:pt>
                <c:pt idx="86">
                  <c:v>45605</c:v>
                </c:pt>
                <c:pt idx="87">
                  <c:v>45606</c:v>
                </c:pt>
                <c:pt idx="88">
                  <c:v>45607</c:v>
                </c:pt>
                <c:pt idx="89">
                  <c:v>45608</c:v>
                </c:pt>
                <c:pt idx="90">
                  <c:v>45609</c:v>
                </c:pt>
                <c:pt idx="91">
                  <c:v>45610</c:v>
                </c:pt>
                <c:pt idx="92">
                  <c:v>45611</c:v>
                </c:pt>
                <c:pt idx="93">
                  <c:v>45612</c:v>
                </c:pt>
                <c:pt idx="94">
                  <c:v>45613</c:v>
                </c:pt>
                <c:pt idx="95">
                  <c:v>45614</c:v>
                </c:pt>
                <c:pt idx="96">
                  <c:v>45615</c:v>
                </c:pt>
                <c:pt idx="97">
                  <c:v>45616</c:v>
                </c:pt>
                <c:pt idx="98">
                  <c:v>45617</c:v>
                </c:pt>
                <c:pt idx="99">
                  <c:v>45618</c:v>
                </c:pt>
                <c:pt idx="100">
                  <c:v>45619</c:v>
                </c:pt>
                <c:pt idx="101">
                  <c:v>45620</c:v>
                </c:pt>
                <c:pt idx="102">
                  <c:v>45621</c:v>
                </c:pt>
                <c:pt idx="103">
                  <c:v>45622</c:v>
                </c:pt>
                <c:pt idx="104">
                  <c:v>45623</c:v>
                </c:pt>
                <c:pt idx="105">
                  <c:v>45624</c:v>
                </c:pt>
                <c:pt idx="106">
                  <c:v>45625</c:v>
                </c:pt>
                <c:pt idx="107">
                  <c:v>45626</c:v>
                </c:pt>
                <c:pt idx="108">
                  <c:v>45627</c:v>
                </c:pt>
                <c:pt idx="109">
                  <c:v>45628</c:v>
                </c:pt>
                <c:pt idx="110">
                  <c:v>45629</c:v>
                </c:pt>
                <c:pt idx="111">
                  <c:v>45630</c:v>
                </c:pt>
                <c:pt idx="112">
                  <c:v>45631</c:v>
                </c:pt>
                <c:pt idx="113">
                  <c:v>45632</c:v>
                </c:pt>
                <c:pt idx="114">
                  <c:v>45633</c:v>
                </c:pt>
                <c:pt idx="115">
                  <c:v>45634</c:v>
                </c:pt>
                <c:pt idx="116">
                  <c:v>45635</c:v>
                </c:pt>
                <c:pt idx="117">
                  <c:v>45636</c:v>
                </c:pt>
                <c:pt idx="118">
                  <c:v>45637</c:v>
                </c:pt>
                <c:pt idx="119">
                  <c:v>45638</c:v>
                </c:pt>
                <c:pt idx="120">
                  <c:v>45639</c:v>
                </c:pt>
                <c:pt idx="121">
                  <c:v>45640</c:v>
                </c:pt>
                <c:pt idx="122">
                  <c:v>45641</c:v>
                </c:pt>
                <c:pt idx="123">
                  <c:v>45642</c:v>
                </c:pt>
                <c:pt idx="124">
                  <c:v>45643</c:v>
                </c:pt>
                <c:pt idx="125">
                  <c:v>45644</c:v>
                </c:pt>
                <c:pt idx="126">
                  <c:v>45645</c:v>
                </c:pt>
                <c:pt idx="127">
                  <c:v>45646</c:v>
                </c:pt>
                <c:pt idx="128">
                  <c:v>45647</c:v>
                </c:pt>
                <c:pt idx="129">
                  <c:v>45648</c:v>
                </c:pt>
                <c:pt idx="130">
                  <c:v>45649</c:v>
                </c:pt>
                <c:pt idx="131">
                  <c:v>45650</c:v>
                </c:pt>
                <c:pt idx="132">
                  <c:v>45651</c:v>
                </c:pt>
                <c:pt idx="133">
                  <c:v>45652</c:v>
                </c:pt>
                <c:pt idx="134">
                  <c:v>45653</c:v>
                </c:pt>
                <c:pt idx="135">
                  <c:v>45654</c:v>
                </c:pt>
                <c:pt idx="136">
                  <c:v>45655</c:v>
                </c:pt>
                <c:pt idx="137">
                  <c:v>45656</c:v>
                </c:pt>
                <c:pt idx="138">
                  <c:v>45657</c:v>
                </c:pt>
                <c:pt idx="139">
                  <c:v>45658</c:v>
                </c:pt>
                <c:pt idx="140">
                  <c:v>45659</c:v>
                </c:pt>
                <c:pt idx="141">
                  <c:v>45660</c:v>
                </c:pt>
                <c:pt idx="142">
                  <c:v>45661</c:v>
                </c:pt>
                <c:pt idx="143">
                  <c:v>45662</c:v>
                </c:pt>
                <c:pt idx="144">
                  <c:v>45663</c:v>
                </c:pt>
                <c:pt idx="145">
                  <c:v>45664</c:v>
                </c:pt>
                <c:pt idx="146">
                  <c:v>45665</c:v>
                </c:pt>
                <c:pt idx="147">
                  <c:v>45666</c:v>
                </c:pt>
                <c:pt idx="148">
                  <c:v>45667</c:v>
                </c:pt>
                <c:pt idx="149">
                  <c:v>45668</c:v>
                </c:pt>
                <c:pt idx="150">
                  <c:v>45669</c:v>
                </c:pt>
                <c:pt idx="151">
                  <c:v>45670</c:v>
                </c:pt>
                <c:pt idx="152">
                  <c:v>45671</c:v>
                </c:pt>
                <c:pt idx="153">
                  <c:v>45672</c:v>
                </c:pt>
                <c:pt idx="154">
                  <c:v>45673</c:v>
                </c:pt>
                <c:pt idx="155">
                  <c:v>45674</c:v>
                </c:pt>
                <c:pt idx="156">
                  <c:v>45675</c:v>
                </c:pt>
                <c:pt idx="157">
                  <c:v>45676</c:v>
                </c:pt>
                <c:pt idx="158">
                  <c:v>45677</c:v>
                </c:pt>
                <c:pt idx="159">
                  <c:v>45678</c:v>
                </c:pt>
                <c:pt idx="160">
                  <c:v>45679</c:v>
                </c:pt>
                <c:pt idx="161">
                  <c:v>45680</c:v>
                </c:pt>
                <c:pt idx="162">
                  <c:v>45681</c:v>
                </c:pt>
                <c:pt idx="163">
                  <c:v>45682</c:v>
                </c:pt>
                <c:pt idx="164">
                  <c:v>45683</c:v>
                </c:pt>
                <c:pt idx="165">
                  <c:v>45684</c:v>
                </c:pt>
                <c:pt idx="166">
                  <c:v>45685</c:v>
                </c:pt>
                <c:pt idx="167">
                  <c:v>45686</c:v>
                </c:pt>
                <c:pt idx="168">
                  <c:v>45687</c:v>
                </c:pt>
                <c:pt idx="169">
                  <c:v>45688</c:v>
                </c:pt>
                <c:pt idx="170">
                  <c:v>45689</c:v>
                </c:pt>
                <c:pt idx="171">
                  <c:v>45690</c:v>
                </c:pt>
                <c:pt idx="172">
                  <c:v>45691</c:v>
                </c:pt>
                <c:pt idx="173">
                  <c:v>45692</c:v>
                </c:pt>
                <c:pt idx="174">
                  <c:v>45693</c:v>
                </c:pt>
                <c:pt idx="175">
                  <c:v>45694</c:v>
                </c:pt>
                <c:pt idx="176">
                  <c:v>45695</c:v>
                </c:pt>
                <c:pt idx="177">
                  <c:v>45696</c:v>
                </c:pt>
                <c:pt idx="178">
                  <c:v>45697</c:v>
                </c:pt>
                <c:pt idx="179">
                  <c:v>45698</c:v>
                </c:pt>
                <c:pt idx="180">
                  <c:v>45699</c:v>
                </c:pt>
                <c:pt idx="181">
                  <c:v>45700</c:v>
                </c:pt>
                <c:pt idx="182">
                  <c:v>45701</c:v>
                </c:pt>
                <c:pt idx="183">
                  <c:v>45702</c:v>
                </c:pt>
                <c:pt idx="184">
                  <c:v>45703</c:v>
                </c:pt>
                <c:pt idx="185">
                  <c:v>45704</c:v>
                </c:pt>
                <c:pt idx="186">
                  <c:v>45705</c:v>
                </c:pt>
                <c:pt idx="187">
                  <c:v>45706</c:v>
                </c:pt>
                <c:pt idx="188">
                  <c:v>45707</c:v>
                </c:pt>
                <c:pt idx="189">
                  <c:v>45708</c:v>
                </c:pt>
                <c:pt idx="190">
                  <c:v>45709</c:v>
                </c:pt>
                <c:pt idx="191">
                  <c:v>45710</c:v>
                </c:pt>
                <c:pt idx="192">
                  <c:v>45711</c:v>
                </c:pt>
                <c:pt idx="193">
                  <c:v>45712</c:v>
                </c:pt>
                <c:pt idx="194">
                  <c:v>45713</c:v>
                </c:pt>
                <c:pt idx="195">
                  <c:v>45714</c:v>
                </c:pt>
                <c:pt idx="196">
                  <c:v>45715</c:v>
                </c:pt>
                <c:pt idx="197">
                  <c:v>45716</c:v>
                </c:pt>
                <c:pt idx="198">
                  <c:v>45717</c:v>
                </c:pt>
                <c:pt idx="199">
                  <c:v>45718</c:v>
                </c:pt>
                <c:pt idx="200">
                  <c:v>45719</c:v>
                </c:pt>
                <c:pt idx="201">
                  <c:v>45720</c:v>
                </c:pt>
                <c:pt idx="202">
                  <c:v>45721</c:v>
                </c:pt>
                <c:pt idx="203">
                  <c:v>45722</c:v>
                </c:pt>
                <c:pt idx="204">
                  <c:v>45723</c:v>
                </c:pt>
                <c:pt idx="205">
                  <c:v>45724</c:v>
                </c:pt>
                <c:pt idx="206">
                  <c:v>45725</c:v>
                </c:pt>
                <c:pt idx="207">
                  <c:v>45726</c:v>
                </c:pt>
                <c:pt idx="208">
                  <c:v>45727</c:v>
                </c:pt>
                <c:pt idx="209">
                  <c:v>45728</c:v>
                </c:pt>
                <c:pt idx="210">
                  <c:v>45729</c:v>
                </c:pt>
                <c:pt idx="211">
                  <c:v>45730</c:v>
                </c:pt>
                <c:pt idx="212">
                  <c:v>45731</c:v>
                </c:pt>
                <c:pt idx="213">
                  <c:v>45732</c:v>
                </c:pt>
                <c:pt idx="214">
                  <c:v>45733</c:v>
                </c:pt>
                <c:pt idx="215">
                  <c:v>45734</c:v>
                </c:pt>
                <c:pt idx="216">
                  <c:v>45735</c:v>
                </c:pt>
                <c:pt idx="217">
                  <c:v>45736</c:v>
                </c:pt>
                <c:pt idx="218">
                  <c:v>45737</c:v>
                </c:pt>
                <c:pt idx="219">
                  <c:v>45738</c:v>
                </c:pt>
                <c:pt idx="220">
                  <c:v>45739</c:v>
                </c:pt>
                <c:pt idx="221">
                  <c:v>45740</c:v>
                </c:pt>
                <c:pt idx="222">
                  <c:v>45741</c:v>
                </c:pt>
                <c:pt idx="223">
                  <c:v>45742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ConceptDemo!$AD$18:$AD$395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ConceptDemo!$AC$17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45519</c:v>
                </c:pt>
                <c:pt idx="1">
                  <c:v>45520</c:v>
                </c:pt>
                <c:pt idx="2">
                  <c:v>45521</c:v>
                </c:pt>
                <c:pt idx="3">
                  <c:v>45522</c:v>
                </c:pt>
                <c:pt idx="4">
                  <c:v>45523</c:v>
                </c:pt>
                <c:pt idx="5">
                  <c:v>45524</c:v>
                </c:pt>
                <c:pt idx="6">
                  <c:v>45525</c:v>
                </c:pt>
                <c:pt idx="7">
                  <c:v>45526</c:v>
                </c:pt>
                <c:pt idx="8">
                  <c:v>45527</c:v>
                </c:pt>
                <c:pt idx="9">
                  <c:v>45528</c:v>
                </c:pt>
                <c:pt idx="10">
                  <c:v>45529</c:v>
                </c:pt>
                <c:pt idx="11">
                  <c:v>45530</c:v>
                </c:pt>
                <c:pt idx="12">
                  <c:v>45531</c:v>
                </c:pt>
                <c:pt idx="13">
                  <c:v>45532</c:v>
                </c:pt>
                <c:pt idx="14">
                  <c:v>45533</c:v>
                </c:pt>
                <c:pt idx="15">
                  <c:v>45534</c:v>
                </c:pt>
                <c:pt idx="16">
                  <c:v>45535</c:v>
                </c:pt>
                <c:pt idx="17">
                  <c:v>45536</c:v>
                </c:pt>
                <c:pt idx="18">
                  <c:v>45537</c:v>
                </c:pt>
                <c:pt idx="19">
                  <c:v>45538</c:v>
                </c:pt>
                <c:pt idx="20">
                  <c:v>45539</c:v>
                </c:pt>
                <c:pt idx="21">
                  <c:v>45540</c:v>
                </c:pt>
                <c:pt idx="22">
                  <c:v>45541</c:v>
                </c:pt>
                <c:pt idx="23">
                  <c:v>45542</c:v>
                </c:pt>
                <c:pt idx="24">
                  <c:v>45543</c:v>
                </c:pt>
                <c:pt idx="25">
                  <c:v>45544</c:v>
                </c:pt>
                <c:pt idx="26">
                  <c:v>45545</c:v>
                </c:pt>
                <c:pt idx="27">
                  <c:v>45546</c:v>
                </c:pt>
                <c:pt idx="28">
                  <c:v>45547</c:v>
                </c:pt>
                <c:pt idx="29">
                  <c:v>45548</c:v>
                </c:pt>
                <c:pt idx="30">
                  <c:v>45549</c:v>
                </c:pt>
                <c:pt idx="31">
                  <c:v>45550</c:v>
                </c:pt>
                <c:pt idx="32">
                  <c:v>45551</c:v>
                </c:pt>
                <c:pt idx="33">
                  <c:v>45552</c:v>
                </c:pt>
                <c:pt idx="34">
                  <c:v>45553</c:v>
                </c:pt>
                <c:pt idx="35">
                  <c:v>45554</c:v>
                </c:pt>
                <c:pt idx="36">
                  <c:v>45555</c:v>
                </c:pt>
                <c:pt idx="37">
                  <c:v>45556</c:v>
                </c:pt>
                <c:pt idx="38">
                  <c:v>45557</c:v>
                </c:pt>
                <c:pt idx="39">
                  <c:v>45558</c:v>
                </c:pt>
                <c:pt idx="40">
                  <c:v>45559</c:v>
                </c:pt>
                <c:pt idx="41">
                  <c:v>45560</c:v>
                </c:pt>
                <c:pt idx="42">
                  <c:v>45561</c:v>
                </c:pt>
                <c:pt idx="43">
                  <c:v>45562</c:v>
                </c:pt>
                <c:pt idx="44">
                  <c:v>45563</c:v>
                </c:pt>
                <c:pt idx="45">
                  <c:v>45564</c:v>
                </c:pt>
                <c:pt idx="46">
                  <c:v>45565</c:v>
                </c:pt>
                <c:pt idx="47">
                  <c:v>45566</c:v>
                </c:pt>
                <c:pt idx="48">
                  <c:v>45567</c:v>
                </c:pt>
                <c:pt idx="49">
                  <c:v>45568</c:v>
                </c:pt>
                <c:pt idx="50">
                  <c:v>45569</c:v>
                </c:pt>
                <c:pt idx="51">
                  <c:v>45570</c:v>
                </c:pt>
                <c:pt idx="52">
                  <c:v>45571</c:v>
                </c:pt>
                <c:pt idx="53">
                  <c:v>45572</c:v>
                </c:pt>
                <c:pt idx="54">
                  <c:v>45573</c:v>
                </c:pt>
                <c:pt idx="55">
                  <c:v>45574</c:v>
                </c:pt>
                <c:pt idx="56">
                  <c:v>45575</c:v>
                </c:pt>
                <c:pt idx="57">
                  <c:v>45576</c:v>
                </c:pt>
                <c:pt idx="58">
                  <c:v>45577</c:v>
                </c:pt>
                <c:pt idx="59">
                  <c:v>45578</c:v>
                </c:pt>
                <c:pt idx="60">
                  <c:v>45579</c:v>
                </c:pt>
                <c:pt idx="61">
                  <c:v>45580</c:v>
                </c:pt>
                <c:pt idx="62">
                  <c:v>45581</c:v>
                </c:pt>
                <c:pt idx="63">
                  <c:v>45582</c:v>
                </c:pt>
                <c:pt idx="64">
                  <c:v>45583</c:v>
                </c:pt>
                <c:pt idx="65">
                  <c:v>45584</c:v>
                </c:pt>
                <c:pt idx="66">
                  <c:v>45585</c:v>
                </c:pt>
                <c:pt idx="67">
                  <c:v>45586</c:v>
                </c:pt>
                <c:pt idx="68">
                  <c:v>45587</c:v>
                </c:pt>
                <c:pt idx="69">
                  <c:v>45588</c:v>
                </c:pt>
                <c:pt idx="70">
                  <c:v>45589</c:v>
                </c:pt>
                <c:pt idx="71">
                  <c:v>45590</c:v>
                </c:pt>
                <c:pt idx="72">
                  <c:v>45591</c:v>
                </c:pt>
                <c:pt idx="73">
                  <c:v>45592</c:v>
                </c:pt>
                <c:pt idx="74">
                  <c:v>45593</c:v>
                </c:pt>
                <c:pt idx="75">
                  <c:v>45594</c:v>
                </c:pt>
                <c:pt idx="76">
                  <c:v>45595</c:v>
                </c:pt>
                <c:pt idx="77">
                  <c:v>45596</c:v>
                </c:pt>
                <c:pt idx="78">
                  <c:v>45597</c:v>
                </c:pt>
                <c:pt idx="79">
                  <c:v>45598</c:v>
                </c:pt>
                <c:pt idx="80">
                  <c:v>45599</c:v>
                </c:pt>
                <c:pt idx="81">
                  <c:v>45600</c:v>
                </c:pt>
                <c:pt idx="82">
                  <c:v>45601</c:v>
                </c:pt>
                <c:pt idx="83">
                  <c:v>45602</c:v>
                </c:pt>
                <c:pt idx="84">
                  <c:v>45603</c:v>
                </c:pt>
                <c:pt idx="85">
                  <c:v>45604</c:v>
                </c:pt>
                <c:pt idx="86">
                  <c:v>45605</c:v>
                </c:pt>
                <c:pt idx="87">
                  <c:v>45606</c:v>
                </c:pt>
                <c:pt idx="88">
                  <c:v>45607</c:v>
                </c:pt>
                <c:pt idx="89">
                  <c:v>45608</c:v>
                </c:pt>
                <c:pt idx="90">
                  <c:v>45609</c:v>
                </c:pt>
                <c:pt idx="91">
                  <c:v>45610</c:v>
                </c:pt>
                <c:pt idx="92">
                  <c:v>45611</c:v>
                </c:pt>
                <c:pt idx="93">
                  <c:v>45612</c:v>
                </c:pt>
                <c:pt idx="94">
                  <c:v>45613</c:v>
                </c:pt>
                <c:pt idx="95">
                  <c:v>45614</c:v>
                </c:pt>
                <c:pt idx="96">
                  <c:v>45615</c:v>
                </c:pt>
                <c:pt idx="97">
                  <c:v>45616</c:v>
                </c:pt>
                <c:pt idx="98">
                  <c:v>45617</c:v>
                </c:pt>
                <c:pt idx="99">
                  <c:v>45618</c:v>
                </c:pt>
                <c:pt idx="100">
                  <c:v>45619</c:v>
                </c:pt>
                <c:pt idx="101">
                  <c:v>45620</c:v>
                </c:pt>
                <c:pt idx="102">
                  <c:v>45621</c:v>
                </c:pt>
                <c:pt idx="103">
                  <c:v>45622</c:v>
                </c:pt>
                <c:pt idx="104">
                  <c:v>45623</c:v>
                </c:pt>
                <c:pt idx="105">
                  <c:v>45624</c:v>
                </c:pt>
                <c:pt idx="106">
                  <c:v>45625</c:v>
                </c:pt>
                <c:pt idx="107">
                  <c:v>45626</c:v>
                </c:pt>
                <c:pt idx="108">
                  <c:v>45627</c:v>
                </c:pt>
                <c:pt idx="109">
                  <c:v>45628</c:v>
                </c:pt>
                <c:pt idx="110">
                  <c:v>45629</c:v>
                </c:pt>
                <c:pt idx="111">
                  <c:v>45630</c:v>
                </c:pt>
                <c:pt idx="112">
                  <c:v>45631</c:v>
                </c:pt>
                <c:pt idx="113">
                  <c:v>45632</c:v>
                </c:pt>
                <c:pt idx="114">
                  <c:v>45633</c:v>
                </c:pt>
                <c:pt idx="115">
                  <c:v>45634</c:v>
                </c:pt>
                <c:pt idx="116">
                  <c:v>45635</c:v>
                </c:pt>
                <c:pt idx="117">
                  <c:v>45636</c:v>
                </c:pt>
                <c:pt idx="118">
                  <c:v>45637</c:v>
                </c:pt>
                <c:pt idx="119">
                  <c:v>45638</c:v>
                </c:pt>
                <c:pt idx="120">
                  <c:v>45639</c:v>
                </c:pt>
                <c:pt idx="121">
                  <c:v>45640</c:v>
                </c:pt>
                <c:pt idx="122">
                  <c:v>45641</c:v>
                </c:pt>
                <c:pt idx="123">
                  <c:v>45642</c:v>
                </c:pt>
                <c:pt idx="124">
                  <c:v>45643</c:v>
                </c:pt>
                <c:pt idx="125">
                  <c:v>45644</c:v>
                </c:pt>
                <c:pt idx="126">
                  <c:v>45645</c:v>
                </c:pt>
                <c:pt idx="127">
                  <c:v>45646</c:v>
                </c:pt>
                <c:pt idx="128">
                  <c:v>45647</c:v>
                </c:pt>
                <c:pt idx="129">
                  <c:v>45648</c:v>
                </c:pt>
                <c:pt idx="130">
                  <c:v>45649</c:v>
                </c:pt>
                <c:pt idx="131">
                  <c:v>45650</c:v>
                </c:pt>
                <c:pt idx="132">
                  <c:v>45651</c:v>
                </c:pt>
                <c:pt idx="133">
                  <c:v>45652</c:v>
                </c:pt>
                <c:pt idx="134">
                  <c:v>45653</c:v>
                </c:pt>
                <c:pt idx="135">
                  <c:v>45654</c:v>
                </c:pt>
                <c:pt idx="136">
                  <c:v>45655</c:v>
                </c:pt>
                <c:pt idx="137">
                  <c:v>45656</c:v>
                </c:pt>
                <c:pt idx="138">
                  <c:v>45657</c:v>
                </c:pt>
                <c:pt idx="139">
                  <c:v>45658</c:v>
                </c:pt>
                <c:pt idx="140">
                  <c:v>45659</c:v>
                </c:pt>
                <c:pt idx="141">
                  <c:v>45660</c:v>
                </c:pt>
                <c:pt idx="142">
                  <c:v>45661</c:v>
                </c:pt>
                <c:pt idx="143">
                  <c:v>45662</c:v>
                </c:pt>
                <c:pt idx="144">
                  <c:v>45663</c:v>
                </c:pt>
                <c:pt idx="145">
                  <c:v>45664</c:v>
                </c:pt>
                <c:pt idx="146">
                  <c:v>45665</c:v>
                </c:pt>
                <c:pt idx="147">
                  <c:v>45666</c:v>
                </c:pt>
                <c:pt idx="148">
                  <c:v>45667</c:v>
                </c:pt>
                <c:pt idx="149">
                  <c:v>45668</c:v>
                </c:pt>
                <c:pt idx="150">
                  <c:v>45669</c:v>
                </c:pt>
                <c:pt idx="151">
                  <c:v>45670</c:v>
                </c:pt>
                <c:pt idx="152">
                  <c:v>45671</c:v>
                </c:pt>
                <c:pt idx="153">
                  <c:v>45672</c:v>
                </c:pt>
                <c:pt idx="154">
                  <c:v>45673</c:v>
                </c:pt>
                <c:pt idx="155">
                  <c:v>45674</c:v>
                </c:pt>
                <c:pt idx="156">
                  <c:v>45675</c:v>
                </c:pt>
                <c:pt idx="157">
                  <c:v>45676</c:v>
                </c:pt>
                <c:pt idx="158">
                  <c:v>45677</c:v>
                </c:pt>
                <c:pt idx="159">
                  <c:v>45678</c:v>
                </c:pt>
                <c:pt idx="160">
                  <c:v>45679</c:v>
                </c:pt>
                <c:pt idx="161">
                  <c:v>45680</c:v>
                </c:pt>
                <c:pt idx="162">
                  <c:v>45681</c:v>
                </c:pt>
                <c:pt idx="163">
                  <c:v>45682</c:v>
                </c:pt>
                <c:pt idx="164">
                  <c:v>45683</c:v>
                </c:pt>
                <c:pt idx="165">
                  <c:v>45684</c:v>
                </c:pt>
                <c:pt idx="166">
                  <c:v>45685</c:v>
                </c:pt>
                <c:pt idx="167">
                  <c:v>45686</c:v>
                </c:pt>
                <c:pt idx="168">
                  <c:v>45687</c:v>
                </c:pt>
                <c:pt idx="169">
                  <c:v>45688</c:v>
                </c:pt>
                <c:pt idx="170">
                  <c:v>45689</c:v>
                </c:pt>
                <c:pt idx="171">
                  <c:v>45690</c:v>
                </c:pt>
                <c:pt idx="172">
                  <c:v>45691</c:v>
                </c:pt>
                <c:pt idx="173">
                  <c:v>45692</c:v>
                </c:pt>
                <c:pt idx="174">
                  <c:v>45693</c:v>
                </c:pt>
                <c:pt idx="175">
                  <c:v>45694</c:v>
                </c:pt>
                <c:pt idx="176">
                  <c:v>45695</c:v>
                </c:pt>
                <c:pt idx="177">
                  <c:v>45696</c:v>
                </c:pt>
                <c:pt idx="178">
                  <c:v>45697</c:v>
                </c:pt>
                <c:pt idx="179">
                  <c:v>45698</c:v>
                </c:pt>
                <c:pt idx="180">
                  <c:v>45699</c:v>
                </c:pt>
                <c:pt idx="181">
                  <c:v>45700</c:v>
                </c:pt>
                <c:pt idx="182">
                  <c:v>45701</c:v>
                </c:pt>
                <c:pt idx="183">
                  <c:v>45702</c:v>
                </c:pt>
                <c:pt idx="184">
                  <c:v>45703</c:v>
                </c:pt>
                <c:pt idx="185">
                  <c:v>45704</c:v>
                </c:pt>
                <c:pt idx="186">
                  <c:v>45705</c:v>
                </c:pt>
                <c:pt idx="187">
                  <c:v>45706</c:v>
                </c:pt>
                <c:pt idx="188">
                  <c:v>45707</c:v>
                </c:pt>
                <c:pt idx="189">
                  <c:v>45708</c:v>
                </c:pt>
                <c:pt idx="190">
                  <c:v>45709</c:v>
                </c:pt>
                <c:pt idx="191">
                  <c:v>45710</c:v>
                </c:pt>
                <c:pt idx="192">
                  <c:v>45711</c:v>
                </c:pt>
                <c:pt idx="193">
                  <c:v>45712</c:v>
                </c:pt>
                <c:pt idx="194">
                  <c:v>45713</c:v>
                </c:pt>
                <c:pt idx="195">
                  <c:v>45714</c:v>
                </c:pt>
                <c:pt idx="196">
                  <c:v>45715</c:v>
                </c:pt>
                <c:pt idx="197">
                  <c:v>45716</c:v>
                </c:pt>
                <c:pt idx="198">
                  <c:v>45717</c:v>
                </c:pt>
                <c:pt idx="199">
                  <c:v>45718</c:v>
                </c:pt>
                <c:pt idx="200">
                  <c:v>45719</c:v>
                </c:pt>
                <c:pt idx="201">
                  <c:v>45720</c:v>
                </c:pt>
                <c:pt idx="202">
                  <c:v>45721</c:v>
                </c:pt>
                <c:pt idx="203">
                  <c:v>45722</c:v>
                </c:pt>
                <c:pt idx="204">
                  <c:v>45723</c:v>
                </c:pt>
                <c:pt idx="205">
                  <c:v>45724</c:v>
                </c:pt>
                <c:pt idx="206">
                  <c:v>45725</c:v>
                </c:pt>
                <c:pt idx="207">
                  <c:v>45726</c:v>
                </c:pt>
                <c:pt idx="208">
                  <c:v>45727</c:v>
                </c:pt>
                <c:pt idx="209">
                  <c:v>45728</c:v>
                </c:pt>
                <c:pt idx="210">
                  <c:v>45729</c:v>
                </c:pt>
                <c:pt idx="211">
                  <c:v>45730</c:v>
                </c:pt>
                <c:pt idx="212">
                  <c:v>45731</c:v>
                </c:pt>
                <c:pt idx="213">
                  <c:v>45732</c:v>
                </c:pt>
                <c:pt idx="214">
                  <c:v>45733</c:v>
                </c:pt>
                <c:pt idx="215">
                  <c:v>45734</c:v>
                </c:pt>
                <c:pt idx="216">
                  <c:v>45735</c:v>
                </c:pt>
                <c:pt idx="217">
                  <c:v>45736</c:v>
                </c:pt>
                <c:pt idx="218">
                  <c:v>45737</c:v>
                </c:pt>
                <c:pt idx="219">
                  <c:v>45738</c:v>
                </c:pt>
                <c:pt idx="220">
                  <c:v>45739</c:v>
                </c:pt>
                <c:pt idx="221">
                  <c:v>45740</c:v>
                </c:pt>
                <c:pt idx="222">
                  <c:v>45741</c:v>
                </c:pt>
                <c:pt idx="223">
                  <c:v>45742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0.55339052495274643</c:v>
                </c:pt>
                <c:pt idx="4">
                  <c:v>3.5733905249527425</c:v>
                </c:pt>
                <c:pt idx="5">
                  <c:v>5.7633905249527402</c:v>
                </c:pt>
                <c:pt idx="6">
                  <c:v>7.8033905249527464</c:v>
                </c:pt>
                <c:pt idx="7">
                  <c:v>9.0433905249527555</c:v>
                </c:pt>
                <c:pt idx="8">
                  <c:v>10.313390524952752</c:v>
                </c:pt>
                <c:pt idx="9">
                  <c:v>15.613390524952749</c:v>
                </c:pt>
                <c:pt idx="10">
                  <c:v>18.153390524952741</c:v>
                </c:pt>
                <c:pt idx="11">
                  <c:v>19.043390524952741</c:v>
                </c:pt>
                <c:pt idx="12">
                  <c:v>19.333390524952733</c:v>
                </c:pt>
                <c:pt idx="13">
                  <c:v>19.563390524952723</c:v>
                </c:pt>
                <c:pt idx="14">
                  <c:v>20.72339052495272</c:v>
                </c:pt>
                <c:pt idx="15">
                  <c:v>23.463390524952715</c:v>
                </c:pt>
                <c:pt idx="16">
                  <c:v>24.403390524952712</c:v>
                </c:pt>
                <c:pt idx="17">
                  <c:v>25.153390524952712</c:v>
                </c:pt>
                <c:pt idx="18">
                  <c:v>25.263390524952712</c:v>
                </c:pt>
                <c:pt idx="19">
                  <c:v>26.953390524952709</c:v>
                </c:pt>
                <c:pt idx="20">
                  <c:v>30.613390524952706</c:v>
                </c:pt>
                <c:pt idx="21">
                  <c:v>32.323390524952714</c:v>
                </c:pt>
                <c:pt idx="22">
                  <c:v>32.86339052495272</c:v>
                </c:pt>
                <c:pt idx="23">
                  <c:v>34.873390524952725</c:v>
                </c:pt>
                <c:pt idx="24">
                  <c:v>36.313390524952737</c:v>
                </c:pt>
                <c:pt idx="25">
                  <c:v>36.313390524952737</c:v>
                </c:pt>
                <c:pt idx="26">
                  <c:v>36.451970235097662</c:v>
                </c:pt>
                <c:pt idx="27">
                  <c:v>37.961970235097652</c:v>
                </c:pt>
                <c:pt idx="28">
                  <c:v>40.821970235097652</c:v>
                </c:pt>
                <c:pt idx="29">
                  <c:v>41.941970235097656</c:v>
                </c:pt>
                <c:pt idx="30">
                  <c:v>42.881970235097668</c:v>
                </c:pt>
                <c:pt idx="31">
                  <c:v>44.191970235097656</c:v>
                </c:pt>
                <c:pt idx="32">
                  <c:v>44.51197023509765</c:v>
                </c:pt>
                <c:pt idx="33">
                  <c:v>44.621970235097649</c:v>
                </c:pt>
                <c:pt idx="34">
                  <c:v>45.911970235097641</c:v>
                </c:pt>
                <c:pt idx="35">
                  <c:v>45.921970235097646</c:v>
                </c:pt>
                <c:pt idx="36">
                  <c:v>46.081970235097643</c:v>
                </c:pt>
                <c:pt idx="37">
                  <c:v>47.831970235097643</c:v>
                </c:pt>
                <c:pt idx="38">
                  <c:v>48.771970235097641</c:v>
                </c:pt>
                <c:pt idx="39">
                  <c:v>50.811970235097633</c:v>
                </c:pt>
                <c:pt idx="40">
                  <c:v>51.61197023509763</c:v>
                </c:pt>
                <c:pt idx="41">
                  <c:v>53.421970235097632</c:v>
                </c:pt>
                <c:pt idx="42">
                  <c:v>53.61197023509763</c:v>
                </c:pt>
                <c:pt idx="43">
                  <c:v>55.421970235097632</c:v>
                </c:pt>
                <c:pt idx="44">
                  <c:v>56.461970235097638</c:v>
                </c:pt>
                <c:pt idx="45">
                  <c:v>59.291970235097637</c:v>
                </c:pt>
                <c:pt idx="46">
                  <c:v>63.781970235097646</c:v>
                </c:pt>
                <c:pt idx="47">
                  <c:v>65.611970235097644</c:v>
                </c:pt>
                <c:pt idx="48">
                  <c:v>67.861970235097644</c:v>
                </c:pt>
                <c:pt idx="49">
                  <c:v>67.861970235097644</c:v>
                </c:pt>
                <c:pt idx="50">
                  <c:v>68.654468785822274</c:v>
                </c:pt>
                <c:pt idx="51">
                  <c:v>68.654468785822274</c:v>
                </c:pt>
                <c:pt idx="52">
                  <c:v>68.654468785822274</c:v>
                </c:pt>
                <c:pt idx="53">
                  <c:v>69.648308092690584</c:v>
                </c:pt>
                <c:pt idx="54">
                  <c:v>71.16830809269058</c:v>
                </c:pt>
                <c:pt idx="55">
                  <c:v>72.868308092690569</c:v>
                </c:pt>
                <c:pt idx="56">
                  <c:v>72.868308092690569</c:v>
                </c:pt>
                <c:pt idx="57">
                  <c:v>74.840313889792029</c:v>
                </c:pt>
                <c:pt idx="58">
                  <c:v>76.810313889792027</c:v>
                </c:pt>
                <c:pt idx="59">
                  <c:v>79.570313889792033</c:v>
                </c:pt>
                <c:pt idx="60">
                  <c:v>82.320313889792033</c:v>
                </c:pt>
                <c:pt idx="61">
                  <c:v>82.430313889792032</c:v>
                </c:pt>
                <c:pt idx="62">
                  <c:v>82.62031388979203</c:v>
                </c:pt>
                <c:pt idx="63">
                  <c:v>83.290313889792031</c:v>
                </c:pt>
                <c:pt idx="64">
                  <c:v>83.290313889792031</c:v>
                </c:pt>
                <c:pt idx="65">
                  <c:v>83.290313889792031</c:v>
                </c:pt>
                <c:pt idx="66">
                  <c:v>83.290313889792031</c:v>
                </c:pt>
                <c:pt idx="67">
                  <c:v>83.290313889792031</c:v>
                </c:pt>
                <c:pt idx="68">
                  <c:v>83.290313889792031</c:v>
                </c:pt>
                <c:pt idx="69">
                  <c:v>83.290313889792031</c:v>
                </c:pt>
                <c:pt idx="70">
                  <c:v>83.290313889792031</c:v>
                </c:pt>
                <c:pt idx="71">
                  <c:v>83.290313889792031</c:v>
                </c:pt>
                <c:pt idx="72">
                  <c:v>83.290313889792031</c:v>
                </c:pt>
                <c:pt idx="73">
                  <c:v>83.290313889792031</c:v>
                </c:pt>
                <c:pt idx="74">
                  <c:v>83.290313889792031</c:v>
                </c:pt>
                <c:pt idx="75">
                  <c:v>83.290313889792031</c:v>
                </c:pt>
                <c:pt idx="76">
                  <c:v>83.290313889792031</c:v>
                </c:pt>
                <c:pt idx="77">
                  <c:v>83.290313889792031</c:v>
                </c:pt>
                <c:pt idx="78">
                  <c:v>83.290313889792031</c:v>
                </c:pt>
                <c:pt idx="79">
                  <c:v>83.290313889792031</c:v>
                </c:pt>
                <c:pt idx="80">
                  <c:v>83.290313889792031</c:v>
                </c:pt>
                <c:pt idx="81">
                  <c:v>83.290313889792031</c:v>
                </c:pt>
                <c:pt idx="82">
                  <c:v>83.290313889792031</c:v>
                </c:pt>
                <c:pt idx="83">
                  <c:v>83.290313889792031</c:v>
                </c:pt>
                <c:pt idx="84">
                  <c:v>83.290313889792031</c:v>
                </c:pt>
                <c:pt idx="85">
                  <c:v>83.290313889792031</c:v>
                </c:pt>
                <c:pt idx="86">
                  <c:v>83.290313889792031</c:v>
                </c:pt>
                <c:pt idx="87">
                  <c:v>83.290313889792031</c:v>
                </c:pt>
                <c:pt idx="88">
                  <c:v>83.290313889792031</c:v>
                </c:pt>
                <c:pt idx="89">
                  <c:v>83.290313889792031</c:v>
                </c:pt>
                <c:pt idx="90">
                  <c:v>83.290313889792031</c:v>
                </c:pt>
                <c:pt idx="91">
                  <c:v>83.290313889792031</c:v>
                </c:pt>
                <c:pt idx="92">
                  <c:v>83.290313889792031</c:v>
                </c:pt>
                <c:pt idx="93">
                  <c:v>83.290313889792031</c:v>
                </c:pt>
                <c:pt idx="94">
                  <c:v>83.290313889792031</c:v>
                </c:pt>
                <c:pt idx="95">
                  <c:v>83.290313889792031</c:v>
                </c:pt>
                <c:pt idx="96">
                  <c:v>83.290313889792031</c:v>
                </c:pt>
                <c:pt idx="97">
                  <c:v>83.290313889792031</c:v>
                </c:pt>
                <c:pt idx="98">
                  <c:v>83.290313889792031</c:v>
                </c:pt>
                <c:pt idx="99">
                  <c:v>83.290313889792031</c:v>
                </c:pt>
                <c:pt idx="100">
                  <c:v>83.290313889792031</c:v>
                </c:pt>
                <c:pt idx="101">
                  <c:v>83.290313889792031</c:v>
                </c:pt>
                <c:pt idx="102">
                  <c:v>83.290313889792031</c:v>
                </c:pt>
                <c:pt idx="103">
                  <c:v>83.290313889792031</c:v>
                </c:pt>
                <c:pt idx="104">
                  <c:v>83.290313889792031</c:v>
                </c:pt>
                <c:pt idx="105">
                  <c:v>83.290313889792031</c:v>
                </c:pt>
                <c:pt idx="106">
                  <c:v>83.290313889792031</c:v>
                </c:pt>
                <c:pt idx="107">
                  <c:v>83.290313889792031</c:v>
                </c:pt>
                <c:pt idx="108">
                  <c:v>83.290313889792031</c:v>
                </c:pt>
                <c:pt idx="109">
                  <c:v>83.290313889792031</c:v>
                </c:pt>
                <c:pt idx="110">
                  <c:v>83.290313889792031</c:v>
                </c:pt>
                <c:pt idx="111">
                  <c:v>83.290313889792031</c:v>
                </c:pt>
                <c:pt idx="112">
                  <c:v>83.290313889792031</c:v>
                </c:pt>
                <c:pt idx="113">
                  <c:v>83.290313889792031</c:v>
                </c:pt>
                <c:pt idx="114">
                  <c:v>83.290313889792031</c:v>
                </c:pt>
                <c:pt idx="115">
                  <c:v>83.290313889792031</c:v>
                </c:pt>
                <c:pt idx="116">
                  <c:v>83.290313889792031</c:v>
                </c:pt>
                <c:pt idx="117">
                  <c:v>83.290313889792031</c:v>
                </c:pt>
                <c:pt idx="118">
                  <c:v>83.290313889792031</c:v>
                </c:pt>
                <c:pt idx="119">
                  <c:v>83.290313889792031</c:v>
                </c:pt>
                <c:pt idx="120">
                  <c:v>83.290313889792031</c:v>
                </c:pt>
                <c:pt idx="121">
                  <c:v>83.290313889792031</c:v>
                </c:pt>
                <c:pt idx="122">
                  <c:v>83.290313889792031</c:v>
                </c:pt>
                <c:pt idx="123">
                  <c:v>83.290313889792031</c:v>
                </c:pt>
                <c:pt idx="124">
                  <c:v>83.290313889792031</c:v>
                </c:pt>
                <c:pt idx="125">
                  <c:v>83.290313889792031</c:v>
                </c:pt>
                <c:pt idx="126">
                  <c:v>83.290313889792031</c:v>
                </c:pt>
                <c:pt idx="127">
                  <c:v>83.290313889792031</c:v>
                </c:pt>
                <c:pt idx="128">
                  <c:v>83.290313889792031</c:v>
                </c:pt>
                <c:pt idx="129">
                  <c:v>83.290313889792031</c:v>
                </c:pt>
                <c:pt idx="130">
                  <c:v>83.290313889792031</c:v>
                </c:pt>
                <c:pt idx="131">
                  <c:v>83.290313889792031</c:v>
                </c:pt>
                <c:pt idx="132">
                  <c:v>83.290313889792031</c:v>
                </c:pt>
                <c:pt idx="133">
                  <c:v>83.290313889792031</c:v>
                </c:pt>
                <c:pt idx="134">
                  <c:v>83.290313889792031</c:v>
                </c:pt>
                <c:pt idx="135">
                  <c:v>83.290313889792031</c:v>
                </c:pt>
                <c:pt idx="136">
                  <c:v>83.290313889792031</c:v>
                </c:pt>
                <c:pt idx="137">
                  <c:v>83.290313889792031</c:v>
                </c:pt>
                <c:pt idx="138">
                  <c:v>83.290313889792031</c:v>
                </c:pt>
                <c:pt idx="139">
                  <c:v>83.290313889792031</c:v>
                </c:pt>
                <c:pt idx="140">
                  <c:v>83.290313889792031</c:v>
                </c:pt>
                <c:pt idx="141">
                  <c:v>83.290313889792031</c:v>
                </c:pt>
                <c:pt idx="142">
                  <c:v>83.290313889792031</c:v>
                </c:pt>
                <c:pt idx="143">
                  <c:v>83.290313889792031</c:v>
                </c:pt>
                <c:pt idx="144">
                  <c:v>83.290313889792031</c:v>
                </c:pt>
                <c:pt idx="145">
                  <c:v>83.290313889792031</c:v>
                </c:pt>
                <c:pt idx="146">
                  <c:v>83.290313889792031</c:v>
                </c:pt>
                <c:pt idx="147">
                  <c:v>83.290313889792031</c:v>
                </c:pt>
                <c:pt idx="148">
                  <c:v>83.290313889792031</c:v>
                </c:pt>
                <c:pt idx="149">
                  <c:v>83.290313889792031</c:v>
                </c:pt>
                <c:pt idx="150">
                  <c:v>83.290313889792031</c:v>
                </c:pt>
                <c:pt idx="151">
                  <c:v>83.290313889792031</c:v>
                </c:pt>
                <c:pt idx="152">
                  <c:v>83.290313889792031</c:v>
                </c:pt>
                <c:pt idx="153">
                  <c:v>83.290313889792031</c:v>
                </c:pt>
                <c:pt idx="154">
                  <c:v>83.290313889792031</c:v>
                </c:pt>
                <c:pt idx="155">
                  <c:v>83.290313889792031</c:v>
                </c:pt>
                <c:pt idx="156">
                  <c:v>83.290313889792031</c:v>
                </c:pt>
                <c:pt idx="157">
                  <c:v>83.290313889792031</c:v>
                </c:pt>
                <c:pt idx="158">
                  <c:v>83.290313889792031</c:v>
                </c:pt>
                <c:pt idx="159">
                  <c:v>83.290313889792031</c:v>
                </c:pt>
                <c:pt idx="160">
                  <c:v>83.290313889792031</c:v>
                </c:pt>
                <c:pt idx="161">
                  <c:v>83.290313889792031</c:v>
                </c:pt>
                <c:pt idx="162">
                  <c:v>83.290313889792031</c:v>
                </c:pt>
                <c:pt idx="163">
                  <c:v>83.290313889792031</c:v>
                </c:pt>
                <c:pt idx="164">
                  <c:v>83.290313889792031</c:v>
                </c:pt>
                <c:pt idx="165">
                  <c:v>83.290313889792031</c:v>
                </c:pt>
                <c:pt idx="166">
                  <c:v>83.290313889792031</c:v>
                </c:pt>
                <c:pt idx="167">
                  <c:v>83.290313889792031</c:v>
                </c:pt>
                <c:pt idx="168">
                  <c:v>83.290313889792031</c:v>
                </c:pt>
                <c:pt idx="169">
                  <c:v>83.290313889792031</c:v>
                </c:pt>
                <c:pt idx="170">
                  <c:v>83.290313889792031</c:v>
                </c:pt>
                <c:pt idx="171">
                  <c:v>83.290313889792031</c:v>
                </c:pt>
                <c:pt idx="172">
                  <c:v>83.290313889792031</c:v>
                </c:pt>
                <c:pt idx="173">
                  <c:v>83.290313889792031</c:v>
                </c:pt>
                <c:pt idx="174">
                  <c:v>83.290313889792031</c:v>
                </c:pt>
                <c:pt idx="175">
                  <c:v>83.290313889792031</c:v>
                </c:pt>
                <c:pt idx="176">
                  <c:v>83.290313889792031</c:v>
                </c:pt>
                <c:pt idx="177">
                  <c:v>83.290313889792031</c:v>
                </c:pt>
                <c:pt idx="178">
                  <c:v>83.290313889792031</c:v>
                </c:pt>
                <c:pt idx="179">
                  <c:v>83.290313889792031</c:v>
                </c:pt>
                <c:pt idx="180">
                  <c:v>83.290313889792031</c:v>
                </c:pt>
                <c:pt idx="181">
                  <c:v>83.290313889792031</c:v>
                </c:pt>
                <c:pt idx="182">
                  <c:v>83.290313889792031</c:v>
                </c:pt>
                <c:pt idx="183">
                  <c:v>83.290313889792031</c:v>
                </c:pt>
                <c:pt idx="184">
                  <c:v>83.290313889792031</c:v>
                </c:pt>
                <c:pt idx="185">
                  <c:v>83.290313889792031</c:v>
                </c:pt>
                <c:pt idx="186">
                  <c:v>83.290313889792031</c:v>
                </c:pt>
                <c:pt idx="187">
                  <c:v>83.290313889792031</c:v>
                </c:pt>
                <c:pt idx="188">
                  <c:v>83.290313889792031</c:v>
                </c:pt>
                <c:pt idx="189">
                  <c:v>83.290313889792031</c:v>
                </c:pt>
                <c:pt idx="190">
                  <c:v>83.290313889792031</c:v>
                </c:pt>
                <c:pt idx="191">
                  <c:v>83.290313889792031</c:v>
                </c:pt>
                <c:pt idx="192">
                  <c:v>83.290313889792031</c:v>
                </c:pt>
                <c:pt idx="193">
                  <c:v>83.290313889792031</c:v>
                </c:pt>
                <c:pt idx="194">
                  <c:v>83.290313889792031</c:v>
                </c:pt>
                <c:pt idx="195">
                  <c:v>83.290313889792031</c:v>
                </c:pt>
                <c:pt idx="196">
                  <c:v>83.290313889792031</c:v>
                </c:pt>
                <c:pt idx="197">
                  <c:v>83.290313889792031</c:v>
                </c:pt>
                <c:pt idx="198">
                  <c:v>83.290313889792031</c:v>
                </c:pt>
                <c:pt idx="199">
                  <c:v>83.290313889792031</c:v>
                </c:pt>
                <c:pt idx="200">
                  <c:v>83.290313889792031</c:v>
                </c:pt>
                <c:pt idx="201">
                  <c:v>83.290313889792031</c:v>
                </c:pt>
                <c:pt idx="202">
                  <c:v>83.290313889792031</c:v>
                </c:pt>
                <c:pt idx="203">
                  <c:v>83.290313889792031</c:v>
                </c:pt>
                <c:pt idx="204">
                  <c:v>83.290313889792031</c:v>
                </c:pt>
                <c:pt idx="205">
                  <c:v>83.290313889792031</c:v>
                </c:pt>
                <c:pt idx="206">
                  <c:v>83.290313889792031</c:v>
                </c:pt>
                <c:pt idx="207">
                  <c:v>83.290313889792031</c:v>
                </c:pt>
                <c:pt idx="208">
                  <c:v>83.290313889792031</c:v>
                </c:pt>
                <c:pt idx="209">
                  <c:v>83.290313889792031</c:v>
                </c:pt>
                <c:pt idx="210">
                  <c:v>83.290313889792031</c:v>
                </c:pt>
                <c:pt idx="211">
                  <c:v>83.290313889792031</c:v>
                </c:pt>
                <c:pt idx="212">
                  <c:v>83.290313889792031</c:v>
                </c:pt>
                <c:pt idx="213">
                  <c:v>83.290313889792031</c:v>
                </c:pt>
                <c:pt idx="214">
                  <c:v>83.290313889792031</c:v>
                </c:pt>
                <c:pt idx="215">
                  <c:v>83.290313889792031</c:v>
                </c:pt>
                <c:pt idx="216">
                  <c:v>83.290313889792031</c:v>
                </c:pt>
                <c:pt idx="217">
                  <c:v>83.290313889792031</c:v>
                </c:pt>
                <c:pt idx="218">
                  <c:v>83.290313889792031</c:v>
                </c:pt>
                <c:pt idx="219">
                  <c:v>83.290313889792031</c:v>
                </c:pt>
                <c:pt idx="220">
                  <c:v>83.290313889792031</c:v>
                </c:pt>
                <c:pt idx="221">
                  <c:v>83.290313889792031</c:v>
                </c:pt>
                <c:pt idx="222">
                  <c:v>83.290313889792031</c:v>
                </c:pt>
                <c:pt idx="223">
                  <c:v>83.290313889792031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ConceptDemo!$AE$17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45519</c:v>
                </c:pt>
                <c:pt idx="1">
                  <c:v>45520</c:v>
                </c:pt>
                <c:pt idx="2">
                  <c:v>45521</c:v>
                </c:pt>
                <c:pt idx="3">
                  <c:v>45522</c:v>
                </c:pt>
                <c:pt idx="4">
                  <c:v>45523</c:v>
                </c:pt>
                <c:pt idx="5">
                  <c:v>45524</c:v>
                </c:pt>
                <c:pt idx="6">
                  <c:v>45525</c:v>
                </c:pt>
                <c:pt idx="7">
                  <c:v>45526</c:v>
                </c:pt>
                <c:pt idx="8">
                  <c:v>45527</c:v>
                </c:pt>
                <c:pt idx="9">
                  <c:v>45528</c:v>
                </c:pt>
                <c:pt idx="10">
                  <c:v>45529</c:v>
                </c:pt>
                <c:pt idx="11">
                  <c:v>45530</c:v>
                </c:pt>
                <c:pt idx="12">
                  <c:v>45531</c:v>
                </c:pt>
                <c:pt idx="13">
                  <c:v>45532</c:v>
                </c:pt>
                <c:pt idx="14">
                  <c:v>45533</c:v>
                </c:pt>
                <c:pt idx="15">
                  <c:v>45534</c:v>
                </c:pt>
                <c:pt idx="16">
                  <c:v>45535</c:v>
                </c:pt>
                <c:pt idx="17">
                  <c:v>45536</c:v>
                </c:pt>
                <c:pt idx="18">
                  <c:v>45537</c:v>
                </c:pt>
                <c:pt idx="19">
                  <c:v>45538</c:v>
                </c:pt>
                <c:pt idx="20">
                  <c:v>45539</c:v>
                </c:pt>
                <c:pt idx="21">
                  <c:v>45540</c:v>
                </c:pt>
                <c:pt idx="22">
                  <c:v>45541</c:v>
                </c:pt>
                <c:pt idx="23">
                  <c:v>45542</c:v>
                </c:pt>
                <c:pt idx="24">
                  <c:v>45543</c:v>
                </c:pt>
                <c:pt idx="25">
                  <c:v>45544</c:v>
                </c:pt>
                <c:pt idx="26">
                  <c:v>45545</c:v>
                </c:pt>
                <c:pt idx="27">
                  <c:v>45546</c:v>
                </c:pt>
                <c:pt idx="28">
                  <c:v>45547</c:v>
                </c:pt>
                <c:pt idx="29">
                  <c:v>45548</c:v>
                </c:pt>
                <c:pt idx="30">
                  <c:v>45549</c:v>
                </c:pt>
                <c:pt idx="31">
                  <c:v>45550</c:v>
                </c:pt>
                <c:pt idx="32">
                  <c:v>45551</c:v>
                </c:pt>
                <c:pt idx="33">
                  <c:v>45552</c:v>
                </c:pt>
                <c:pt idx="34">
                  <c:v>45553</c:v>
                </c:pt>
                <c:pt idx="35">
                  <c:v>45554</c:v>
                </c:pt>
                <c:pt idx="36">
                  <c:v>45555</c:v>
                </c:pt>
                <c:pt idx="37">
                  <c:v>45556</c:v>
                </c:pt>
                <c:pt idx="38">
                  <c:v>45557</c:v>
                </c:pt>
                <c:pt idx="39">
                  <c:v>45558</c:v>
                </c:pt>
                <c:pt idx="40">
                  <c:v>45559</c:v>
                </c:pt>
                <c:pt idx="41">
                  <c:v>45560</c:v>
                </c:pt>
                <c:pt idx="42">
                  <c:v>45561</c:v>
                </c:pt>
                <c:pt idx="43">
                  <c:v>45562</c:v>
                </c:pt>
                <c:pt idx="44">
                  <c:v>45563</c:v>
                </c:pt>
                <c:pt idx="45">
                  <c:v>45564</c:v>
                </c:pt>
                <c:pt idx="46">
                  <c:v>45565</c:v>
                </c:pt>
                <c:pt idx="47">
                  <c:v>45566</c:v>
                </c:pt>
                <c:pt idx="48">
                  <c:v>45567</c:v>
                </c:pt>
                <c:pt idx="49">
                  <c:v>45568</c:v>
                </c:pt>
                <c:pt idx="50">
                  <c:v>45569</c:v>
                </c:pt>
                <c:pt idx="51">
                  <c:v>45570</c:v>
                </c:pt>
                <c:pt idx="52">
                  <c:v>45571</c:v>
                </c:pt>
                <c:pt idx="53">
                  <c:v>45572</c:v>
                </c:pt>
                <c:pt idx="54">
                  <c:v>45573</c:v>
                </c:pt>
                <c:pt idx="55">
                  <c:v>45574</c:v>
                </c:pt>
                <c:pt idx="56">
                  <c:v>45575</c:v>
                </c:pt>
                <c:pt idx="57">
                  <c:v>45576</c:v>
                </c:pt>
                <c:pt idx="58">
                  <c:v>45577</c:v>
                </c:pt>
                <c:pt idx="59">
                  <c:v>45578</c:v>
                </c:pt>
                <c:pt idx="60">
                  <c:v>45579</c:v>
                </c:pt>
                <c:pt idx="61">
                  <c:v>45580</c:v>
                </c:pt>
                <c:pt idx="62">
                  <c:v>45581</c:v>
                </c:pt>
                <c:pt idx="63">
                  <c:v>45582</c:v>
                </c:pt>
                <c:pt idx="64">
                  <c:v>45583</c:v>
                </c:pt>
                <c:pt idx="65">
                  <c:v>45584</c:v>
                </c:pt>
                <c:pt idx="66">
                  <c:v>45585</c:v>
                </c:pt>
                <c:pt idx="67">
                  <c:v>45586</c:v>
                </c:pt>
                <c:pt idx="68">
                  <c:v>45587</c:v>
                </c:pt>
                <c:pt idx="69">
                  <c:v>45588</c:v>
                </c:pt>
                <c:pt idx="70">
                  <c:v>45589</c:v>
                </c:pt>
                <c:pt idx="71">
                  <c:v>45590</c:v>
                </c:pt>
                <c:pt idx="72">
                  <c:v>45591</c:v>
                </c:pt>
                <c:pt idx="73">
                  <c:v>45592</c:v>
                </c:pt>
                <c:pt idx="74">
                  <c:v>45593</c:v>
                </c:pt>
                <c:pt idx="75">
                  <c:v>45594</c:v>
                </c:pt>
                <c:pt idx="76">
                  <c:v>45595</c:v>
                </c:pt>
                <c:pt idx="77">
                  <c:v>45596</c:v>
                </c:pt>
                <c:pt idx="78">
                  <c:v>45597</c:v>
                </c:pt>
                <c:pt idx="79">
                  <c:v>45598</c:v>
                </c:pt>
                <c:pt idx="80">
                  <c:v>45599</c:v>
                </c:pt>
                <c:pt idx="81">
                  <c:v>45600</c:v>
                </c:pt>
                <c:pt idx="82">
                  <c:v>45601</c:v>
                </c:pt>
                <c:pt idx="83">
                  <c:v>45602</c:v>
                </c:pt>
                <c:pt idx="84">
                  <c:v>45603</c:v>
                </c:pt>
                <c:pt idx="85">
                  <c:v>45604</c:v>
                </c:pt>
                <c:pt idx="86">
                  <c:v>45605</c:v>
                </c:pt>
                <c:pt idx="87">
                  <c:v>45606</c:v>
                </c:pt>
                <c:pt idx="88">
                  <c:v>45607</c:v>
                </c:pt>
                <c:pt idx="89">
                  <c:v>45608</c:v>
                </c:pt>
                <c:pt idx="90">
                  <c:v>45609</c:v>
                </c:pt>
                <c:pt idx="91">
                  <c:v>45610</c:v>
                </c:pt>
                <c:pt idx="92">
                  <c:v>45611</c:v>
                </c:pt>
                <c:pt idx="93">
                  <c:v>45612</c:v>
                </c:pt>
                <c:pt idx="94">
                  <c:v>45613</c:v>
                </c:pt>
                <c:pt idx="95">
                  <c:v>45614</c:v>
                </c:pt>
                <c:pt idx="96">
                  <c:v>45615</c:v>
                </c:pt>
                <c:pt idx="97">
                  <c:v>45616</c:v>
                </c:pt>
                <c:pt idx="98">
                  <c:v>45617</c:v>
                </c:pt>
                <c:pt idx="99">
                  <c:v>45618</c:v>
                </c:pt>
                <c:pt idx="100">
                  <c:v>45619</c:v>
                </c:pt>
                <c:pt idx="101">
                  <c:v>45620</c:v>
                </c:pt>
                <c:pt idx="102">
                  <c:v>45621</c:v>
                </c:pt>
                <c:pt idx="103">
                  <c:v>45622</c:v>
                </c:pt>
                <c:pt idx="104">
                  <c:v>45623</c:v>
                </c:pt>
                <c:pt idx="105">
                  <c:v>45624</c:v>
                </c:pt>
                <c:pt idx="106">
                  <c:v>45625</c:v>
                </c:pt>
                <c:pt idx="107">
                  <c:v>45626</c:v>
                </c:pt>
                <c:pt idx="108">
                  <c:v>45627</c:v>
                </c:pt>
                <c:pt idx="109">
                  <c:v>45628</c:v>
                </c:pt>
                <c:pt idx="110">
                  <c:v>45629</c:v>
                </c:pt>
                <c:pt idx="111">
                  <c:v>45630</c:v>
                </c:pt>
                <c:pt idx="112">
                  <c:v>45631</c:v>
                </c:pt>
                <c:pt idx="113">
                  <c:v>45632</c:v>
                </c:pt>
                <c:pt idx="114">
                  <c:v>45633</c:v>
                </c:pt>
                <c:pt idx="115">
                  <c:v>45634</c:v>
                </c:pt>
                <c:pt idx="116">
                  <c:v>45635</c:v>
                </c:pt>
                <c:pt idx="117">
                  <c:v>45636</c:v>
                </c:pt>
                <c:pt idx="118">
                  <c:v>45637</c:v>
                </c:pt>
                <c:pt idx="119">
                  <c:v>45638</c:v>
                </c:pt>
                <c:pt idx="120">
                  <c:v>45639</c:v>
                </c:pt>
                <c:pt idx="121">
                  <c:v>45640</c:v>
                </c:pt>
                <c:pt idx="122">
                  <c:v>45641</c:v>
                </c:pt>
                <c:pt idx="123">
                  <c:v>45642</c:v>
                </c:pt>
                <c:pt idx="124">
                  <c:v>45643</c:v>
                </c:pt>
                <c:pt idx="125">
                  <c:v>45644</c:v>
                </c:pt>
                <c:pt idx="126">
                  <c:v>45645</c:v>
                </c:pt>
                <c:pt idx="127">
                  <c:v>45646</c:v>
                </c:pt>
                <c:pt idx="128">
                  <c:v>45647</c:v>
                </c:pt>
                <c:pt idx="129">
                  <c:v>45648</c:v>
                </c:pt>
                <c:pt idx="130">
                  <c:v>45649</c:v>
                </c:pt>
                <c:pt idx="131">
                  <c:v>45650</c:v>
                </c:pt>
                <c:pt idx="132">
                  <c:v>45651</c:v>
                </c:pt>
                <c:pt idx="133">
                  <c:v>45652</c:v>
                </c:pt>
                <c:pt idx="134">
                  <c:v>45653</c:v>
                </c:pt>
                <c:pt idx="135">
                  <c:v>45654</c:v>
                </c:pt>
                <c:pt idx="136">
                  <c:v>45655</c:v>
                </c:pt>
                <c:pt idx="137">
                  <c:v>45656</c:v>
                </c:pt>
                <c:pt idx="138">
                  <c:v>45657</c:v>
                </c:pt>
                <c:pt idx="139">
                  <c:v>45658</c:v>
                </c:pt>
                <c:pt idx="140">
                  <c:v>45659</c:v>
                </c:pt>
                <c:pt idx="141">
                  <c:v>45660</c:v>
                </c:pt>
                <c:pt idx="142">
                  <c:v>45661</c:v>
                </c:pt>
                <c:pt idx="143">
                  <c:v>45662</c:v>
                </c:pt>
                <c:pt idx="144">
                  <c:v>45663</c:v>
                </c:pt>
                <c:pt idx="145">
                  <c:v>45664</c:v>
                </c:pt>
                <c:pt idx="146">
                  <c:v>45665</c:v>
                </c:pt>
                <c:pt idx="147">
                  <c:v>45666</c:v>
                </c:pt>
                <c:pt idx="148">
                  <c:v>45667</c:v>
                </c:pt>
                <c:pt idx="149">
                  <c:v>45668</c:v>
                </c:pt>
                <c:pt idx="150">
                  <c:v>45669</c:v>
                </c:pt>
                <c:pt idx="151">
                  <c:v>45670</c:v>
                </c:pt>
                <c:pt idx="152">
                  <c:v>45671</c:v>
                </c:pt>
                <c:pt idx="153">
                  <c:v>45672</c:v>
                </c:pt>
                <c:pt idx="154">
                  <c:v>45673</c:v>
                </c:pt>
                <c:pt idx="155">
                  <c:v>45674</c:v>
                </c:pt>
                <c:pt idx="156">
                  <c:v>45675</c:v>
                </c:pt>
                <c:pt idx="157">
                  <c:v>45676</c:v>
                </c:pt>
                <c:pt idx="158">
                  <c:v>45677</c:v>
                </c:pt>
                <c:pt idx="159">
                  <c:v>45678</c:v>
                </c:pt>
                <c:pt idx="160">
                  <c:v>45679</c:v>
                </c:pt>
                <c:pt idx="161">
                  <c:v>45680</c:v>
                </c:pt>
                <c:pt idx="162">
                  <c:v>45681</c:v>
                </c:pt>
                <c:pt idx="163">
                  <c:v>45682</c:v>
                </c:pt>
                <c:pt idx="164">
                  <c:v>45683</c:v>
                </c:pt>
                <c:pt idx="165">
                  <c:v>45684</c:v>
                </c:pt>
                <c:pt idx="166">
                  <c:v>45685</c:v>
                </c:pt>
                <c:pt idx="167">
                  <c:v>45686</c:v>
                </c:pt>
                <c:pt idx="168">
                  <c:v>45687</c:v>
                </c:pt>
                <c:pt idx="169">
                  <c:v>45688</c:v>
                </c:pt>
                <c:pt idx="170">
                  <c:v>45689</c:v>
                </c:pt>
                <c:pt idx="171">
                  <c:v>45690</c:v>
                </c:pt>
                <c:pt idx="172">
                  <c:v>45691</c:v>
                </c:pt>
                <c:pt idx="173">
                  <c:v>45692</c:v>
                </c:pt>
                <c:pt idx="174">
                  <c:v>45693</c:v>
                </c:pt>
                <c:pt idx="175">
                  <c:v>45694</c:v>
                </c:pt>
                <c:pt idx="176">
                  <c:v>45695</c:v>
                </c:pt>
                <c:pt idx="177">
                  <c:v>45696</c:v>
                </c:pt>
                <c:pt idx="178">
                  <c:v>45697</c:v>
                </c:pt>
                <c:pt idx="179">
                  <c:v>45698</c:v>
                </c:pt>
                <c:pt idx="180">
                  <c:v>45699</c:v>
                </c:pt>
                <c:pt idx="181">
                  <c:v>45700</c:v>
                </c:pt>
                <c:pt idx="182">
                  <c:v>45701</c:v>
                </c:pt>
                <c:pt idx="183">
                  <c:v>45702</c:v>
                </c:pt>
                <c:pt idx="184">
                  <c:v>45703</c:v>
                </c:pt>
                <c:pt idx="185">
                  <c:v>45704</c:v>
                </c:pt>
                <c:pt idx="186">
                  <c:v>45705</c:v>
                </c:pt>
                <c:pt idx="187">
                  <c:v>45706</c:v>
                </c:pt>
                <c:pt idx="188">
                  <c:v>45707</c:v>
                </c:pt>
                <c:pt idx="189">
                  <c:v>45708</c:v>
                </c:pt>
                <c:pt idx="190">
                  <c:v>45709</c:v>
                </c:pt>
                <c:pt idx="191">
                  <c:v>45710</c:v>
                </c:pt>
                <c:pt idx="192">
                  <c:v>45711</c:v>
                </c:pt>
                <c:pt idx="193">
                  <c:v>45712</c:v>
                </c:pt>
                <c:pt idx="194">
                  <c:v>45713</c:v>
                </c:pt>
                <c:pt idx="195">
                  <c:v>45714</c:v>
                </c:pt>
                <c:pt idx="196">
                  <c:v>45715</c:v>
                </c:pt>
                <c:pt idx="197">
                  <c:v>45716</c:v>
                </c:pt>
                <c:pt idx="198">
                  <c:v>45717</c:v>
                </c:pt>
                <c:pt idx="199">
                  <c:v>45718</c:v>
                </c:pt>
                <c:pt idx="200">
                  <c:v>45719</c:v>
                </c:pt>
                <c:pt idx="201">
                  <c:v>45720</c:v>
                </c:pt>
                <c:pt idx="202">
                  <c:v>45721</c:v>
                </c:pt>
                <c:pt idx="203">
                  <c:v>45722</c:v>
                </c:pt>
                <c:pt idx="204">
                  <c:v>45723</c:v>
                </c:pt>
                <c:pt idx="205">
                  <c:v>45724</c:v>
                </c:pt>
                <c:pt idx="206">
                  <c:v>45725</c:v>
                </c:pt>
                <c:pt idx="207">
                  <c:v>45726</c:v>
                </c:pt>
                <c:pt idx="208">
                  <c:v>45727</c:v>
                </c:pt>
                <c:pt idx="209">
                  <c:v>45728</c:v>
                </c:pt>
                <c:pt idx="210">
                  <c:v>45729</c:v>
                </c:pt>
                <c:pt idx="211">
                  <c:v>45730</c:v>
                </c:pt>
                <c:pt idx="212">
                  <c:v>45731</c:v>
                </c:pt>
                <c:pt idx="213">
                  <c:v>45732</c:v>
                </c:pt>
                <c:pt idx="214">
                  <c:v>45733</c:v>
                </c:pt>
                <c:pt idx="215">
                  <c:v>45734</c:v>
                </c:pt>
                <c:pt idx="216">
                  <c:v>45735</c:v>
                </c:pt>
                <c:pt idx="217">
                  <c:v>45736</c:v>
                </c:pt>
                <c:pt idx="218">
                  <c:v>45737</c:v>
                </c:pt>
                <c:pt idx="219">
                  <c:v>45738</c:v>
                </c:pt>
                <c:pt idx="220">
                  <c:v>45739</c:v>
                </c:pt>
                <c:pt idx="221">
                  <c:v>45740</c:v>
                </c:pt>
                <c:pt idx="222">
                  <c:v>45741</c:v>
                </c:pt>
                <c:pt idx="223">
                  <c:v>45742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ConceptDemo!$AE$18:$AE$395</c:f>
              <c:numCache>
                <c:formatCode>General</c:formatCode>
                <c:ptCount val="378"/>
                <c:pt idx="0">
                  <c:v>0.99999995543201425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7.6069562734662269E-3</c:v>
                </c:pt>
                <c:pt idx="71">
                  <c:v>8.6680931137574305E-3</c:v>
                </c:pt>
                <c:pt idx="72">
                  <c:v>9.9455116080266054E-3</c:v>
                </c:pt>
                <c:pt idx="73">
                  <c:v>1.1349059133857038E-2</c:v>
                </c:pt>
                <c:pt idx="74">
                  <c:v>1.2950480353080492E-2</c:v>
                </c:pt>
                <c:pt idx="75">
                  <c:v>1.4833135836290484E-2</c:v>
                </c:pt>
                <c:pt idx="76">
                  <c:v>1.6955132633557541E-2</c:v>
                </c:pt>
                <c:pt idx="77">
                  <c:v>1.9287868588721137E-2</c:v>
                </c:pt>
                <c:pt idx="78">
                  <c:v>2.1946427134702819E-2</c:v>
                </c:pt>
                <c:pt idx="79">
                  <c:v>2.4937081200336917E-2</c:v>
                </c:pt>
                <c:pt idx="80">
                  <c:v>2.8377562907458815E-2</c:v>
                </c:pt>
                <c:pt idx="81">
                  <c:v>3.2379382687355872E-2</c:v>
                </c:pt>
                <c:pt idx="82">
                  <c:v>3.6794634254938771E-2</c:v>
                </c:pt>
                <c:pt idx="83">
                  <c:v>4.1902166262482859E-2</c:v>
                </c:pt>
                <c:pt idx="84">
                  <c:v>4.7794105083725641E-2</c:v>
                </c:pt>
                <c:pt idx="85">
                  <c:v>5.4294319928685941E-2</c:v>
                </c:pt>
                <c:pt idx="86">
                  <c:v>6.1810894377751932E-2</c:v>
                </c:pt>
                <c:pt idx="87">
                  <c:v>7.0351859002761918E-2</c:v>
                </c:pt>
                <c:pt idx="88">
                  <c:v>7.9951767981730815E-2</c:v>
                </c:pt>
                <c:pt idx="89">
                  <c:v>9.0556513546231232E-2</c:v>
                </c:pt>
                <c:pt idx="90">
                  <c:v>0.10236832601781634</c:v>
                </c:pt>
                <c:pt idx="91">
                  <c:v>0.11585993249996331</c:v>
                </c:pt>
                <c:pt idx="92">
                  <c:v>0.13122179503873491</c:v>
                </c:pt>
                <c:pt idx="93">
                  <c:v>0.147830708657048</c:v>
                </c:pt>
                <c:pt idx="94">
                  <c:v>0.16566107594164642</c:v>
                </c:pt>
                <c:pt idx="95">
                  <c:v>0.18513238572028495</c:v>
                </c:pt>
                <c:pt idx="96">
                  <c:v>0.20697018765925498</c:v>
                </c:pt>
                <c:pt idx="97">
                  <c:v>0.23077095816763929</c:v>
                </c:pt>
                <c:pt idx="98">
                  <c:v>0.25683400122415484</c:v>
                </c:pt>
                <c:pt idx="99">
                  <c:v>0.28518916512409415</c:v>
                </c:pt>
                <c:pt idx="100">
                  <c:v>0.31504371804019271</c:v>
                </c:pt>
                <c:pt idx="101">
                  <c:v>0.34782246652723386</c:v>
                </c:pt>
                <c:pt idx="102">
                  <c:v>0.3822195120054781</c:v>
                </c:pt>
                <c:pt idx="103">
                  <c:v>0.41702021774393977</c:v>
                </c:pt>
                <c:pt idx="104">
                  <c:v>0.45248245119988795</c:v>
                </c:pt>
                <c:pt idx="105">
                  <c:v>0.4886907529050078</c:v>
                </c:pt>
                <c:pt idx="106">
                  <c:v>0.5256709763142785</c:v>
                </c:pt>
                <c:pt idx="107">
                  <c:v>0.56294696778764863</c:v>
                </c:pt>
                <c:pt idx="108">
                  <c:v>0.60044538325100549</c:v>
                </c:pt>
                <c:pt idx="109">
                  <c:v>0.63742914385859428</c:v>
                </c:pt>
                <c:pt idx="110">
                  <c:v>0.67295764779789258</c:v>
                </c:pt>
                <c:pt idx="111">
                  <c:v>0.70625807380542782</c:v>
                </c:pt>
                <c:pt idx="112">
                  <c:v>0.73754472965110884</c:v>
                </c:pt>
                <c:pt idx="113">
                  <c:v>0.76572917336794921</c:v>
                </c:pt>
                <c:pt idx="114">
                  <c:v>0.79166448695638558</c:v>
                </c:pt>
                <c:pt idx="115">
                  <c:v>0.81606719914427406</c:v>
                </c:pt>
                <c:pt idx="116">
                  <c:v>0.83808161163427952</c:v>
                </c:pt>
                <c:pt idx="117">
                  <c:v>0.85853427800876092</c:v>
                </c:pt>
                <c:pt idx="118">
                  <c:v>0.87724723049260167</c:v>
                </c:pt>
                <c:pt idx="119">
                  <c:v>0.89358674493291612</c:v>
                </c:pt>
                <c:pt idx="120">
                  <c:v>0.90791694505336695</c:v>
                </c:pt>
                <c:pt idx="121">
                  <c:v>0.92037950628389154</c:v>
                </c:pt>
                <c:pt idx="122">
                  <c:v>0.93134285293353636</c:v>
                </c:pt>
                <c:pt idx="123">
                  <c:v>0.94091434404998298</c:v>
                </c:pt>
                <c:pt idx="124">
                  <c:v>0.94908884922448833</c:v>
                </c:pt>
                <c:pt idx="125">
                  <c:v>0.95625553435042421</c:v>
                </c:pt>
                <c:pt idx="126">
                  <c:v>0.96254778428432752</c:v>
                </c:pt>
                <c:pt idx="127">
                  <c:v>0.96796527084037176</c:v>
                </c:pt>
                <c:pt idx="128">
                  <c:v>0.97266121552439966</c:v>
                </c:pt>
                <c:pt idx="129">
                  <c:v>0.97660431847097307</c:v>
                </c:pt>
                <c:pt idx="130">
                  <c:v>0.98001605682513426</c:v>
                </c:pt>
                <c:pt idx="131">
                  <c:v>0.98297811869223006</c:v>
                </c:pt>
                <c:pt idx="132">
                  <c:v>0.98546885025479058</c:v>
                </c:pt>
                <c:pt idx="133">
                  <c:v>0.98760773569279736</c:v>
                </c:pt>
                <c:pt idx="134">
                  <c:v>0.98951307598978655</c:v>
                </c:pt>
                <c:pt idx="135">
                  <c:v>0.99115518916729251</c:v>
                </c:pt>
                <c:pt idx="136">
                  <c:v>0.9925261708269838</c:v>
                </c:pt>
                <c:pt idx="137">
                  <c:v>0.99366543200706114</c:v>
                </c:pt>
                <c:pt idx="138">
                  <c:v>0.99462597670650565</c:v>
                </c:pt>
                <c:pt idx="139">
                  <c:v>0.99543941503865163</c:v>
                </c:pt>
                <c:pt idx="140">
                  <c:v>0.99614352007277196</c:v>
                </c:pt>
                <c:pt idx="141">
                  <c:v>0.99673380018825675</c:v>
                </c:pt>
                <c:pt idx="142">
                  <c:v>0.99724016501651125</c:v>
                </c:pt>
                <c:pt idx="143">
                  <c:v>0.99765927522825737</c:v>
                </c:pt>
                <c:pt idx="144">
                  <c:v>0.99801634727124022</c:v>
                </c:pt>
                <c:pt idx="145">
                  <c:v>0.99832593069580944</c:v>
                </c:pt>
                <c:pt idx="146">
                  <c:v>0.99859003408034763</c:v>
                </c:pt>
                <c:pt idx="147">
                  <c:v>0.99881495910579698</c:v>
                </c:pt>
                <c:pt idx="148">
                  <c:v>0.99900254904822994</c:v>
                </c:pt>
                <c:pt idx="149">
                  <c:v>0.99915842700334978</c:v>
                </c:pt>
                <c:pt idx="150">
                  <c:v>0.99929075793693933</c:v>
                </c:pt>
                <c:pt idx="151">
                  <c:v>0.99940318630690694</c:v>
                </c:pt>
                <c:pt idx="152">
                  <c:v>0.99949883309852527</c:v>
                </c:pt>
                <c:pt idx="153">
                  <c:v>0.99957903974117901</c:v>
                </c:pt>
                <c:pt idx="154">
                  <c:v>0.99964634856401458</c:v>
                </c:pt>
                <c:pt idx="155">
                  <c:v>0.99970228672018679</c:v>
                </c:pt>
                <c:pt idx="156">
                  <c:v>0.99974949629632404</c:v>
                </c:pt>
                <c:pt idx="157">
                  <c:v>0.99978979190616746</c:v>
                </c:pt>
                <c:pt idx="158">
                  <c:v>0.99982349130137749</c:v>
                </c:pt>
                <c:pt idx="159">
                  <c:v>0.99985210735383834</c:v>
                </c:pt>
                <c:pt idx="160">
                  <c:v>0.99987618889586705</c:v>
                </c:pt>
                <c:pt idx="161">
                  <c:v>0.99989636899710566</c:v>
                </c:pt>
                <c:pt idx="162">
                  <c:v>0.99991329264155582</c:v>
                </c:pt>
                <c:pt idx="163">
                  <c:v>0.99992760858368457</c:v>
                </c:pt>
                <c:pt idx="164">
                  <c:v>0.9999396287889325</c:v>
                </c:pt>
                <c:pt idx="165">
                  <c:v>0.9999494976182447</c:v>
                </c:pt>
                <c:pt idx="166">
                  <c:v>0.99995781642159243</c:v>
                </c:pt>
                <c:pt idx="167">
                  <c:v>0.99996484397198615</c:v>
                </c:pt>
                <c:pt idx="168">
                  <c:v>0.99997076648124861</c:v>
                </c:pt>
                <c:pt idx="169">
                  <c:v>0.99997567764637019</c:v>
                </c:pt>
                <c:pt idx="170">
                  <c:v>0.99997978267627963</c:v>
                </c:pt>
                <c:pt idx="171">
                  <c:v>0.99998316028214862</c:v>
                </c:pt>
                <c:pt idx="172">
                  <c:v>0.99998594473321223</c:v>
                </c:pt>
                <c:pt idx="173">
                  <c:v>0.99998820057358773</c:v>
                </c:pt>
                <c:pt idx="174">
                  <c:v>0.99999013779685719</c:v>
                </c:pt>
                <c:pt idx="175">
                  <c:v>0.9999917477161856</c:v>
                </c:pt>
                <c:pt idx="176">
                  <c:v>0.99999310193060031</c:v>
                </c:pt>
                <c:pt idx="177">
                  <c:v>0.9967566918947327</c:v>
                </c:pt>
                <c:pt idx="178">
                  <c:v>0.97411577185056863</c:v>
                </c:pt>
                <c:pt idx="179">
                  <c:v>0.95104035282215427</c:v>
                </c:pt>
                <c:pt idx="180">
                  <c:v>0.92774181269371991</c:v>
                </c:pt>
                <c:pt idx="181">
                  <c:v>0.90452547507581926</c:v>
                </c:pt>
                <c:pt idx="182">
                  <c:v>0.88154400177372949</c:v>
                </c:pt>
                <c:pt idx="183">
                  <c:v>0.85853904204005871</c:v>
                </c:pt>
                <c:pt idx="184">
                  <c:v>0.83580417626957026</c:v>
                </c:pt>
                <c:pt idx="185">
                  <c:v>0.8131867426569872</c:v>
                </c:pt>
                <c:pt idx="186">
                  <c:v>0.79054582261282313</c:v>
                </c:pt>
                <c:pt idx="187">
                  <c:v>0.76774049754759133</c:v>
                </c:pt>
                <c:pt idx="188">
                  <c:v>0.74493517248235952</c:v>
                </c:pt>
                <c:pt idx="189">
                  <c:v>0.72202415847501267</c:v>
                </c:pt>
                <c:pt idx="190">
                  <c:v>0.69919534697819974</c:v>
                </c:pt>
                <c:pt idx="191">
                  <c:v>0.67661314301298836</c:v>
                </c:pt>
                <c:pt idx="192">
                  <c:v>0.65404268226356765</c:v>
                </c:pt>
                <c:pt idx="193">
                  <c:v>0.63197717979314016</c:v>
                </c:pt>
                <c:pt idx="194">
                  <c:v>0.61048709489644892</c:v>
                </c:pt>
                <c:pt idx="195">
                  <c:v>0.58886783462606207</c:v>
                </c:pt>
                <c:pt idx="196">
                  <c:v>0.56711939898197905</c:v>
                </c:pt>
                <c:pt idx="197">
                  <c:v>0.54568803016424061</c:v>
                </c:pt>
                <c:pt idx="198">
                  <c:v>0.52418620205175914</c:v>
                </c:pt>
                <c:pt idx="199">
                  <c:v>0.50222638852344659</c:v>
                </c:pt>
                <c:pt idx="200">
                  <c:v>0.48019611570039034</c:v>
                </c:pt>
                <c:pt idx="201">
                  <c:v>0.45902309763004367</c:v>
                </c:pt>
                <c:pt idx="202">
                  <c:v>0.43794402528602183</c:v>
                </c:pt>
                <c:pt idx="203">
                  <c:v>0.41638348109458734</c:v>
                </c:pt>
                <c:pt idx="204">
                  <c:v>0.39549230020321391</c:v>
                </c:pt>
                <c:pt idx="205">
                  <c:v>0.37419010675917164</c:v>
                </c:pt>
                <c:pt idx="206">
                  <c:v>0.35260607613615613</c:v>
                </c:pt>
                <c:pt idx="207">
                  <c:v>0.33135085555527599</c:v>
                </c:pt>
                <c:pt idx="208">
                  <c:v>0.31029526964283516</c:v>
                </c:pt>
                <c:pt idx="209">
                  <c:v>0.28902830584616424</c:v>
                </c:pt>
                <c:pt idx="210">
                  <c:v>0.26819584103374383</c:v>
                </c:pt>
                <c:pt idx="211">
                  <c:v>0.24736337622132332</c:v>
                </c:pt>
                <c:pt idx="212">
                  <c:v>0.22671880286155133</c:v>
                </c:pt>
                <c:pt idx="213">
                  <c:v>0.20590982448071193</c:v>
                </c:pt>
                <c:pt idx="214">
                  <c:v>0.18512433253145355</c:v>
                </c:pt>
                <c:pt idx="215">
                  <c:v>0.16443278630851943</c:v>
                </c:pt>
                <c:pt idx="216">
                  <c:v>0.14426968479615943</c:v>
                </c:pt>
                <c:pt idx="217">
                  <c:v>0.12404786720484706</c:v>
                </c:pt>
                <c:pt idx="218">
                  <c:v>0.10349723957139934</c:v>
                </c:pt>
                <c:pt idx="219">
                  <c:v>8.3075787311647775E-2</c:v>
                </c:pt>
                <c:pt idx="220">
                  <c:v>6.3053604388774165E-2</c:v>
                </c:pt>
                <c:pt idx="221">
                  <c:v>4.3125367192225372E-2</c:v>
                </c:pt>
                <c:pt idx="222">
                  <c:v>2.3173643564095459E-2</c:v>
                </c:pt>
                <c:pt idx="223">
                  <c:v>3.1397174254316207E-3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129358</xdr:colOff>
      <xdr:row>16</xdr:row>
      <xdr:rowOff>9034</xdr:rowOff>
    </xdr:from>
    <xdr:to>
      <xdr:col>15</xdr:col>
      <xdr:colOff>157933</xdr:colOff>
      <xdr:row>36</xdr:row>
      <xdr:rowOff>122468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9</v>
    <v>1</v>
  </rv>
  <rv s="0">
    <v>2</v>
    <v>8</v>
    <v>8</v>
    <v>1</v>
  </rv>
  <rv s="0">
    <v>2</v>
    <v>8</v>
    <v>7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M662"/>
  <sheetViews>
    <sheetView tabSelected="1" topLeftCell="D1" zoomScale="115" zoomScaleNormal="115" workbookViewId="0">
      <selection activeCell="E11" sqref="E11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7" width="9.140625" style="55" customWidth="1"/>
    <col min="28" max="31" width="9.140625" customWidth="1"/>
    <col min="32" max="32" width="10.85546875" bestFit="1" customWidth="1"/>
  </cols>
  <sheetData>
    <row r="1" spans="2:36" s="55" customFormat="1" ht="20.25" customHeight="1">
      <c r="B1" s="55">
        <f>VLOOKUP(C1,ListMembers!U8:V10,2,FALSE)</f>
        <v>3</v>
      </c>
      <c r="C1" s="110" t="s">
        <v>182</v>
      </c>
      <c r="D1" s="123" t="s">
        <v>151</v>
      </c>
      <c r="E1" s="124"/>
      <c r="F1" s="124"/>
      <c r="G1" s="124"/>
      <c r="H1" s="125"/>
      <c r="AB1"/>
      <c r="AC1"/>
      <c r="AD1"/>
      <c r="AE1"/>
    </row>
    <row r="2" spans="2:36" s="55" customFormat="1" ht="47.25" customHeight="1">
      <c r="C2" s="100"/>
      <c r="D2" s="126" t="s">
        <v>152</v>
      </c>
      <c r="E2" s="127"/>
      <c r="F2" s="127"/>
      <c r="G2" s="127"/>
      <c r="H2" s="128"/>
      <c r="AB2"/>
      <c r="AC2"/>
      <c r="AD2"/>
      <c r="AE2"/>
    </row>
    <row r="3" spans="2:36" s="54" customFormat="1" ht="15.75" thickBot="1">
      <c r="B3" s="55"/>
      <c r="C3" s="129" t="s">
        <v>183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/>
      <c r="AC3"/>
      <c r="AD3"/>
      <c r="AE3"/>
    </row>
    <row r="4" spans="2:36" s="55" customFormat="1" ht="15.75">
      <c r="C4" s="102" t="s">
        <v>171</v>
      </c>
      <c r="D4" s="103" t="s">
        <v>272</v>
      </c>
      <c r="E4" s="58"/>
      <c r="F4" s="102" t="s">
        <v>191</v>
      </c>
      <c r="G4" s="86" t="str">
        <f>IF(H4="","Typical",H4)</f>
        <v>Typical</v>
      </c>
      <c r="H4" s="98"/>
      <c r="AB4"/>
      <c r="AC4"/>
      <c r="AD4"/>
      <c r="AE4"/>
    </row>
    <row r="5" spans="2:36" s="55" customFormat="1" ht="15.75">
      <c r="C5" s="102" t="s">
        <v>26</v>
      </c>
      <c r="D5" s="104" t="s">
        <v>45</v>
      </c>
      <c r="E5" s="58"/>
      <c r="F5" s="102" t="s">
        <v>192</v>
      </c>
      <c r="G5" s="86" t="str">
        <f>IF(H5="","Typical",H5)</f>
        <v>Typical</v>
      </c>
      <c r="H5" s="98"/>
      <c r="AB5"/>
      <c r="AC5"/>
      <c r="AD5"/>
      <c r="AE5"/>
    </row>
    <row r="6" spans="2:36" s="55" customFormat="1" ht="15.75">
      <c r="C6" s="102" t="s">
        <v>94</v>
      </c>
      <c r="D6" s="104" t="s">
        <v>42</v>
      </c>
      <c r="F6" s="102" t="s">
        <v>187</v>
      </c>
      <c r="G6" s="86" t="str">
        <f>IF(H6="","None",H6)</f>
        <v>None</v>
      </c>
      <c r="H6" s="112"/>
      <c r="AB6"/>
      <c r="AC6"/>
      <c r="AD6"/>
      <c r="AE6"/>
    </row>
    <row r="7" spans="2:36" s="55" customFormat="1">
      <c r="C7" s="57" t="s">
        <v>95</v>
      </c>
      <c r="D7" s="85" t="str">
        <f>IF(E7="","General",E7)</f>
        <v>Breed</v>
      </c>
      <c r="E7" s="92" t="s">
        <v>258</v>
      </c>
      <c r="AB7"/>
      <c r="AC7"/>
      <c r="AD7"/>
      <c r="AE7"/>
    </row>
    <row r="8" spans="2:36" s="55" customFormat="1">
      <c r="C8" s="64" t="s">
        <v>150</v>
      </c>
      <c r="D8" s="65" t="str">
        <f>SUBSTITUTE(CurrentCropName&amp;" "&amp;CurrentCropType&amp;" "&amp;CurrentCropVariety,"_"," ")</f>
        <v>Wheat Grain Breed</v>
      </c>
      <c r="AB8"/>
      <c r="AC8"/>
      <c r="AD8"/>
      <c r="AE8"/>
    </row>
    <row r="9" spans="2:36" s="55" customFormat="1">
      <c r="C9" s="57" t="s">
        <v>4</v>
      </c>
      <c r="D9" s="91">
        <f ca="1">IF(E9="",TODAY(),E9)</f>
        <v>45589</v>
      </c>
      <c r="E9" s="67">
        <v>45589</v>
      </c>
      <c r="F9" s="57" t="s">
        <v>145</v>
      </c>
      <c r="G9" s="85" t="str">
        <f>IF(H9="",VLOOKUP(CurrentCropNameFull,CropCoefficients,13,FALSE),H9)</f>
        <v>Seed</v>
      </c>
      <c r="H9" s="72"/>
      <c r="AB9"/>
      <c r="AC9"/>
      <c r="AD9"/>
      <c r="AE9"/>
    </row>
    <row r="10" spans="2:36" s="55" customFormat="1">
      <c r="C10" s="57" t="s">
        <v>5</v>
      </c>
      <c r="D10" s="91">
        <f>IF(E10="",CurrentEstablishDate+125,E10)</f>
        <v>45742</v>
      </c>
      <c r="E10" s="67">
        <v>45742</v>
      </c>
      <c r="F10" s="57" t="s">
        <v>146</v>
      </c>
      <c r="G10" s="85" t="str">
        <f>IF(H10="",VLOOKUP(CurrentCropNameFull,CropCoefficients,15,FALSE),H10)</f>
        <v>Maturity</v>
      </c>
      <c r="H10" s="72"/>
      <c r="AB10"/>
      <c r="AC10"/>
      <c r="AD10"/>
      <c r="AE10"/>
    </row>
    <row r="11" spans="2:36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0</v>
      </c>
      <c r="H11" s="69"/>
      <c r="AB11"/>
      <c r="AC11"/>
      <c r="AD11"/>
      <c r="AE11"/>
    </row>
    <row r="12" spans="2:36" s="55" customFormat="1">
      <c r="C12" s="57" t="str">
        <f>"Yield ("&amp;CurrentUnits&amp;")"</f>
        <v>Yield (t/ha)</v>
      </c>
      <c r="D12" s="85">
        <f>IF(E12="",VLOOKUP(CurrentCropNameFull,CropCoefficients,17,FALSE),E12)</f>
        <v>10</v>
      </c>
      <c r="E12" s="69"/>
      <c r="F12" s="57" t="s">
        <v>135</v>
      </c>
      <c r="G12" s="85">
        <f>IF(H12="",VLOOKUP(CurrentCropNameFull,CropCoefficients,22,FALSE),H12)</f>
        <v>0</v>
      </c>
      <c r="H12" s="69"/>
      <c r="AB12"/>
      <c r="AC12"/>
      <c r="AD12"/>
      <c r="AE12"/>
    </row>
    <row r="13" spans="2:36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13</v>
      </c>
      <c r="H13" s="69"/>
      <c r="AB13"/>
      <c r="AC13"/>
      <c r="AD13"/>
      <c r="AE13"/>
    </row>
    <row r="14" spans="2:36" s="55" customFormat="1">
      <c r="B14" s="90">
        <f>IF(CurrentUnits="kg/head",CurrentYield*CurrentPopulation/1000,IF(CurrentUnits="kg/ha",CurrentYield/1000,CurrentYield))</f>
        <v>10</v>
      </c>
      <c r="C14" s="64" t="str">
        <f>"Yield "&amp;CurrentYield_tperHa&amp;" (t/ha)"</f>
        <v>Yield 10 (t/ha)</v>
      </c>
      <c r="D14" s="90" t="str">
        <f ca="1">"requires "&amp;ROUND(SUM('Model Interface'!P8:Q8),0)&amp;" kg N/ha from all sources"</f>
        <v>requires 348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45519</v>
      </c>
      <c r="AB14"/>
      <c r="AC14"/>
      <c r="AD14"/>
      <c r="AE14"/>
    </row>
    <row r="15" spans="2:36" s="55" customFormat="1" ht="16.5" thickBot="1">
      <c r="B15" s="55">
        <f ca="1">SUMIF(B29:B43,1,G29:G43)</f>
        <v>226.64178082058339</v>
      </c>
      <c r="C15" s="105" t="s">
        <v>220</v>
      </c>
      <c r="D15" s="106" t="str">
        <f ca="1">SUMIF(B29:B43,1,G29:G43)&amp;" Kg/ha"</f>
        <v>226.641780820583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2" t="s">
        <v>222</v>
      </c>
      <c r="S15" s="122"/>
      <c r="T15" s="122"/>
      <c r="U15" s="122"/>
      <c r="V15" s="122"/>
      <c r="W15" s="115"/>
      <c r="X15" s="115"/>
      <c r="Y15" s="115"/>
      <c r="Z15" s="115"/>
      <c r="AA15" s="115"/>
      <c r="AB15" s="120" t="s">
        <v>221</v>
      </c>
      <c r="AC15" s="120"/>
      <c r="AD15" s="120"/>
      <c r="AE15" s="120"/>
      <c r="AF15" s="121" t="s">
        <v>223</v>
      </c>
      <c r="AG15" s="121"/>
      <c r="AH15" s="121"/>
      <c r="AI15" s="121"/>
      <c r="AJ15" s="121"/>
    </row>
    <row r="16" spans="2:36" s="55" customFormat="1" ht="5.25" customHeight="1">
      <c r="AB16"/>
      <c r="AC16"/>
      <c r="AD16"/>
      <c r="AE16"/>
    </row>
    <row r="17" spans="1:39" s="54" customFormat="1" ht="15.75" thickBot="1">
      <c r="A17" s="55"/>
      <c r="B17" s="55"/>
      <c r="C17" s="129" t="s">
        <v>184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285</v>
      </c>
      <c r="AA17" s="55"/>
      <c r="AB17" s="55" t="s">
        <v>201</v>
      </c>
      <c r="AC17" s="55" t="s">
        <v>202</v>
      </c>
      <c r="AD17" s="55" t="s">
        <v>187</v>
      </c>
      <c r="AE17" s="55" t="s">
        <v>205</v>
      </c>
      <c r="AF17" s="55" t="s">
        <v>14</v>
      </c>
      <c r="AG17" s="55"/>
      <c r="AH17" s="55" t="s">
        <v>156</v>
      </c>
      <c r="AI17" s="55" t="s">
        <v>155</v>
      </c>
      <c r="AJ17" s="55" t="s">
        <v>13</v>
      </c>
      <c r="AK17" s="54" t="s">
        <v>173</v>
      </c>
      <c r="AL17" s="55" t="s">
        <v>241</v>
      </c>
      <c r="AM17" s="55" t="s">
        <v>242</v>
      </c>
    </row>
    <row r="18" spans="1:39" s="55" customFormat="1" ht="5.25" customHeight="1">
      <c r="F18" s="59"/>
      <c r="G18" s="59"/>
      <c r="H18" s="59"/>
      <c r="R18" s="83">
        <f t="array" aca="1" ref="R18:R662" ca="1">_xlfn._xlws.FILTER('Model Interface'!Y11:Y500,('Model Interface'!Y11:Y500&gt;=StartGraphDate)*('Model Interface'!Y11:Y500&lt;=CurrentHarvestDate),"")</f>
        <v>45519</v>
      </c>
      <c r="S18" s="55">
        <f ca="1">IF(R18&gt;1,R18,"")</f>
        <v>45519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62.70000000000001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0.57479409162341311</v>
      </c>
      <c r="Y18" s="55">
        <f ca="1">VLOOKUP(S18,ModelOutputs,4,FALSE)</f>
        <v>0</v>
      </c>
      <c r="AB18">
        <f t="shared" ref="AB18:AB81" ca="1" si="3">VLOOKUP(S18,ModelOutputs,10,FALSE)*AWC</f>
        <v>108</v>
      </c>
      <c r="AC18">
        <f ca="1">VLOOKUP(S18,ModelOutputs,11,FALSE)</f>
        <v>0</v>
      </c>
      <c r="AD18">
        <f t="shared" ref="AD18:AD81" ca="1" si="4">VLOOKUP(S18,ModelOutputs,12,FALSE)</f>
        <v>0</v>
      </c>
      <c r="AE18">
        <f t="shared" ref="AE18:AE81" ca="1" si="5">VLOOKUP(S18,ModelOutputs,13,FALSE)</f>
        <v>0.99999995543201425</v>
      </c>
      <c r="AF18" s="83">
        <f t="array" aca="1" ref="AF18:AF662" ca="1">_xlfn._xlws.FILTER('Model Interface'!Y11:Y1004,('Model Interface'!Y11:Y1004&gt;=CurrentHarvestDate+1)*('Model Interface'!Y11:Y1004&lt;=FollowingHarvestDate),"")</f>
        <v>45743</v>
      </c>
      <c r="AG18" s="55">
        <f ca="1">IF(AF18&gt;1,AF18,"")</f>
        <v>45743</v>
      </c>
      <c r="AH18" s="55">
        <f t="shared" ref="AH18:AH20" ca="1" si="6">VLOOKUP(AG18,ModelOutputs,2,FALSE)</f>
        <v>10.645630892376335</v>
      </c>
      <c r="AI18" s="55">
        <f t="shared" ref="AI18:AI20" ca="1" si="7">VLOOKUP(AG18,ModelOutputs,7,FALSE)</f>
        <v>0</v>
      </c>
      <c r="AJ18" s="55">
        <f t="shared" ref="AJ18:AJ20" ca="1" si="8">VLOOKUP(AG18,ModelOutputs,6,FALSE)</f>
        <v>0</v>
      </c>
      <c r="AK18" s="55">
        <f ca="1">-VLOOKUP(AG18,ModelOutputs,9,FALSE)</f>
        <v>0</v>
      </c>
      <c r="AL18" s="55">
        <f t="shared" ref="AL18" ca="1" si="9">VLOOKUP(AG18,ModelOutputs,5,FALSE)</f>
        <v>0.6653518616140357</v>
      </c>
      <c r="AM18" s="55">
        <f t="shared" ref="AM18" ca="1" si="10">VLOOKUP(AG18,ModelOutputs,4,FALSE)</f>
        <v>-4.8780669898486373</v>
      </c>
    </row>
    <row r="19" spans="1:39" s="55" customFormat="1">
      <c r="C19" s="57" t="s">
        <v>217</v>
      </c>
      <c r="D19" s="85">
        <f>IF(E19="",60,E19)</f>
        <v>50</v>
      </c>
      <c r="E19" s="16">
        <v>50</v>
      </c>
      <c r="F19" s="94" t="str">
        <f ca="1">ROUND('Model Interface'!N7,0)&amp;" kg N/ha available from SOM mineralisation"</f>
        <v>157 kg N/ha available from SOM mineralisation</v>
      </c>
      <c r="R19" s="83">
        <f ca="1"/>
        <v>45520</v>
      </c>
      <c r="S19" s="55">
        <f t="shared" ref="S19:S82" ca="1" si="11">IF(R19&gt;1,R19,"")</f>
        <v>45520</v>
      </c>
      <c r="T19" s="55">
        <f t="shared" ca="1" si="0"/>
        <v>50.589124697927666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1.1807742137827097</v>
      </c>
      <c r="Y19" s="55">
        <f t="shared" ref="Y19:Y82" ca="1" si="14">VLOOKUP(S19,ModelOutputs,4,FALSE)+Y18</f>
        <v>-1.6855424231625588E-2</v>
      </c>
      <c r="Z19" s="55">
        <f t="shared" ref="Z19:Z82" ca="1" si="15">VLOOKUP(S19,ModelOutputs,3,FALSE)*10</f>
        <v>0</v>
      </c>
      <c r="AB19">
        <f t="shared" ca="1" si="3"/>
        <v>114.15478260869567</v>
      </c>
      <c r="AC19">
        <f t="shared" ref="AC19:AC82" ca="1" si="16">VLOOKUP(S19,ModelOutputs,11,FALSE)+AC18</f>
        <v>0</v>
      </c>
      <c r="AD19">
        <f t="shared" ca="1" si="4"/>
        <v>0</v>
      </c>
      <c r="AE19">
        <f t="shared" ca="1" si="5"/>
        <v>0</v>
      </c>
      <c r="AF19" s="83">
        <f ca="1"/>
        <v>45744</v>
      </c>
      <c r="AG19" s="55">
        <f t="shared" ref="AG19:AG20" ca="1" si="17">IF(AF19&gt;1,AF19,"")</f>
        <v>45744</v>
      </c>
      <c r="AH19" s="55">
        <f t="shared" ca="1" si="6"/>
        <v>6.7452312453167966</v>
      </c>
      <c r="AI19" s="55">
        <f t="shared" ca="1" si="7"/>
        <v>0</v>
      </c>
      <c r="AJ19" s="55">
        <f t="shared" ca="1" si="8"/>
        <v>0</v>
      </c>
      <c r="AK19" s="55">
        <f t="shared" ref="AK19:AK82" ca="1" si="18">-VLOOKUP(AG19,ModelOutputs,9,FALSE)+AK18</f>
        <v>0</v>
      </c>
      <c r="AL19" s="55">
        <f t="shared" ref="AL19:AL82" ca="1" si="19">VLOOKUP(AG19,ModelOutputs,5,FALSE)+AL18</f>
        <v>1.3396116524591926</v>
      </c>
      <c r="AM19" s="55">
        <f t="shared" ref="AM19:AM82" ca="1" si="20">VLOOKUP(AG19,ModelOutputs,4,FALSE)+AM18</f>
        <v>-9.4527264277533334</v>
      </c>
    </row>
    <row r="20" spans="1:39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45521</v>
      </c>
      <c r="S20" s="55">
        <f t="shared" ca="1" si="11"/>
        <v>45521</v>
      </c>
      <c r="T20" s="55">
        <f t="shared" ca="1" si="0"/>
        <v>51.207592486389814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1.7937940475137326</v>
      </c>
      <c r="Y20" s="55">
        <f t="shared" ca="1" si="14"/>
        <v>-1.1407469500501033E-2</v>
      </c>
      <c r="Z20" s="55">
        <f t="shared" ca="1" si="15"/>
        <v>0</v>
      </c>
      <c r="AB20">
        <f t="shared" ca="1" si="3"/>
        <v>117.88010812854445</v>
      </c>
      <c r="AC20">
        <f t="shared" ca="1" si="16"/>
        <v>0</v>
      </c>
      <c r="AD20">
        <f t="shared" ca="1" si="4"/>
        <v>0</v>
      </c>
      <c r="AE20">
        <f t="shared" ca="1" si="5"/>
        <v>0</v>
      </c>
      <c r="AF20" s="83">
        <f ca="1"/>
        <v>45745</v>
      </c>
      <c r="AG20" s="55">
        <f t="shared" ca="1" si="17"/>
        <v>45745</v>
      </c>
      <c r="AH20" s="55">
        <f t="shared" ca="1" si="6"/>
        <v>3.0789486800611749</v>
      </c>
      <c r="AI20" s="55">
        <f t="shared" ca="1" si="7"/>
        <v>0</v>
      </c>
      <c r="AJ20" s="55">
        <f t="shared" ca="1" si="8"/>
        <v>0</v>
      </c>
      <c r="AK20" s="55">
        <f t="shared" ca="1" si="18"/>
        <v>0</v>
      </c>
      <c r="AL20" s="55">
        <f t="shared" ca="1" si="19"/>
        <v>2.041151823356381</v>
      </c>
      <c r="AM20" s="55">
        <f t="shared" ca="1" si="20"/>
        <v>-13.820549163906144</v>
      </c>
    </row>
    <row r="21" spans="1:39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45522</v>
      </c>
      <c r="S21" s="55">
        <f t="shared" ca="1" si="11"/>
        <v>45522</v>
      </c>
      <c r="T21" s="55">
        <f t="shared" ca="1" si="0"/>
        <v>51.692920370469388</v>
      </c>
      <c r="U21" s="55">
        <f t="shared" ca="1" si="1"/>
        <v>0</v>
      </c>
      <c r="V21" s="55">
        <f t="shared" ca="1" si="2"/>
        <v>0</v>
      </c>
      <c r="W21" s="55">
        <f t="shared" ca="1" si="12"/>
        <v>-0.15754234042403967</v>
      </c>
      <c r="X21" s="55">
        <f t="shared" ca="1" si="13"/>
        <v>2.4104267491252025</v>
      </c>
      <c r="Y21" s="55">
        <f t="shared" ca="1" si="14"/>
        <v>1.4830053391637871E-2</v>
      </c>
      <c r="Z21" s="55">
        <f t="shared" ca="1" si="15"/>
        <v>0</v>
      </c>
      <c r="AB21">
        <f t="shared" ca="1" si="3"/>
        <v>120</v>
      </c>
      <c r="AC21">
        <f t="shared" ca="1" si="16"/>
        <v>0.55339052495274643</v>
      </c>
      <c r="AD21">
        <f t="shared" ca="1" si="4"/>
        <v>0</v>
      </c>
      <c r="AE21">
        <f t="shared" ca="1" si="5"/>
        <v>0</v>
      </c>
      <c r="AF21" s="83">
        <f ca="1"/>
        <v>45746</v>
      </c>
      <c r="AG21" s="55">
        <f t="shared" ref="AG21:AG84" ca="1" si="21">IF(AF21&gt;1,AF21,"")</f>
        <v>45746</v>
      </c>
      <c r="AH21" s="55">
        <f t="shared" ref="AH21:AH84" ca="1" si="22">VLOOKUP(AG21,ModelOutputs,2,FALSE)</f>
        <v>-0.29352156120085215</v>
      </c>
      <c r="AI21" s="55">
        <f t="shared" ref="AI21:AI84" ca="1" si="23">VLOOKUP(AG21,ModelOutputs,7,FALSE)</f>
        <v>0</v>
      </c>
      <c r="AJ21" s="55">
        <f t="shared" ref="AJ21:AJ84" ca="1" si="24">VLOOKUP(AG21,ModelOutputs,6,FALSE)</f>
        <v>0</v>
      </c>
      <c r="AK21" s="55">
        <f t="shared" ca="1" si="18"/>
        <v>0</v>
      </c>
      <c r="AL21" s="55">
        <f t="shared" ca="1" si="19"/>
        <v>2.7228022230208579</v>
      </c>
      <c r="AM21" s="55">
        <f t="shared" ca="1" si="20"/>
        <v>-17.874669804832649</v>
      </c>
    </row>
    <row r="22" spans="1:39" s="55" customFormat="1" ht="15" customHeight="1">
      <c r="C22" s="57" t="s">
        <v>209</v>
      </c>
      <c r="D22" s="85" t="str">
        <f>IF(E22="","loam",E22)</f>
        <v>SandyLoam</v>
      </c>
      <c r="E22" s="16" t="s">
        <v>267</v>
      </c>
      <c r="F22" s="94"/>
      <c r="R22" s="83">
        <f ca="1"/>
        <v>45523</v>
      </c>
      <c r="S22" s="55">
        <f t="shared" ca="1" si="11"/>
        <v>45523</v>
      </c>
      <c r="T22" s="55">
        <f t="shared" ca="1" si="0"/>
        <v>51.51631387091183</v>
      </c>
      <c r="U22" s="55">
        <f t="shared" ca="1" si="1"/>
        <v>0</v>
      </c>
      <c r="V22" s="55">
        <f t="shared" ca="1" si="2"/>
        <v>0</v>
      </c>
      <c r="W22" s="55">
        <f t="shared" ca="1" si="12"/>
        <v>-1.0143556998190881</v>
      </c>
      <c r="X22" s="55">
        <f t="shared" ca="1" si="13"/>
        <v>3.0440983842118476</v>
      </c>
      <c r="Y22" s="55">
        <f t="shared" ca="1" si="14"/>
        <v>6.1365278142485102E-2</v>
      </c>
      <c r="Z22" s="55">
        <f t="shared" ca="1" si="15"/>
        <v>0</v>
      </c>
      <c r="AB22">
        <f t="shared" ca="1" si="3"/>
        <v>120</v>
      </c>
      <c r="AC22">
        <f t="shared" ca="1" si="16"/>
        <v>3.5733905249527425</v>
      </c>
      <c r="AD22">
        <f t="shared" ca="1" si="4"/>
        <v>0</v>
      </c>
      <c r="AE22">
        <f t="shared" ca="1" si="5"/>
        <v>0</v>
      </c>
      <c r="AF22" s="83">
        <f ca="1"/>
        <v>45747</v>
      </c>
      <c r="AG22" s="55">
        <f t="shared" ca="1" si="21"/>
        <v>45747</v>
      </c>
      <c r="AH22" s="55">
        <f t="shared" ca="1" si="22"/>
        <v>-3.3646928346329057</v>
      </c>
      <c r="AI22" s="55">
        <f t="shared" ca="1" si="23"/>
        <v>0</v>
      </c>
      <c r="AJ22" s="55">
        <f t="shared" ca="1" si="24"/>
        <v>0</v>
      </c>
      <c r="AK22" s="55">
        <f t="shared" ca="1" si="18"/>
        <v>0</v>
      </c>
      <c r="AL22" s="55">
        <f t="shared" ca="1" si="19"/>
        <v>3.4106004096106428</v>
      </c>
      <c r="AM22" s="55">
        <f t="shared" ca="1" si="20"/>
        <v>-21.633639264854487</v>
      </c>
    </row>
    <row r="23" spans="1:39" s="55" customFormat="1">
      <c r="C23" s="57"/>
      <c r="D23" s="85"/>
      <c r="E23" s="113"/>
      <c r="F23" s="94"/>
      <c r="R23" s="83">
        <f ca="1"/>
        <v>45524</v>
      </c>
      <c r="S23" s="55">
        <f t="shared" ca="1" si="11"/>
        <v>45524</v>
      </c>
      <c r="T23" s="55">
        <f t="shared" ca="1" si="0"/>
        <v>51.611227242036833</v>
      </c>
      <c r="U23" s="55">
        <f t="shared" ca="1" si="1"/>
        <v>0</v>
      </c>
      <c r="V23" s="55">
        <f t="shared" ca="1" si="2"/>
        <v>0</v>
      </c>
      <c r="W23" s="55">
        <f t="shared" ca="1" si="12"/>
        <v>-1.6368319796860882</v>
      </c>
      <c r="X23" s="55">
        <f t="shared" ca="1" si="13"/>
        <v>3.6951045583404261</v>
      </c>
      <c r="Y23" s="55">
        <f t="shared" ca="1" si="14"/>
        <v>0.12774875500591226</v>
      </c>
      <c r="Z23" s="55">
        <f t="shared" ca="1" si="15"/>
        <v>0</v>
      </c>
      <c r="AB23">
        <f t="shared" ca="1" si="3"/>
        <v>120</v>
      </c>
      <c r="AC23">
        <f t="shared" ca="1" si="16"/>
        <v>5.7633905249527402</v>
      </c>
      <c r="AD23">
        <f t="shared" ca="1" si="4"/>
        <v>0</v>
      </c>
      <c r="AE23">
        <f t="shared" ca="1" si="5"/>
        <v>0</v>
      </c>
      <c r="AF23" s="83">
        <f ca="1"/>
        <v>45748</v>
      </c>
      <c r="AG23" s="55">
        <f t="shared" ca="1" si="21"/>
        <v>45748</v>
      </c>
      <c r="AH23" s="55">
        <f t="shared" ca="1" si="22"/>
        <v>-6.1616241305979891</v>
      </c>
      <c r="AI23" s="55">
        <f t="shared" ca="1" si="23"/>
        <v>0</v>
      </c>
      <c r="AJ23" s="55">
        <f t="shared" ca="1" si="24"/>
        <v>0</v>
      </c>
      <c r="AK23" s="55">
        <f t="shared" ca="1" si="18"/>
        <v>0</v>
      </c>
      <c r="AL23" s="55">
        <f t="shared" ca="1" si="19"/>
        <v>4.0838226259541779</v>
      </c>
      <c r="AM23" s="55">
        <f t="shared" ca="1" si="20"/>
        <v>-25.103792777163108</v>
      </c>
    </row>
    <row r="24" spans="1:39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45525</v>
      </c>
      <c r="S24" s="55">
        <f t="shared" ca="1" si="11"/>
        <v>45525</v>
      </c>
      <c r="T24" s="55">
        <f t="shared" ca="1" si="0"/>
        <v>51.773489596462717</v>
      </c>
      <c r="U24" s="55">
        <f t="shared" ca="1" si="1"/>
        <v>0</v>
      </c>
      <c r="V24" s="55">
        <f t="shared" ca="1" si="2"/>
        <v>0</v>
      </c>
      <c r="W24" s="55">
        <f t="shared" ca="1" si="12"/>
        <v>-2.2184958801959147</v>
      </c>
      <c r="X24" s="55">
        <f t="shared" ca="1" si="13"/>
        <v>4.354259754293345</v>
      </c>
      <c r="Y24" s="55">
        <f t="shared" ca="1" si="14"/>
        <v>0.21251981398869918</v>
      </c>
      <c r="Z24" s="55">
        <f t="shared" ca="1" si="15"/>
        <v>0</v>
      </c>
      <c r="AB24">
        <f t="shared" ca="1" si="3"/>
        <v>120</v>
      </c>
      <c r="AC24">
        <f t="shared" ca="1" si="16"/>
        <v>7.8033905249527464</v>
      </c>
      <c r="AD24">
        <f t="shared" ca="1" si="4"/>
        <v>0</v>
      </c>
      <c r="AE24">
        <f t="shared" ca="1" si="5"/>
        <v>0</v>
      </c>
      <c r="AF24" s="83">
        <f ca="1"/>
        <v>45749</v>
      </c>
      <c r="AG24" s="55">
        <f t="shared" ca="1" si="21"/>
        <v>45749</v>
      </c>
      <c r="AH24" s="55">
        <f t="shared" ca="1" si="22"/>
        <v>-8.7182607424912817</v>
      </c>
      <c r="AI24" s="55">
        <f t="shared" ca="1" si="23"/>
        <v>0</v>
      </c>
      <c r="AJ24" s="55">
        <f t="shared" ca="1" si="24"/>
        <v>0</v>
      </c>
      <c r="AK24" s="55">
        <f t="shared" ca="1" si="18"/>
        <v>0</v>
      </c>
      <c r="AL24" s="55">
        <f t="shared" ca="1" si="19"/>
        <v>4.776130082946672</v>
      </c>
      <c r="AM24" s="55">
        <f t="shared" ca="1" si="20"/>
        <v>-28.352736846048895</v>
      </c>
    </row>
    <row r="25" spans="1:39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G25" s="55">
        <f ca="1">SUM(G29:G43)</f>
        <v>226.64178082058339</v>
      </c>
      <c r="R25" s="83">
        <f ca="1"/>
        <v>45526</v>
      </c>
      <c r="S25" s="55">
        <f t="shared" ca="1" si="11"/>
        <v>45526</v>
      </c>
      <c r="T25" s="55">
        <f t="shared" ca="1" si="0"/>
        <v>52.195081547704184</v>
      </c>
      <c r="U25" s="55">
        <f t="shared" ca="1" si="1"/>
        <v>0</v>
      </c>
      <c r="V25" s="55">
        <f t="shared" ca="1" si="2"/>
        <v>0</v>
      </c>
      <c r="W25" s="55">
        <f t="shared" ca="1" si="12"/>
        <v>-2.574935335634732</v>
      </c>
      <c r="X25" s="55">
        <f t="shared" ca="1" si="13"/>
        <v>5.0292664794745034</v>
      </c>
      <c r="Y25" s="55">
        <f t="shared" ca="1" si="14"/>
        <v>0.31554449548782681</v>
      </c>
      <c r="Z25" s="55">
        <f t="shared" ca="1" si="15"/>
        <v>0</v>
      </c>
      <c r="AB25">
        <f t="shared" ca="1" si="3"/>
        <v>120</v>
      </c>
      <c r="AC25">
        <f t="shared" ca="1" si="16"/>
        <v>9.0433905249527555</v>
      </c>
      <c r="AD25">
        <f t="shared" ca="1" si="4"/>
        <v>0</v>
      </c>
      <c r="AE25">
        <f t="shared" ca="1" si="5"/>
        <v>0</v>
      </c>
      <c r="AF25" s="83">
        <f ca="1"/>
        <v>45750</v>
      </c>
      <c r="AG25" s="55">
        <f t="shared" ca="1" si="21"/>
        <v>45750</v>
      </c>
      <c r="AH25" s="55">
        <f t="shared" ca="1" si="22"/>
        <v>-11.093983337734507</v>
      </c>
      <c r="AI25" s="55">
        <f t="shared" ca="1" si="23"/>
        <v>0</v>
      </c>
      <c r="AJ25" s="55">
        <f t="shared" ca="1" si="24"/>
        <v>0</v>
      </c>
      <c r="AK25" s="55">
        <f t="shared" ca="1" si="18"/>
        <v>0</v>
      </c>
      <c r="AL25" s="55">
        <f t="shared" ca="1" si="19"/>
        <v>5.4910237987799677</v>
      </c>
      <c r="AM25" s="55">
        <f t="shared" ca="1" si="20"/>
        <v>-31.443353157125415</v>
      </c>
    </row>
    <row r="26" spans="1:39" s="55" customFormat="1" ht="15.75" thickBot="1">
      <c r="C26" s="56"/>
      <c r="D26" s="56"/>
      <c r="E26" s="56"/>
      <c r="F26" s="56"/>
      <c r="R26" s="83">
        <f ca="1"/>
        <v>45527</v>
      </c>
      <c r="S26" s="55">
        <f t="shared" ca="1" si="11"/>
        <v>45527</v>
      </c>
      <c r="T26" s="55">
        <f t="shared" ca="1" si="0"/>
        <v>52.621218506871024</v>
      </c>
      <c r="U26" s="55">
        <f t="shared" ca="1" si="1"/>
        <v>0</v>
      </c>
      <c r="V26" s="55">
        <f t="shared" ca="1" si="2"/>
        <v>0</v>
      </c>
      <c r="W26" s="55">
        <f t="shared" ca="1" si="12"/>
        <v>-2.9429788146407594</v>
      </c>
      <c r="X26" s="55">
        <f t="shared" ca="1" si="13"/>
        <v>5.7049122106646566</v>
      </c>
      <c r="Y26" s="55">
        <f t="shared" ca="1" si="14"/>
        <v>0.43407920247053844</v>
      </c>
      <c r="Z26" s="55">
        <f t="shared" ca="1" si="15"/>
        <v>0</v>
      </c>
      <c r="AB26">
        <f t="shared" ca="1" si="3"/>
        <v>120</v>
      </c>
      <c r="AC26">
        <f t="shared" ca="1" si="16"/>
        <v>10.313390524952752</v>
      </c>
      <c r="AD26">
        <f t="shared" ca="1" si="4"/>
        <v>0</v>
      </c>
      <c r="AE26">
        <f t="shared" ca="1" si="5"/>
        <v>0</v>
      </c>
      <c r="AF26" s="83">
        <f ca="1"/>
        <v>45751</v>
      </c>
      <c r="AG26" s="55">
        <f t="shared" ca="1" si="21"/>
        <v>45751</v>
      </c>
      <c r="AH26" s="55">
        <f t="shared" ca="1" si="22"/>
        <v>-13.237385602779746</v>
      </c>
      <c r="AI26" s="55">
        <f t="shared" ca="1" si="23"/>
        <v>0</v>
      </c>
      <c r="AJ26" s="55">
        <f t="shared" ca="1" si="24"/>
        <v>0</v>
      </c>
      <c r="AK26" s="55">
        <f t="shared" ca="1" si="18"/>
        <v>0</v>
      </c>
      <c r="AL26" s="55">
        <f t="shared" ca="1" si="19"/>
        <v>6.1772923951791077</v>
      </c>
      <c r="AM26" s="55">
        <f t="shared" ca="1" si="20"/>
        <v>-34.273024018569792</v>
      </c>
    </row>
    <row r="27" spans="1:39" s="55" customFormat="1" ht="15.75" thickBot="1">
      <c r="C27" s="132" t="s">
        <v>137</v>
      </c>
      <c r="D27" s="133"/>
      <c r="E27" s="60"/>
      <c r="F27" s="134" t="s">
        <v>144</v>
      </c>
      <c r="G27" s="135"/>
      <c r="R27" s="83">
        <f ca="1"/>
        <v>45528</v>
      </c>
      <c r="S27" s="55">
        <f t="shared" ca="1" si="11"/>
        <v>45528</v>
      </c>
      <c r="T27" s="55">
        <f t="shared" ca="1" si="0"/>
        <v>51.927801846267229</v>
      </c>
      <c r="U27" s="55">
        <f t="shared" ca="1" si="1"/>
        <v>0</v>
      </c>
      <c r="V27" s="55">
        <f t="shared" ca="1" si="2"/>
        <v>0</v>
      </c>
      <c r="W27" s="55">
        <f t="shared" ca="1" si="12"/>
        <v>-4.4586685670810802</v>
      </c>
      <c r="X27" s="55">
        <f t="shared" ca="1" si="13"/>
        <v>6.3927714821320878</v>
      </c>
      <c r="Y27" s="55">
        <f t="shared" ca="1" si="14"/>
        <v>0.56849302283963743</v>
      </c>
      <c r="Z27" s="55">
        <f t="shared" ca="1" si="15"/>
        <v>0</v>
      </c>
      <c r="AB27">
        <f t="shared" ca="1" si="3"/>
        <v>120</v>
      </c>
      <c r="AC27">
        <f t="shared" ca="1" si="16"/>
        <v>15.613390524952749</v>
      </c>
      <c r="AD27">
        <f t="shared" ca="1" si="4"/>
        <v>0</v>
      </c>
      <c r="AE27">
        <f t="shared" ca="1" si="5"/>
        <v>0</v>
      </c>
      <c r="AF27" s="83">
        <f ca="1"/>
        <v>45752</v>
      </c>
      <c r="AG27" s="55">
        <f t="shared" ca="1" si="21"/>
        <v>45752</v>
      </c>
      <c r="AH27" s="55">
        <f t="shared" ca="1" si="22"/>
        <v>-15.216253964771203</v>
      </c>
      <c r="AI27" s="55">
        <f t="shared" ca="1" si="23"/>
        <v>0</v>
      </c>
      <c r="AJ27" s="55">
        <f t="shared" ca="1" si="24"/>
        <v>0</v>
      </c>
      <c r="AK27" s="55">
        <f t="shared" ca="1" si="18"/>
        <v>0</v>
      </c>
      <c r="AL27" s="55">
        <f t="shared" ca="1" si="19"/>
        <v>6.8607348158502193</v>
      </c>
      <c r="AM27" s="55">
        <f t="shared" ca="1" si="20"/>
        <v>-36.935334801232358</v>
      </c>
    </row>
    <row r="28" spans="1:39" s="55" customFormat="1" ht="15.7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45529</v>
      </c>
      <c r="S28" s="55">
        <f t="shared" ca="1" si="11"/>
        <v>45529</v>
      </c>
      <c r="T28" s="55">
        <f t="shared" ca="1" si="0"/>
        <v>52.024870072008795</v>
      </c>
      <c r="U28" s="55">
        <f t="shared" ca="1" si="1"/>
        <v>0</v>
      </c>
      <c r="V28" s="55">
        <f t="shared" ca="1" si="2"/>
        <v>0</v>
      </c>
      <c r="W28" s="55">
        <f t="shared" ca="1" si="12"/>
        <v>-5.1864135611898154</v>
      </c>
      <c r="X28" s="55">
        <f t="shared" ca="1" si="13"/>
        <v>7.0716179574427134</v>
      </c>
      <c r="Y28" s="55">
        <f t="shared" ca="1" si="14"/>
        <v>0.71445976737930494</v>
      </c>
      <c r="Z28" s="55">
        <f t="shared" ca="1" si="15"/>
        <v>0</v>
      </c>
      <c r="AB28">
        <f t="shared" ca="1" si="3"/>
        <v>120</v>
      </c>
      <c r="AC28">
        <f t="shared" ca="1" si="16"/>
        <v>18.153390524952741</v>
      </c>
      <c r="AD28">
        <f t="shared" ca="1" si="4"/>
        <v>0</v>
      </c>
      <c r="AE28">
        <f t="shared" ca="1" si="5"/>
        <v>0</v>
      </c>
      <c r="AF28" s="83">
        <f ca="1"/>
        <v>45753</v>
      </c>
      <c r="AG28" s="55">
        <f t="shared" ca="1" si="21"/>
        <v>45753</v>
      </c>
      <c r="AH28" s="55">
        <f t="shared" ca="1" si="22"/>
        <v>-17.020915193978453</v>
      </c>
      <c r="AI28" s="55">
        <f t="shared" ca="1" si="23"/>
        <v>0</v>
      </c>
      <c r="AJ28" s="55">
        <f t="shared" ca="1" si="24"/>
        <v>0</v>
      </c>
      <c r="AK28" s="55">
        <f t="shared" ca="1" si="18"/>
        <v>0</v>
      </c>
      <c r="AL28" s="55">
        <f t="shared" ca="1" si="19"/>
        <v>7.5626713078352923</v>
      </c>
      <c r="AM28" s="55">
        <f t="shared" ca="1" si="20"/>
        <v>-39.441932522424679</v>
      </c>
    </row>
    <row r="29" spans="1:39" s="55" customFormat="1">
      <c r="A29" s="83">
        <f t="array" aca="1" ref="A29:A43" ca="1">_xlfn._xlws.FILTER('Model Interface'!Y11:Y500,'Model Interface'!Z11:Z500&gt;0,"")</f>
        <v>45644</v>
      </c>
      <c r="B29" s="55">
        <f t="shared" ref="B29:B43" ca="1" si="25">IF(AND(NOT(F29=""),F29&gt;=StartSchedullingDate),1,0)</f>
        <v>1</v>
      </c>
      <c r="C29" s="78"/>
      <c r="D29" s="80"/>
      <c r="F29" s="74">
        <f ca="1">A29</f>
        <v>45644</v>
      </c>
      <c r="G29" s="76">
        <f ca="1">IFERROR(VLOOKUP(F29,'Model Interface'!$J$11:$O$500,6,FALSE),"")</f>
        <v>75.476037240937032</v>
      </c>
      <c r="H29" s="55" t="str">
        <f ca="1">IF(B29=1,"Suggested","Applied or Planned")</f>
        <v>Suggested</v>
      </c>
      <c r="R29" s="83">
        <f ca="1"/>
        <v>45530</v>
      </c>
      <c r="S29" s="55">
        <f t="shared" ca="1" si="11"/>
        <v>45530</v>
      </c>
      <c r="T29" s="55">
        <f t="shared" ca="1" si="0"/>
        <v>52.601138896390005</v>
      </c>
      <c r="U29" s="55">
        <f t="shared" ca="1" si="1"/>
        <v>0</v>
      </c>
      <c r="V29" s="55">
        <f t="shared" ca="1" si="2"/>
        <v>0</v>
      </c>
      <c r="W29" s="55">
        <f t="shared" ca="1" si="12"/>
        <v>-5.4442353753167589</v>
      </c>
      <c r="X29" s="55">
        <f t="shared" ca="1" si="13"/>
        <v>7.7485428433032064</v>
      </c>
      <c r="Y29" s="55">
        <f t="shared" ca="1" si="14"/>
        <v>0.87162552002696281</v>
      </c>
      <c r="Z29" s="55">
        <f t="shared" ca="1" si="15"/>
        <v>0</v>
      </c>
      <c r="AB29">
        <f t="shared" ca="1" si="3"/>
        <v>120</v>
      </c>
      <c r="AC29">
        <f t="shared" ca="1" si="16"/>
        <v>19.043390524952741</v>
      </c>
      <c r="AD29">
        <f t="shared" ca="1" si="4"/>
        <v>0</v>
      </c>
      <c r="AE29">
        <f t="shared" ca="1" si="5"/>
        <v>0</v>
      </c>
      <c r="AF29" s="83">
        <f ca="1"/>
        <v>45754</v>
      </c>
      <c r="AG29" s="55">
        <f t="shared" ca="1" si="21"/>
        <v>45754</v>
      </c>
      <c r="AH29" s="55">
        <f t="shared" ca="1" si="22"/>
        <v>-18.66440236088593</v>
      </c>
      <c r="AI29" s="55">
        <f t="shared" ca="1" si="23"/>
        <v>0</v>
      </c>
      <c r="AJ29" s="55">
        <f t="shared" ca="1" si="24"/>
        <v>0</v>
      </c>
      <c r="AK29" s="55">
        <f t="shared" ca="1" si="18"/>
        <v>0</v>
      </c>
      <c r="AL29" s="55">
        <f t="shared" ca="1" si="19"/>
        <v>8.269441560164557</v>
      </c>
      <c r="AM29" s="55">
        <f t="shared" ca="1" si="20"/>
        <v>-41.79218994166142</v>
      </c>
    </row>
    <row r="30" spans="1:39" s="55" customFormat="1">
      <c r="A30" s="83">
        <f ca="1"/>
        <v>45660</v>
      </c>
      <c r="B30" s="55">
        <f t="shared" ca="1" si="25"/>
        <v>1</v>
      </c>
      <c r="C30" s="78"/>
      <c r="D30" s="81"/>
      <c r="F30" s="74">
        <f t="shared" ref="F30:F43" ca="1" si="26">IFERROR(IF(A30=A29,"",A30),"")</f>
        <v>45660</v>
      </c>
      <c r="G30" s="76">
        <f ca="1">IFERROR(VLOOKUP(F30,'Model Interface'!$J$11:$O$500,6,FALSE),"")</f>
        <v>75.551525841781185</v>
      </c>
      <c r="H30" s="55" t="str">
        <f t="shared" ref="H30:H43" ca="1" si="27">IF(F30="","",IF(F30&lt;=StartSchedullingDate,"Applied or Planned","Suggested"))</f>
        <v>Suggested</v>
      </c>
      <c r="R30" s="83">
        <f ca="1"/>
        <v>45531</v>
      </c>
      <c r="S30" s="55">
        <f t="shared" ca="1" si="11"/>
        <v>45531</v>
      </c>
      <c r="T30" s="55">
        <f t="shared" ca="1" si="0"/>
        <v>53.334830094746358</v>
      </c>
      <c r="U30" s="55">
        <f t="shared" ca="1" si="1"/>
        <v>0</v>
      </c>
      <c r="V30" s="55">
        <f t="shared" ca="1" si="2"/>
        <v>0</v>
      </c>
      <c r="W30" s="55">
        <f t="shared" ca="1" si="12"/>
        <v>-5.5294165097579313</v>
      </c>
      <c r="X30" s="55">
        <f t="shared" ca="1" si="13"/>
        <v>8.4039289918258682</v>
      </c>
      <c r="Y30" s="55">
        <f t="shared" ca="1" si="14"/>
        <v>1.0351117043018256</v>
      </c>
      <c r="Z30" s="55">
        <f t="shared" ca="1" si="15"/>
        <v>0</v>
      </c>
      <c r="AB30">
        <f t="shared" ca="1" si="3"/>
        <v>120</v>
      </c>
      <c r="AC30">
        <f t="shared" ca="1" si="16"/>
        <v>19.333390524952733</v>
      </c>
      <c r="AD30">
        <f t="shared" ca="1" si="4"/>
        <v>0</v>
      </c>
      <c r="AE30">
        <f t="shared" ca="1" si="5"/>
        <v>0</v>
      </c>
      <c r="AF30" s="83">
        <f ca="1"/>
        <v>45755</v>
      </c>
      <c r="AG30" s="55">
        <f t="shared" ca="1" si="21"/>
        <v>45755</v>
      </c>
      <c r="AH30" s="55">
        <f t="shared" ca="1" si="22"/>
        <v>-20.122941351033838</v>
      </c>
      <c r="AI30" s="55">
        <f t="shared" ca="1" si="23"/>
        <v>0</v>
      </c>
      <c r="AJ30" s="55">
        <f t="shared" ca="1" si="24"/>
        <v>0</v>
      </c>
      <c r="AK30" s="55">
        <f t="shared" ca="1" si="18"/>
        <v>0</v>
      </c>
      <c r="AL30" s="55">
        <f t="shared" ca="1" si="19"/>
        <v>8.9809341741693451</v>
      </c>
      <c r="AM30" s="55">
        <f t="shared" ca="1" si="20"/>
        <v>-43.962221545814117</v>
      </c>
    </row>
    <row r="31" spans="1:39" s="55" customFormat="1">
      <c r="A31" s="83">
        <f ca="1"/>
        <v>45672</v>
      </c>
      <c r="B31" s="55">
        <f t="shared" ca="1" si="25"/>
        <v>1</v>
      </c>
      <c r="C31" s="78"/>
      <c r="D31" s="81"/>
      <c r="F31" s="74">
        <f t="shared" ca="1" si="26"/>
        <v>45672</v>
      </c>
      <c r="G31" s="76">
        <f ca="1">IFERROR(VLOOKUP(F31,'Model Interface'!$J$11:$O$500,6,FALSE),"")</f>
        <v>75.614217737865161</v>
      </c>
      <c r="H31" s="55" t="str">
        <f t="shared" ca="1" si="27"/>
        <v>Suggested</v>
      </c>
      <c r="R31" s="83">
        <f ca="1"/>
        <v>45532</v>
      </c>
      <c r="S31" s="55">
        <f t="shared" ca="1" si="11"/>
        <v>45532</v>
      </c>
      <c r="T31" s="55">
        <f t="shared" ca="1" si="0"/>
        <v>54.09253321928481</v>
      </c>
      <c r="U31" s="55">
        <f t="shared" ca="1" si="1"/>
        <v>0</v>
      </c>
      <c r="V31" s="55">
        <f t="shared" ca="1" si="2"/>
        <v>0</v>
      </c>
      <c r="W31" s="55">
        <f t="shared" ca="1" si="12"/>
        <v>-5.5979337185023557</v>
      </c>
      <c r="X31" s="55">
        <f t="shared" ca="1" si="13"/>
        <v>9.058061824509581</v>
      </c>
      <c r="Y31" s="55">
        <f t="shared" ca="1" si="14"/>
        <v>1.2071992049009901</v>
      </c>
      <c r="Z31" s="55">
        <f t="shared" ca="1" si="15"/>
        <v>0</v>
      </c>
      <c r="AB31">
        <f t="shared" ca="1" si="3"/>
        <v>120</v>
      </c>
      <c r="AC31">
        <f t="shared" ca="1" si="16"/>
        <v>19.563390524952723</v>
      </c>
      <c r="AD31">
        <f t="shared" ca="1" si="4"/>
        <v>0</v>
      </c>
      <c r="AE31">
        <f t="shared" ca="1" si="5"/>
        <v>0</v>
      </c>
      <c r="AF31" s="83">
        <f ca="1"/>
        <v>45756</v>
      </c>
      <c r="AG31" s="55">
        <f t="shared" ca="1" si="21"/>
        <v>45756</v>
      </c>
      <c r="AH31" s="55">
        <f t="shared" ca="1" si="22"/>
        <v>-21.386514439517729</v>
      </c>
      <c r="AI31" s="55">
        <f t="shared" ca="1" si="23"/>
        <v>0</v>
      </c>
      <c r="AJ31" s="55">
        <f t="shared" ca="1" si="24"/>
        <v>0</v>
      </c>
      <c r="AK31" s="55">
        <f t="shared" ca="1" si="18"/>
        <v>0</v>
      </c>
      <c r="AL31" s="55">
        <f t="shared" ca="1" si="19"/>
        <v>9.717584334190196</v>
      </c>
      <c r="AM31" s="55">
        <f t="shared" ca="1" si="20"/>
        <v>-45.962444794318856</v>
      </c>
    </row>
    <row r="32" spans="1:39" s="55" customFormat="1">
      <c r="A32" s="83" t="e">
        <f ca="1"/>
        <v>#N/A</v>
      </c>
      <c r="B32" s="55">
        <f t="shared" ca="1" si="25"/>
        <v>0</v>
      </c>
      <c r="C32" s="78"/>
      <c r="D32" s="81"/>
      <c r="F32" s="74" t="str">
        <f t="shared" ca="1" si="26"/>
        <v/>
      </c>
      <c r="G32" s="76" t="str">
        <f ca="1">IFERROR(VLOOKUP(F32,'Model Interface'!$J$11:$O$500,6,FALSE),"")</f>
        <v/>
      </c>
      <c r="H32" s="55" t="str">
        <f t="shared" ca="1" si="27"/>
        <v/>
      </c>
      <c r="R32" s="83">
        <f ca="1"/>
        <v>45533</v>
      </c>
      <c r="S32" s="55">
        <f t="shared" ca="1" si="11"/>
        <v>45533</v>
      </c>
      <c r="T32" s="55">
        <f t="shared" ca="1" si="0"/>
        <v>54.588497124096286</v>
      </c>
      <c r="U32" s="55">
        <f t="shared" ca="1" si="1"/>
        <v>0</v>
      </c>
      <c r="V32" s="55">
        <f t="shared" ca="1" si="2"/>
        <v>0</v>
      </c>
      <c r="W32" s="55">
        <f t="shared" ca="1" si="12"/>
        <v>-5.9466671899849874</v>
      </c>
      <c r="X32" s="55">
        <f t="shared" ca="1" si="13"/>
        <v>9.7209997272532611</v>
      </c>
      <c r="Y32" s="55">
        <f t="shared" ca="1" si="14"/>
        <v>1.3889586784514203</v>
      </c>
      <c r="Z32" s="55">
        <f t="shared" ca="1" si="15"/>
        <v>0</v>
      </c>
      <c r="AB32">
        <f t="shared" ca="1" si="3"/>
        <v>120</v>
      </c>
      <c r="AC32">
        <f t="shared" ca="1" si="16"/>
        <v>20.72339052495272</v>
      </c>
      <c r="AD32">
        <f t="shared" ca="1" si="4"/>
        <v>0</v>
      </c>
      <c r="AE32">
        <f t="shared" ca="1" si="5"/>
        <v>0</v>
      </c>
      <c r="AF32" s="83">
        <f ca="1"/>
        <v>45757</v>
      </c>
      <c r="AG32" s="55">
        <f t="shared" ca="1" si="21"/>
        <v>45757</v>
      </c>
      <c r="AH32" s="55">
        <f t="shared" ca="1" si="22"/>
        <v>-22.509948531799708</v>
      </c>
      <c r="AI32" s="55">
        <f t="shared" ca="1" si="23"/>
        <v>2.9955747419807333</v>
      </c>
      <c r="AJ32" s="55">
        <f t="shared" ca="1" si="24"/>
        <v>0</v>
      </c>
      <c r="AK32" s="55">
        <f t="shared" ca="1" si="18"/>
        <v>0</v>
      </c>
      <c r="AL32" s="55">
        <f t="shared" ca="1" si="19"/>
        <v>10.46358518085397</v>
      </c>
      <c r="AM32" s="55">
        <f t="shared" ca="1" si="20"/>
        <v>-47.831879733264607</v>
      </c>
    </row>
    <row r="33" spans="1:39" s="55" customFormat="1">
      <c r="A33" s="83" t="e">
        <f ca="1"/>
        <v>#N/A</v>
      </c>
      <c r="B33" s="55">
        <f t="shared" ca="1" si="25"/>
        <v>0</v>
      </c>
      <c r="C33" s="78"/>
      <c r="D33" s="81"/>
      <c r="F33" s="74" t="str">
        <f t="shared" ca="1" si="26"/>
        <v/>
      </c>
      <c r="G33" s="76" t="str">
        <f ca="1">IFERROR(VLOOKUP(F33,'Model Interface'!$J$11:$O$500,6,FALSE),"")</f>
        <v/>
      </c>
      <c r="H33" s="55" t="str">
        <f t="shared" ca="1" si="27"/>
        <v/>
      </c>
      <c r="R33" s="83">
        <f ca="1"/>
        <v>45534</v>
      </c>
      <c r="S33" s="55">
        <f t="shared" ca="1" si="11"/>
        <v>45534</v>
      </c>
      <c r="T33" s="55">
        <f t="shared" ca="1" si="0"/>
        <v>54.620704706926482</v>
      </c>
      <c r="U33" s="55">
        <f t="shared" ca="1" si="1"/>
        <v>0</v>
      </c>
      <c r="V33" s="55">
        <f t="shared" ca="1" si="2"/>
        <v>0</v>
      </c>
      <c r="W33" s="55">
        <f t="shared" ca="1" si="12"/>
        <v>-6.770885707968346</v>
      </c>
      <c r="X33" s="55">
        <f t="shared" ca="1" si="13"/>
        <v>10.387734008267941</v>
      </c>
      <c r="Y33" s="55">
        <f t="shared" ca="1" si="14"/>
        <v>1.578650498250298</v>
      </c>
      <c r="Z33" s="55">
        <f t="shared" ca="1" si="15"/>
        <v>0</v>
      </c>
      <c r="AB33">
        <f t="shared" ca="1" si="3"/>
        <v>120</v>
      </c>
      <c r="AC33">
        <f t="shared" ca="1" si="16"/>
        <v>23.463390524952715</v>
      </c>
      <c r="AD33">
        <f t="shared" ca="1" si="4"/>
        <v>0</v>
      </c>
      <c r="AE33">
        <f t="shared" ca="1" si="5"/>
        <v>0</v>
      </c>
      <c r="AF33" s="83">
        <f ca="1"/>
        <v>45758</v>
      </c>
      <c r="AG33" s="55">
        <f t="shared" ca="1" si="21"/>
        <v>45758</v>
      </c>
      <c r="AH33" s="55">
        <f t="shared" ca="1" si="22"/>
        <v>-23.745004419954185</v>
      </c>
      <c r="AI33" s="55">
        <f t="shared" ca="1" si="23"/>
        <v>3.2474563862880004</v>
      </c>
      <c r="AJ33" s="55">
        <f t="shared" ca="1" si="24"/>
        <v>0</v>
      </c>
      <c r="AK33" s="55">
        <f t="shared" ca="1" si="18"/>
        <v>0</v>
      </c>
      <c r="AL33" s="55">
        <f t="shared" ca="1" si="19"/>
        <v>11.20579466571078</v>
      </c>
      <c r="AM33" s="55">
        <f t="shared" ca="1" si="20"/>
        <v>-49.557263461968631</v>
      </c>
    </row>
    <row r="34" spans="1:39" s="55" customFormat="1" ht="15.75" thickBot="1">
      <c r="A34" s="83" t="e">
        <f ca="1"/>
        <v>#N/A</v>
      </c>
      <c r="B34" s="55">
        <f t="shared" ca="1" si="25"/>
        <v>0</v>
      </c>
      <c r="C34" s="79"/>
      <c r="D34" s="82"/>
      <c r="F34" s="74" t="str">
        <f t="shared" ca="1" si="26"/>
        <v/>
      </c>
      <c r="G34" s="76" t="str">
        <f ca="1">IFERROR(VLOOKUP(F34,'Model Interface'!$J$11:$O$500,6,FALSE),"")</f>
        <v/>
      </c>
      <c r="H34" s="55" t="str">
        <f t="shared" ca="1" si="27"/>
        <v/>
      </c>
      <c r="R34" s="83">
        <f ca="1"/>
        <v>45535</v>
      </c>
      <c r="S34" s="55">
        <f t="shared" ca="1" si="11"/>
        <v>45535</v>
      </c>
      <c r="T34" s="55">
        <f t="shared" ca="1" si="0"/>
        <v>55.186255757389922</v>
      </c>
      <c r="U34" s="55">
        <f t="shared" ca="1" si="1"/>
        <v>0</v>
      </c>
      <c r="V34" s="55">
        <f t="shared" ca="1" si="2"/>
        <v>0</v>
      </c>
      <c r="W34" s="55">
        <f t="shared" ca="1" si="12"/>
        <v>-7.0565745566138478</v>
      </c>
      <c r="X34" s="55">
        <f t="shared" ca="1" si="13"/>
        <v>11.045002973847005</v>
      </c>
      <c r="Y34" s="55">
        <f t="shared" ca="1" si="14"/>
        <v>1.7726214317801736</v>
      </c>
      <c r="Z34" s="55">
        <f t="shared" ca="1" si="15"/>
        <v>0</v>
      </c>
      <c r="AB34">
        <f t="shared" ca="1" si="3"/>
        <v>120</v>
      </c>
      <c r="AC34">
        <f t="shared" ca="1" si="16"/>
        <v>24.403390524952712</v>
      </c>
      <c r="AD34">
        <f t="shared" ca="1" si="4"/>
        <v>0</v>
      </c>
      <c r="AE34">
        <f t="shared" ca="1" si="5"/>
        <v>0</v>
      </c>
      <c r="AF34" s="83">
        <f ca="1"/>
        <v>45759</v>
      </c>
      <c r="AG34" s="55">
        <f t="shared" ca="1" si="21"/>
        <v>45759</v>
      </c>
      <c r="AH34" s="55">
        <f t="shared" ca="1" si="22"/>
        <v>-24.869947176437503</v>
      </c>
      <c r="AI34" s="55">
        <f t="shared" ca="1" si="23"/>
        <v>3.5217083668422462</v>
      </c>
      <c r="AJ34" s="55">
        <f t="shared" ca="1" si="24"/>
        <v>0</v>
      </c>
      <c r="AK34" s="55">
        <f t="shared" ca="1" si="18"/>
        <v>0</v>
      </c>
      <c r="AL34" s="55">
        <f t="shared" ca="1" si="19"/>
        <v>11.982587428404068</v>
      </c>
      <c r="AM34" s="55">
        <f t="shared" ca="1" si="20"/>
        <v>-51.184747000590988</v>
      </c>
    </row>
    <row r="35" spans="1:39" s="55" customFormat="1" ht="15.75" thickBot="1">
      <c r="A35" s="83" t="e">
        <f ca="1"/>
        <v>#N/A</v>
      </c>
      <c r="B35" s="55">
        <f t="shared" ca="1" si="25"/>
        <v>0</v>
      </c>
      <c r="F35" s="74" t="str">
        <f t="shared" ca="1" si="26"/>
        <v/>
      </c>
      <c r="G35" s="76" t="str">
        <f ca="1">IFERROR(VLOOKUP(F35,'Model Interface'!$J$11:$O$500,6,FALSE),"")</f>
        <v/>
      </c>
      <c r="H35" s="55" t="str">
        <f t="shared" ca="1" si="27"/>
        <v/>
      </c>
      <c r="R35" s="83">
        <f ca="1"/>
        <v>45536</v>
      </c>
      <c r="S35" s="55">
        <f t="shared" ca="1" si="11"/>
        <v>45536</v>
      </c>
      <c r="T35" s="55">
        <f t="shared" ca="1" si="0"/>
        <v>55.816997546869011</v>
      </c>
      <c r="U35" s="55">
        <f t="shared" ca="1" si="1"/>
        <v>0</v>
      </c>
      <c r="V35" s="55">
        <f t="shared" ca="1" si="2"/>
        <v>0</v>
      </c>
      <c r="W35" s="55">
        <f t="shared" ca="1" si="12"/>
        <v>-7.2871230247422201</v>
      </c>
      <c r="X35" s="55">
        <f t="shared" ca="1" si="13"/>
        <v>11.706047815015449</v>
      </c>
      <c r="Y35" s="55">
        <f t="shared" ca="1" si="14"/>
        <v>1.972866848219184</v>
      </c>
      <c r="Z35" s="55">
        <f t="shared" ca="1" si="15"/>
        <v>0</v>
      </c>
      <c r="AB35">
        <f t="shared" ca="1" si="3"/>
        <v>120</v>
      </c>
      <c r="AC35">
        <f t="shared" ca="1" si="16"/>
        <v>25.153390524952712</v>
      </c>
      <c r="AD35">
        <f t="shared" ca="1" si="4"/>
        <v>0</v>
      </c>
      <c r="AE35">
        <f t="shared" ca="1" si="5"/>
        <v>0</v>
      </c>
      <c r="AF35" s="83">
        <f ca="1"/>
        <v>45760</v>
      </c>
      <c r="AG35" s="55">
        <f t="shared" ca="1" si="21"/>
        <v>45760</v>
      </c>
      <c r="AH35" s="55">
        <f t="shared" ca="1" si="22"/>
        <v>-25.929370213845278</v>
      </c>
      <c r="AI35" s="55">
        <f t="shared" ca="1" si="23"/>
        <v>3.8266522029008909</v>
      </c>
      <c r="AJ35" s="55">
        <f t="shared" ca="1" si="24"/>
        <v>0</v>
      </c>
      <c r="AK35" s="55">
        <f t="shared" ca="1" si="18"/>
        <v>0</v>
      </c>
      <c r="AL35" s="55">
        <f t="shared" ca="1" si="19"/>
        <v>12.783230840680323</v>
      </c>
      <c r="AM35" s="55">
        <f t="shared" ca="1" si="20"/>
        <v>-52.739869614216374</v>
      </c>
    </row>
    <row r="36" spans="1:39" s="55" customFormat="1" ht="15.75" thickBot="1">
      <c r="A36" s="83" t="e">
        <f ca="1"/>
        <v>#N/A</v>
      </c>
      <c r="B36" s="55">
        <f t="shared" ca="1" si="25"/>
        <v>0</v>
      </c>
      <c r="C36" s="132" t="s">
        <v>138</v>
      </c>
      <c r="D36" s="133"/>
      <c r="F36" s="74" t="str">
        <f t="shared" ca="1" si="26"/>
        <v/>
      </c>
      <c r="G36" s="76" t="str">
        <f ca="1">IFERROR(VLOOKUP(F36,'Model Interface'!$J$11:$O$500,6,FALSE),"")</f>
        <v/>
      </c>
      <c r="H36" s="55" t="str">
        <f t="shared" ca="1" si="27"/>
        <v/>
      </c>
      <c r="R36" s="83">
        <f ca="1"/>
        <v>45537</v>
      </c>
      <c r="S36" s="55">
        <f t="shared" ca="1" si="11"/>
        <v>45537</v>
      </c>
      <c r="T36" s="55">
        <f t="shared" ca="1" si="0"/>
        <v>56.69439848374936</v>
      </c>
      <c r="U36" s="55">
        <f t="shared" ca="1" si="1"/>
        <v>0</v>
      </c>
      <c r="V36" s="55">
        <f t="shared" ca="1" si="2"/>
        <v>0</v>
      </c>
      <c r="W36" s="55">
        <f t="shared" ca="1" si="12"/>
        <v>-7.3214683270120853</v>
      </c>
      <c r="X36" s="55">
        <f t="shared" ca="1" si="13"/>
        <v>12.404299085537238</v>
      </c>
      <c r="Y36" s="55">
        <f t="shared" ca="1" si="14"/>
        <v>2.1863618168476058</v>
      </c>
      <c r="Z36" s="55">
        <f t="shared" ca="1" si="15"/>
        <v>0</v>
      </c>
      <c r="AB36">
        <f t="shared" ca="1" si="3"/>
        <v>120</v>
      </c>
      <c r="AC36">
        <f t="shared" ca="1" si="16"/>
        <v>25.263390524952712</v>
      </c>
      <c r="AD36">
        <f t="shared" ca="1" si="4"/>
        <v>0</v>
      </c>
      <c r="AE36">
        <f t="shared" ca="1" si="5"/>
        <v>0</v>
      </c>
      <c r="AF36" s="83">
        <f ca="1"/>
        <v>45761</v>
      </c>
      <c r="AG36" s="55">
        <f t="shared" ca="1" si="21"/>
        <v>45761</v>
      </c>
      <c r="AH36" s="55">
        <f t="shared" ca="1" si="22"/>
        <v>-26.873441974643026</v>
      </c>
      <c r="AI36" s="55">
        <f t="shared" ca="1" si="23"/>
        <v>4.1477059398311802</v>
      </c>
      <c r="AJ36" s="55">
        <f t="shared" ca="1" si="24"/>
        <v>0</v>
      </c>
      <c r="AK36" s="55">
        <f t="shared" ca="1" si="18"/>
        <v>0</v>
      </c>
      <c r="AL36" s="55">
        <f t="shared" ca="1" si="19"/>
        <v>13.587304052990168</v>
      </c>
      <c r="AM36" s="55">
        <f t="shared" ca="1" si="20"/>
        <v>-54.166960850393679</v>
      </c>
    </row>
    <row r="37" spans="1:39" s="55" customFormat="1" ht="15.75" thickBot="1">
      <c r="A37" s="83" t="e">
        <f ca="1"/>
        <v>#N/A</v>
      </c>
      <c r="B37" s="55">
        <f t="shared" ca="1" si="25"/>
        <v>0</v>
      </c>
      <c r="C37" s="108" t="s">
        <v>14</v>
      </c>
      <c r="D37" s="109" t="s">
        <v>17</v>
      </c>
      <c r="F37" s="74" t="str">
        <f t="shared" ca="1" si="26"/>
        <v/>
      </c>
      <c r="G37" s="76" t="str">
        <f ca="1">IFERROR(VLOOKUP(F37,'Model Interface'!$J$11:$O$500,6,FALSE),"")</f>
        <v/>
      </c>
      <c r="H37" s="55" t="str">
        <f t="shared" ca="1" si="27"/>
        <v/>
      </c>
      <c r="R37" s="83">
        <f ca="1"/>
        <v>45538</v>
      </c>
      <c r="S37" s="55">
        <f t="shared" ca="1" si="11"/>
        <v>45538</v>
      </c>
      <c r="T37" s="55">
        <f t="shared" ca="1" si="0"/>
        <v>57.087274660053481</v>
      </c>
      <c r="U37" s="55">
        <f t="shared" ca="1" si="1"/>
        <v>0</v>
      </c>
      <c r="V37" s="55">
        <f t="shared" ca="1" si="2"/>
        <v>0</v>
      </c>
      <c r="W37" s="55">
        <f t="shared" ca="1" si="12"/>
        <v>-7.8527936572539154</v>
      </c>
      <c r="X37" s="55">
        <f t="shared" ca="1" si="13"/>
        <v>13.109095095780162</v>
      </c>
      <c r="Y37" s="55">
        <f t="shared" ca="1" si="14"/>
        <v>2.4057673131506307</v>
      </c>
      <c r="Z37" s="55">
        <f t="shared" ca="1" si="15"/>
        <v>0</v>
      </c>
      <c r="AB37">
        <f t="shared" ca="1" si="3"/>
        <v>120</v>
      </c>
      <c r="AC37">
        <f t="shared" ca="1" si="16"/>
        <v>26.953390524952709</v>
      </c>
      <c r="AD37">
        <f t="shared" ca="1" si="4"/>
        <v>0</v>
      </c>
      <c r="AE37">
        <f t="shared" ca="1" si="5"/>
        <v>0</v>
      </c>
      <c r="AF37" s="83">
        <f ca="1"/>
        <v>45762</v>
      </c>
      <c r="AG37" s="55">
        <f t="shared" ca="1" si="21"/>
        <v>45762</v>
      </c>
      <c r="AH37" s="55">
        <f t="shared" ca="1" si="22"/>
        <v>-27.730060731875366</v>
      </c>
      <c r="AI37" s="55">
        <f t="shared" ca="1" si="23"/>
        <v>4.4891067131595515</v>
      </c>
      <c r="AJ37" s="55">
        <f t="shared" ca="1" si="24"/>
        <v>0</v>
      </c>
      <c r="AK37" s="55">
        <f t="shared" ca="1" si="18"/>
        <v>0</v>
      </c>
      <c r="AL37" s="55">
        <f t="shared" ca="1" si="19"/>
        <v>14.393566133080686</v>
      </c>
      <c r="AM37" s="55">
        <f t="shared" ca="1" si="20"/>
        <v>-55.488440914388164</v>
      </c>
    </row>
    <row r="38" spans="1:39" s="55" customFormat="1">
      <c r="A38" s="83" t="e">
        <f ca="1"/>
        <v>#N/A</v>
      </c>
      <c r="B38" s="55">
        <f t="shared" ca="1" si="25"/>
        <v>0</v>
      </c>
      <c r="C38" s="78">
        <v>45583</v>
      </c>
      <c r="D38" s="81">
        <v>20</v>
      </c>
      <c r="F38" s="74" t="str">
        <f t="shared" ca="1" si="26"/>
        <v/>
      </c>
      <c r="G38" s="76" t="str">
        <f ca="1">IFERROR(VLOOKUP(F38,'Model Interface'!$J$11:$O$500,6,FALSE),"")</f>
        <v/>
      </c>
      <c r="H38" s="55" t="str">
        <f t="shared" ca="1" si="27"/>
        <v/>
      </c>
      <c r="R38" s="83">
        <f ca="1"/>
        <v>45539</v>
      </c>
      <c r="S38" s="55">
        <f t="shared" ca="1" si="11"/>
        <v>45539</v>
      </c>
      <c r="T38" s="55">
        <f t="shared" ca="1" si="0"/>
        <v>56.884127998695554</v>
      </c>
      <c r="U38" s="55">
        <f t="shared" ca="1" si="1"/>
        <v>0</v>
      </c>
      <c r="V38" s="55">
        <f t="shared" ca="1" si="2"/>
        <v>0</v>
      </c>
      <c r="W38" s="55">
        <f t="shared" ca="1" si="12"/>
        <v>-8.9993798198711001</v>
      </c>
      <c r="X38" s="55">
        <f t="shared" ca="1" si="13"/>
        <v>13.826431734648798</v>
      </c>
      <c r="Y38" s="55">
        <f t="shared" ca="1" si="14"/>
        <v>2.6318701755412475</v>
      </c>
      <c r="Z38" s="55">
        <f t="shared" ca="1" si="15"/>
        <v>0</v>
      </c>
      <c r="AB38">
        <f t="shared" ca="1" si="3"/>
        <v>120</v>
      </c>
      <c r="AC38">
        <f t="shared" ca="1" si="16"/>
        <v>30.613390524952706</v>
      </c>
      <c r="AD38">
        <f t="shared" ca="1" si="4"/>
        <v>0</v>
      </c>
      <c r="AE38">
        <f t="shared" ca="1" si="5"/>
        <v>0</v>
      </c>
      <c r="AF38" s="83">
        <f ca="1"/>
        <v>45763</v>
      </c>
      <c r="AG38" s="55">
        <f t="shared" ca="1" si="21"/>
        <v>45763</v>
      </c>
      <c r="AH38" s="55">
        <f t="shared" ca="1" si="22"/>
        <v>-28.529057627960619</v>
      </c>
      <c r="AI38" s="55">
        <f t="shared" ca="1" si="23"/>
        <v>4.8771963361775805</v>
      </c>
      <c r="AJ38" s="55">
        <f t="shared" ca="1" si="24"/>
        <v>0</v>
      </c>
      <c r="AK38" s="55">
        <f t="shared" ca="1" si="18"/>
        <v>0</v>
      </c>
      <c r="AL38" s="55">
        <f t="shared" ca="1" si="19"/>
        <v>15.263000483102607</v>
      </c>
      <c r="AM38" s="55">
        <f t="shared" ca="1" si="20"/>
        <v>-56.768782537477307</v>
      </c>
    </row>
    <row r="39" spans="1:39" s="55" customFormat="1">
      <c r="A39" s="83" t="e">
        <f ca="1"/>
        <v>#N/A</v>
      </c>
      <c r="B39" s="55">
        <f t="shared" ca="1" si="25"/>
        <v>0</v>
      </c>
      <c r="C39" s="78"/>
      <c r="D39" s="81"/>
      <c r="F39" s="74" t="str">
        <f t="shared" ca="1" si="26"/>
        <v/>
      </c>
      <c r="G39" s="76" t="str">
        <f ca="1">IFERROR(VLOOKUP(F39,'Model Interface'!$J$11:$O$500,6,FALSE),"")</f>
        <v/>
      </c>
      <c r="H39" s="55" t="str">
        <f t="shared" ca="1" si="27"/>
        <v/>
      </c>
      <c r="R39" s="83">
        <f ca="1"/>
        <v>45540</v>
      </c>
      <c r="S39" s="55">
        <f t="shared" ca="1" si="11"/>
        <v>45540</v>
      </c>
      <c r="T39" s="55">
        <f t="shared" ca="1" si="0"/>
        <v>57.287079783204376</v>
      </c>
      <c r="U39" s="55">
        <f t="shared" ca="1" si="1"/>
        <v>0</v>
      </c>
      <c r="V39" s="55">
        <f t="shared" ca="1" si="2"/>
        <v>0</v>
      </c>
      <c r="W39" s="55">
        <f t="shared" ca="1" si="12"/>
        <v>-9.5388746668729318</v>
      </c>
      <c r="X39" s="55">
        <f t="shared" ca="1" si="13"/>
        <v>14.540454775388936</v>
      </c>
      <c r="Y39" s="55">
        <f t="shared" ca="1" si="14"/>
        <v>2.8602937663117691</v>
      </c>
      <c r="Z39" s="55">
        <f t="shared" ca="1" si="15"/>
        <v>0</v>
      </c>
      <c r="AB39">
        <f t="shared" ca="1" si="3"/>
        <v>120</v>
      </c>
      <c r="AC39">
        <f t="shared" ca="1" si="16"/>
        <v>32.323390524952714</v>
      </c>
      <c r="AD39">
        <f t="shared" ca="1" si="4"/>
        <v>0</v>
      </c>
      <c r="AE39">
        <f t="shared" ca="1" si="5"/>
        <v>0</v>
      </c>
      <c r="AF39" s="83">
        <f ca="1"/>
        <v>45764</v>
      </c>
      <c r="AG39" s="55">
        <f t="shared" ca="1" si="21"/>
        <v>45764</v>
      </c>
      <c r="AH39" s="55">
        <f t="shared" ca="1" si="22"/>
        <v>-29.248923533516514</v>
      </c>
      <c r="AI39" s="55">
        <f t="shared" ca="1" si="23"/>
        <v>5.2881229318685792</v>
      </c>
      <c r="AJ39" s="55">
        <f t="shared" ca="1" si="24"/>
        <v>0</v>
      </c>
      <c r="AK39" s="55">
        <f t="shared" ca="1" si="18"/>
        <v>0</v>
      </c>
      <c r="AL39" s="55">
        <f t="shared" ca="1" si="19"/>
        <v>16.129522539630898</v>
      </c>
      <c r="AM39" s="55">
        <f t="shared" ca="1" si="20"/>
        <v>-57.944243903870493</v>
      </c>
    </row>
    <row r="40" spans="1:39" s="55" customFormat="1" ht="6.75" customHeight="1">
      <c r="A40" s="83" t="e">
        <f ca="1"/>
        <v>#N/A</v>
      </c>
      <c r="B40" s="55">
        <f t="shared" ca="1" si="25"/>
        <v>0</v>
      </c>
      <c r="C40" s="78"/>
      <c r="D40" s="81"/>
      <c r="F40" s="74" t="str">
        <f t="shared" ca="1" si="26"/>
        <v/>
      </c>
      <c r="G40" s="76" t="str">
        <f ca="1">IFERROR(VLOOKUP(F40,'Model Interface'!$J$11:$O$500,6,FALSE),"")</f>
        <v/>
      </c>
      <c r="H40" s="55" t="str">
        <f t="shared" ca="1" si="27"/>
        <v/>
      </c>
      <c r="R40" s="83">
        <f ca="1"/>
        <v>45541</v>
      </c>
      <c r="S40" s="55">
        <f t="shared" ca="1" si="11"/>
        <v>45541</v>
      </c>
      <c r="T40" s="55">
        <f t="shared" ca="1" si="0"/>
        <v>58.035746239700323</v>
      </c>
      <c r="U40" s="55">
        <f t="shared" ca="1" si="1"/>
        <v>0</v>
      </c>
      <c r="V40" s="55">
        <f t="shared" ca="1" si="2"/>
        <v>0</v>
      </c>
      <c r="W40" s="55">
        <f t="shared" ca="1" si="12"/>
        <v>-9.7114679296031738</v>
      </c>
      <c r="X40" s="55">
        <f t="shared" ca="1" si="13"/>
        <v>15.23544803135734</v>
      </c>
      <c r="Y40" s="55">
        <f t="shared" ca="1" si="14"/>
        <v>3.0865602295695487</v>
      </c>
      <c r="Z40" s="55">
        <f t="shared" ca="1" si="15"/>
        <v>0</v>
      </c>
      <c r="AB40">
        <f t="shared" ca="1" si="3"/>
        <v>120</v>
      </c>
      <c r="AC40">
        <f t="shared" ca="1" si="16"/>
        <v>32.86339052495272</v>
      </c>
      <c r="AD40">
        <f t="shared" ca="1" si="4"/>
        <v>0</v>
      </c>
      <c r="AE40">
        <f t="shared" ca="1" si="5"/>
        <v>0</v>
      </c>
      <c r="AF40" s="83">
        <f ca="1"/>
        <v>45765</v>
      </c>
      <c r="AG40" s="55">
        <f t="shared" ca="1" si="21"/>
        <v>45765</v>
      </c>
      <c r="AH40" s="55">
        <f t="shared" ca="1" si="22"/>
        <v>-29.909315183030607</v>
      </c>
      <c r="AI40" s="55">
        <f t="shared" ca="1" si="23"/>
        <v>5.7336292308417063</v>
      </c>
      <c r="AJ40" s="55">
        <f t="shared" ca="1" si="24"/>
        <v>0</v>
      </c>
      <c r="AK40" s="55">
        <f t="shared" ca="1" si="18"/>
        <v>0</v>
      </c>
      <c r="AL40" s="55">
        <f t="shared" ca="1" si="19"/>
        <v>17.012567087047298</v>
      </c>
      <c r="AM40" s="55">
        <f t="shared" ca="1" si="20"/>
        <v>-59.042173801827857</v>
      </c>
    </row>
    <row r="41" spans="1:39" s="55" customFormat="1">
      <c r="A41" s="83" t="e">
        <f ca="1"/>
        <v>#N/A</v>
      </c>
      <c r="B41" s="55">
        <f t="shared" ca="1" si="25"/>
        <v>0</v>
      </c>
      <c r="C41" s="78"/>
      <c r="D41" s="81"/>
      <c r="F41" s="74" t="str">
        <f t="shared" ca="1" si="26"/>
        <v/>
      </c>
      <c r="G41" s="76" t="str">
        <f ca="1">IFERROR(VLOOKUP(F41,'Model Interface'!$J$11:$O$500,6,FALSE),"")</f>
        <v/>
      </c>
      <c r="H41" s="55" t="str">
        <f t="shared" ca="1" si="27"/>
        <v/>
      </c>
      <c r="R41" s="83">
        <f ca="1"/>
        <v>45542</v>
      </c>
      <c r="S41" s="55">
        <f t="shared" ca="1" si="11"/>
        <v>45542</v>
      </c>
      <c r="T41" s="55">
        <f t="shared" ca="1" si="0"/>
        <v>58.348997787473579</v>
      </c>
      <c r="U41" s="55">
        <f t="shared" ca="1" si="1"/>
        <v>0</v>
      </c>
      <c r="V41" s="55">
        <f t="shared" ca="1" si="2"/>
        <v>0</v>
      </c>
      <c r="W41" s="55">
        <f t="shared" ca="1" si="12"/>
        <v>-10.357365965981035</v>
      </c>
      <c r="X41" s="55">
        <f t="shared" ca="1" si="13"/>
        <v>15.959440686953052</v>
      </c>
      <c r="Y41" s="55">
        <f t="shared" ca="1" si="14"/>
        <v>3.3217171581249545</v>
      </c>
      <c r="Z41" s="55">
        <f t="shared" ca="1" si="15"/>
        <v>0</v>
      </c>
      <c r="AB41">
        <f t="shared" ca="1" si="3"/>
        <v>120</v>
      </c>
      <c r="AC41">
        <f t="shared" ca="1" si="16"/>
        <v>34.873390524952725</v>
      </c>
      <c r="AD41">
        <f t="shared" ca="1" si="4"/>
        <v>0</v>
      </c>
      <c r="AE41">
        <f t="shared" ca="1" si="5"/>
        <v>0</v>
      </c>
      <c r="AF41" s="83">
        <f ca="1"/>
        <v>45766</v>
      </c>
      <c r="AG41" s="55">
        <f t="shared" ca="1" si="21"/>
        <v>45766</v>
      </c>
      <c r="AH41" s="55">
        <f t="shared" ca="1" si="22"/>
        <v>-30.515297186205672</v>
      </c>
      <c r="AI41" s="55">
        <f t="shared" ca="1" si="23"/>
        <v>6.2050252177626692</v>
      </c>
      <c r="AJ41" s="55">
        <f t="shared" ca="1" si="24"/>
        <v>0</v>
      </c>
      <c r="AK41" s="55">
        <f t="shared" ca="1" si="18"/>
        <v>0</v>
      </c>
      <c r="AL41" s="55">
        <f t="shared" ca="1" si="19"/>
        <v>17.885632276854444</v>
      </c>
      <c r="AM41" s="55">
        <f t="shared" ca="1" si="20"/>
        <v>-60.049825007889105</v>
      </c>
    </row>
    <row r="42" spans="1:39" s="55" customFormat="1">
      <c r="A42" s="83" t="e">
        <f ca="1"/>
        <v>#N/A</v>
      </c>
      <c r="B42" s="55">
        <f t="shared" ca="1" si="25"/>
        <v>0</v>
      </c>
      <c r="C42" s="78"/>
      <c r="D42" s="81"/>
      <c r="F42" s="74" t="str">
        <f t="shared" ca="1" si="26"/>
        <v/>
      </c>
      <c r="G42" s="76" t="str">
        <f ca="1">IFERROR(VLOOKUP(F42,'Model Interface'!$J$11:$O$500,6,FALSE),"")</f>
        <v/>
      </c>
      <c r="H42" s="55" t="str">
        <f t="shared" ca="1" si="27"/>
        <v/>
      </c>
      <c r="R42" s="83">
        <f ca="1"/>
        <v>45543</v>
      </c>
      <c r="S42" s="55">
        <f t="shared" ca="1" si="11"/>
        <v>45543</v>
      </c>
      <c r="T42" s="55">
        <f t="shared" ca="1" si="0"/>
        <v>58.813463686068012</v>
      </c>
      <c r="U42" s="55">
        <f t="shared" ca="1" si="1"/>
        <v>0</v>
      </c>
      <c r="V42" s="55">
        <f t="shared" ca="1" si="2"/>
        <v>0</v>
      </c>
      <c r="W42" s="55">
        <f t="shared" ca="1" si="12"/>
        <v>-10.823782304082727</v>
      </c>
      <c r="X42" s="55">
        <f t="shared" ca="1" si="13"/>
        <v>16.659651358461172</v>
      </c>
      <c r="Y42" s="55">
        <f t="shared" ca="1" si="14"/>
        <v>3.5523887233129532</v>
      </c>
      <c r="Z42" s="55">
        <f t="shared" ca="1" si="15"/>
        <v>0</v>
      </c>
      <c r="AB42">
        <f t="shared" ca="1" si="3"/>
        <v>120</v>
      </c>
      <c r="AC42">
        <f t="shared" ca="1" si="16"/>
        <v>36.313390524952737</v>
      </c>
      <c r="AD42">
        <f t="shared" ca="1" si="4"/>
        <v>0</v>
      </c>
      <c r="AE42">
        <f t="shared" ca="1" si="5"/>
        <v>0</v>
      </c>
      <c r="AF42" s="83">
        <f ca="1"/>
        <v>45767</v>
      </c>
      <c r="AG42" s="55">
        <f t="shared" ca="1" si="21"/>
        <v>45767</v>
      </c>
      <c r="AH42" s="55">
        <f t="shared" ca="1" si="22"/>
        <v>-31.105341360390796</v>
      </c>
      <c r="AI42" s="55">
        <f t="shared" ca="1" si="23"/>
        <v>6.7259792090606823</v>
      </c>
      <c r="AJ42" s="55">
        <f t="shared" ca="1" si="24"/>
        <v>0</v>
      </c>
      <c r="AK42" s="55">
        <f t="shared" ca="1" si="18"/>
        <v>0</v>
      </c>
      <c r="AL42" s="55">
        <f t="shared" ca="1" si="19"/>
        <v>18.769174992241233</v>
      </c>
      <c r="AM42" s="55">
        <f t="shared" ca="1" si="20"/>
        <v>-61.002457906163002</v>
      </c>
    </row>
    <row r="43" spans="1:39" s="55" customFormat="1" ht="15.75" thickBot="1">
      <c r="A43" s="83" t="e">
        <f ca="1"/>
        <v>#N/A</v>
      </c>
      <c r="B43" s="55">
        <f t="shared" ca="1" si="25"/>
        <v>0</v>
      </c>
      <c r="C43" s="79"/>
      <c r="D43" s="82"/>
      <c r="F43" s="75" t="str">
        <f t="shared" ca="1" si="26"/>
        <v/>
      </c>
      <c r="G43" s="77" t="str">
        <f ca="1">IFERROR(VLOOKUP(F43,'Model Interface'!$J$11:$O$500,6,FALSE),"")</f>
        <v/>
      </c>
      <c r="H43" s="55" t="str">
        <f t="shared" ca="1" si="27"/>
        <v/>
      </c>
      <c r="R43" s="83">
        <f ca="1"/>
        <v>45544</v>
      </c>
      <c r="S43" s="55">
        <f t="shared" ca="1" si="11"/>
        <v>45544</v>
      </c>
      <c r="T43" s="55">
        <f t="shared" ca="1" si="0"/>
        <v>59.757424950346305</v>
      </c>
      <c r="U43" s="55">
        <f t="shared" ca="1" si="1"/>
        <v>0</v>
      </c>
      <c r="V43" s="55">
        <f t="shared" ca="1" si="2"/>
        <v>0</v>
      </c>
      <c r="W43" s="55">
        <f t="shared" ca="1" si="12"/>
        <v>-10.823782304082727</v>
      </c>
      <c r="X43" s="55">
        <f t="shared" ca="1" si="13"/>
        <v>17.369710750982659</v>
      </c>
      <c r="Y43" s="55">
        <f t="shared" ca="1" si="14"/>
        <v>3.7862905950697634</v>
      </c>
      <c r="Z43" s="55">
        <f t="shared" ca="1" si="15"/>
        <v>0</v>
      </c>
      <c r="AB43">
        <f t="shared" ca="1" si="3"/>
        <v>118.52173913043477</v>
      </c>
      <c r="AC43">
        <f t="shared" ca="1" si="16"/>
        <v>36.313390524952737</v>
      </c>
      <c r="AD43">
        <f t="shared" ca="1" si="4"/>
        <v>0</v>
      </c>
      <c r="AE43">
        <f t="shared" ca="1" si="5"/>
        <v>0</v>
      </c>
      <c r="AF43" s="83">
        <f ca="1"/>
        <v>45768</v>
      </c>
      <c r="AG43" s="55">
        <f t="shared" ca="1" si="21"/>
        <v>45768</v>
      </c>
      <c r="AH43" s="55">
        <f t="shared" ca="1" si="22"/>
        <v>-31.63214135138432</v>
      </c>
      <c r="AI43" s="55">
        <f t="shared" ca="1" si="23"/>
        <v>7.2814389000079993</v>
      </c>
      <c r="AJ43" s="55">
        <f t="shared" ca="1" si="24"/>
        <v>0</v>
      </c>
      <c r="AK43" s="55">
        <f t="shared" ca="1" si="18"/>
        <v>0</v>
      </c>
      <c r="AL43" s="55">
        <f t="shared" ca="1" si="19"/>
        <v>19.673989407702997</v>
      </c>
      <c r="AM43" s="55">
        <f t="shared" ca="1" si="20"/>
        <v>-61.878612621670975</v>
      </c>
    </row>
    <row r="44" spans="1:39" s="54" customFormat="1">
      <c r="A44" s="55"/>
      <c r="B44" s="55">
        <f ca="1">IF(C38="",CurrentEstablishDate,IF(AND(C38&gt;CurrentEstablishDate,(C38-CurrentEstablishDate)&lt;10),C38,CurrentEstablishDate))</f>
        <v>45589</v>
      </c>
      <c r="C44" s="94" t="s">
        <v>149</v>
      </c>
      <c r="D44" s="96">
        <f ca="1">MAX(CurrentEstablishDate,C38:C43,MAX(C29:C34)+1)</f>
        <v>45589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45545</v>
      </c>
      <c r="S44" s="55">
        <f t="shared" ca="1" si="11"/>
        <v>45545</v>
      </c>
      <c r="T44" s="55">
        <f t="shared" ca="1" si="0"/>
        <v>60.667008997282657</v>
      </c>
      <c r="U44" s="55">
        <f t="shared" ca="1" si="1"/>
        <v>0</v>
      </c>
      <c r="V44" s="55">
        <f t="shared" ca="1" si="2"/>
        <v>0</v>
      </c>
      <c r="W44" s="55">
        <f t="shared" ca="1" si="12"/>
        <v>-10.870082916813699</v>
      </c>
      <c r="X44" s="55">
        <f t="shared" ca="1" si="13"/>
        <v>18.08904015862047</v>
      </c>
      <c r="Y44" s="55">
        <f t="shared" ca="1" si="14"/>
        <v>4.0228458470992727</v>
      </c>
      <c r="Z44" s="55">
        <f t="shared" ca="1" si="15"/>
        <v>0</v>
      </c>
      <c r="AA44" s="55"/>
      <c r="AB44">
        <f t="shared" ca="1" si="3"/>
        <v>120</v>
      </c>
      <c r="AC44">
        <f t="shared" ca="1" si="16"/>
        <v>36.451970235097662</v>
      </c>
      <c r="AD44">
        <f t="shared" ca="1" si="4"/>
        <v>0</v>
      </c>
      <c r="AE44">
        <f t="shared" ca="1" si="5"/>
        <v>0</v>
      </c>
      <c r="AF44" s="83">
        <f ca="1"/>
        <v>45769</v>
      </c>
      <c r="AG44" s="55">
        <f t="shared" ca="1" si="21"/>
        <v>45769</v>
      </c>
      <c r="AH44" s="55">
        <f t="shared" ca="1" si="22"/>
        <v>-32.087392619975766</v>
      </c>
      <c r="AI44" s="55">
        <f t="shared" ca="1" si="23"/>
        <v>7.8375981648745157</v>
      </c>
      <c r="AJ44" s="55">
        <f t="shared" ca="1" si="24"/>
        <v>0</v>
      </c>
      <c r="AK44" s="55">
        <f t="shared" ca="1" si="18"/>
        <v>0</v>
      </c>
      <c r="AL44" s="55">
        <f t="shared" ca="1" si="19"/>
        <v>20.549253669255009</v>
      </c>
      <c r="AM44" s="55">
        <f t="shared" ca="1" si="20"/>
        <v>-62.652968886947917</v>
      </c>
    </row>
    <row r="45" spans="1:39" s="55" customFormat="1">
      <c r="R45" s="83">
        <f ca="1"/>
        <v>45546</v>
      </c>
      <c r="S45" s="55">
        <f t="shared" ca="1" si="11"/>
        <v>45546</v>
      </c>
      <c r="T45" s="55">
        <f t="shared" ca="1" si="0"/>
        <v>61.147880696531423</v>
      </c>
      <c r="U45" s="55">
        <f t="shared" ca="1" si="1"/>
        <v>0</v>
      </c>
      <c r="V45" s="55">
        <f t="shared" ca="1" si="2"/>
        <v>0</v>
      </c>
      <c r="W45" s="55">
        <f t="shared" ca="1" si="12"/>
        <v>-11.378585147881372</v>
      </c>
      <c r="X45" s="55">
        <f t="shared" ca="1" si="13"/>
        <v>18.835270863357323</v>
      </c>
      <c r="Y45" s="55">
        <f t="shared" ca="1" si="14"/>
        <v>4.2659890726788561</v>
      </c>
      <c r="Z45" s="55">
        <f t="shared" ca="1" si="15"/>
        <v>0</v>
      </c>
      <c r="AB45">
        <f t="shared" ca="1" si="3"/>
        <v>120</v>
      </c>
      <c r="AC45">
        <f t="shared" ca="1" si="16"/>
        <v>37.961970235097652</v>
      </c>
      <c r="AD45">
        <f t="shared" ca="1" si="4"/>
        <v>0</v>
      </c>
      <c r="AE45">
        <f t="shared" ca="1" si="5"/>
        <v>0</v>
      </c>
      <c r="AF45" s="83">
        <f ca="1"/>
        <v>45770</v>
      </c>
      <c r="AG45" s="55">
        <f t="shared" ca="1" si="21"/>
        <v>45770</v>
      </c>
      <c r="AH45" s="55">
        <f t="shared" ca="1" si="22"/>
        <v>-32.532690586411505</v>
      </c>
      <c r="AI45" s="55">
        <f t="shared" ca="1" si="23"/>
        <v>8.4451083645688367</v>
      </c>
      <c r="AJ45" s="55">
        <f t="shared" ca="1" si="24"/>
        <v>0</v>
      </c>
      <c r="AK45" s="55">
        <f t="shared" ca="1" si="18"/>
        <v>0</v>
      </c>
      <c r="AL45" s="55">
        <f t="shared" ca="1" si="19"/>
        <v>21.438620640330047</v>
      </c>
      <c r="AM45" s="55">
        <f t="shared" ca="1" si="20"/>
        <v>-63.380123624764373</v>
      </c>
    </row>
    <row r="46" spans="1:39" s="55" customFormat="1" ht="15.75" thickBot="1">
      <c r="C46" s="129" t="s">
        <v>153</v>
      </c>
      <c r="D46" s="129"/>
      <c r="E46" s="129"/>
      <c r="F46" s="129"/>
      <c r="G46" s="129"/>
      <c r="H46" s="129"/>
      <c r="R46" s="83">
        <f ca="1"/>
        <v>45547</v>
      </c>
      <c r="S46" s="55">
        <f t="shared" ca="1" si="11"/>
        <v>45547</v>
      </c>
      <c r="T46" s="55">
        <f t="shared" ca="1" si="0"/>
        <v>61.152521382240607</v>
      </c>
      <c r="U46" s="55">
        <f t="shared" ca="1" si="1"/>
        <v>0</v>
      </c>
      <c r="V46" s="55">
        <f t="shared" ca="1" si="2"/>
        <v>0</v>
      </c>
      <c r="W46" s="55">
        <f t="shared" ca="1" si="12"/>
        <v>-12.341781673072953</v>
      </c>
      <c r="X46" s="55">
        <f t="shared" ca="1" si="13"/>
        <v>19.564616027098893</v>
      </c>
      <c r="Y46" s="55">
        <f t="shared" ca="1" si="14"/>
        <v>4.504481119838057</v>
      </c>
      <c r="Z46" s="55">
        <f t="shared" ca="1" si="15"/>
        <v>0</v>
      </c>
      <c r="AB46">
        <f t="shared" ca="1" si="3"/>
        <v>120</v>
      </c>
      <c r="AC46">
        <f t="shared" ca="1" si="16"/>
        <v>40.821970235097652</v>
      </c>
      <c r="AD46">
        <f t="shared" ca="1" si="4"/>
        <v>0</v>
      </c>
      <c r="AE46">
        <f t="shared" ca="1" si="5"/>
        <v>0</v>
      </c>
      <c r="AF46" s="83">
        <f ca="1"/>
        <v>45771</v>
      </c>
      <c r="AG46" s="55">
        <f t="shared" ca="1" si="21"/>
        <v>45771</v>
      </c>
      <c r="AH46" s="55">
        <f t="shared" ca="1" si="22"/>
        <v>-32.927052372013989</v>
      </c>
      <c r="AI46" s="55">
        <f t="shared" ca="1" si="23"/>
        <v>9.0853565656600939</v>
      </c>
      <c r="AJ46" s="55">
        <f t="shared" ca="1" si="24"/>
        <v>0</v>
      </c>
      <c r="AK46" s="55">
        <f t="shared" ca="1" si="18"/>
        <v>0</v>
      </c>
      <c r="AL46" s="55">
        <f t="shared" ca="1" si="19"/>
        <v>22.350147618095054</v>
      </c>
      <c r="AM46" s="55">
        <f t="shared" ca="1" si="20"/>
        <v>-64.045764187040618</v>
      </c>
    </row>
    <row r="47" spans="1:39" s="55" customFormat="1">
      <c r="C47" s="61" t="s">
        <v>26</v>
      </c>
      <c r="D47" s="88" t="str">
        <f>IF(E47="","Fodder",E47)</f>
        <v>Green_manure</v>
      </c>
      <c r="E47" s="87" t="s">
        <v>281</v>
      </c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45548</v>
      </c>
      <c r="S47" s="55">
        <f t="shared" ca="1" si="11"/>
        <v>45548</v>
      </c>
      <c r="T47" s="55">
        <f t="shared" ca="1" si="0"/>
        <v>61.752881207827407</v>
      </c>
      <c r="U47" s="55">
        <f t="shared" ca="1" si="1"/>
        <v>0</v>
      </c>
      <c r="V47" s="55">
        <f t="shared" ca="1" si="2"/>
        <v>0</v>
      </c>
      <c r="W47" s="55">
        <f t="shared" ca="1" si="12"/>
        <v>-12.722680604117176</v>
      </c>
      <c r="X47" s="55">
        <f t="shared" ca="1" si="13"/>
        <v>20.305417128591934</v>
      </c>
      <c r="Y47" s="55">
        <f t="shared" ca="1" si="14"/>
        <v>4.7449387749760357</v>
      </c>
      <c r="Z47" s="55">
        <f t="shared" ca="1" si="15"/>
        <v>0</v>
      </c>
      <c r="AB47">
        <f t="shared" ca="1" si="3"/>
        <v>120</v>
      </c>
      <c r="AC47">
        <f t="shared" ca="1" si="16"/>
        <v>41.941970235097656</v>
      </c>
      <c r="AD47">
        <f t="shared" ca="1" si="4"/>
        <v>0</v>
      </c>
      <c r="AE47">
        <f t="shared" ca="1" si="5"/>
        <v>0</v>
      </c>
      <c r="AF47" s="83">
        <f ca="1"/>
        <v>45772</v>
      </c>
      <c r="AG47" s="55">
        <f t="shared" ca="1" si="21"/>
        <v>45772</v>
      </c>
      <c r="AH47" s="55">
        <f t="shared" ca="1" si="22"/>
        <v>-33.326610754156341</v>
      </c>
      <c r="AI47" s="55">
        <f t="shared" ca="1" si="23"/>
        <v>9.7940090369354227</v>
      </c>
      <c r="AJ47" s="55">
        <f t="shared" ca="1" si="24"/>
        <v>0</v>
      </c>
      <c r="AK47" s="55">
        <f t="shared" ca="1" si="18"/>
        <v>0</v>
      </c>
      <c r="AL47" s="55">
        <f t="shared" ca="1" si="19"/>
        <v>23.287201422391796</v>
      </c>
      <c r="AM47" s="55">
        <f t="shared" ca="1" si="20"/>
        <v>-64.673723902204387</v>
      </c>
    </row>
    <row r="48" spans="1:39" s="55" customFormat="1">
      <c r="C48" s="61" t="s">
        <v>94</v>
      </c>
      <c r="D48" s="84" t="str">
        <f>IF(E48="","Barley",E48)</f>
        <v>Annual ryegrass</v>
      </c>
      <c r="E48" s="66" t="s">
        <v>40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45549</v>
      </c>
      <c r="S48" s="55">
        <f t="shared" ca="1" si="11"/>
        <v>45549</v>
      </c>
      <c r="T48" s="55">
        <f t="shared" ca="1" si="0"/>
        <v>62.436061569229011</v>
      </c>
      <c r="U48" s="55">
        <f t="shared" ca="1" si="1"/>
        <v>0</v>
      </c>
      <c r="V48" s="55">
        <f t="shared" ca="1" si="2"/>
        <v>0</v>
      </c>
      <c r="W48" s="55">
        <f t="shared" ca="1" si="12"/>
        <v>-13.045900331545131</v>
      </c>
      <c r="X48" s="55">
        <f t="shared" ca="1" si="13"/>
        <v>21.067395723373494</v>
      </c>
      <c r="Y48" s="55">
        <f t="shared" ca="1" si="14"/>
        <v>4.9893602690240364</v>
      </c>
      <c r="Z48" s="55">
        <f t="shared" ca="1" si="15"/>
        <v>0</v>
      </c>
      <c r="AB48">
        <f t="shared" ca="1" si="3"/>
        <v>120</v>
      </c>
      <c r="AC48">
        <f t="shared" ca="1" si="16"/>
        <v>42.881970235097668</v>
      </c>
      <c r="AD48">
        <f t="shared" ca="1" si="4"/>
        <v>0</v>
      </c>
      <c r="AE48">
        <f t="shared" ca="1" si="5"/>
        <v>0</v>
      </c>
      <c r="AF48" s="83">
        <f ca="1"/>
        <v>45773</v>
      </c>
      <c r="AG48" s="55">
        <f t="shared" ca="1" si="21"/>
        <v>45773</v>
      </c>
      <c r="AH48" s="55">
        <f t="shared" ca="1" si="22"/>
        <v>-33.740613066266455</v>
      </c>
      <c r="AI48" s="55">
        <f t="shared" ca="1" si="23"/>
        <v>10.575116882363613</v>
      </c>
      <c r="AJ48" s="55">
        <f t="shared" ca="1" si="24"/>
        <v>0</v>
      </c>
      <c r="AK48" s="55">
        <f t="shared" ca="1" si="18"/>
        <v>0</v>
      </c>
      <c r="AL48" s="55">
        <f t="shared" ca="1" si="19"/>
        <v>24.242355650938368</v>
      </c>
      <c r="AM48" s="55">
        <f t="shared" ca="1" si="20"/>
        <v>-65.261772597432881</v>
      </c>
    </row>
    <row r="49" spans="2:39" s="55" customFormat="1">
      <c r="C49" s="61" t="s">
        <v>95</v>
      </c>
      <c r="D49" s="84" t="str">
        <f>IF(E49="","General",E49)</f>
        <v>General</v>
      </c>
      <c r="E49" s="66" t="s">
        <v>29</v>
      </c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45550</v>
      </c>
      <c r="S49" s="55">
        <f t="shared" ca="1" si="11"/>
        <v>45550</v>
      </c>
      <c r="T49" s="55">
        <f t="shared" ca="1" si="0"/>
        <v>63.002689214934108</v>
      </c>
      <c r="U49" s="55">
        <f t="shared" ca="1" si="1"/>
        <v>0</v>
      </c>
      <c r="V49" s="55">
        <f t="shared" ca="1" si="2"/>
        <v>0</v>
      </c>
      <c r="W49" s="55">
        <f t="shared" ca="1" si="12"/>
        <v>-13.500432776345042</v>
      </c>
      <c r="X49" s="55">
        <f t="shared" ca="1" si="13"/>
        <v>21.842537952123038</v>
      </c>
      <c r="Y49" s="55">
        <f t="shared" ca="1" si="14"/>
        <v>5.2353781307794991</v>
      </c>
      <c r="Z49" s="55">
        <f t="shared" ca="1" si="15"/>
        <v>0</v>
      </c>
      <c r="AB49">
        <f t="shared" ca="1" si="3"/>
        <v>120</v>
      </c>
      <c r="AC49">
        <f t="shared" ca="1" si="16"/>
        <v>44.191970235097656</v>
      </c>
      <c r="AD49">
        <f t="shared" ca="1" si="4"/>
        <v>0</v>
      </c>
      <c r="AE49">
        <f t="shared" ca="1" si="5"/>
        <v>0</v>
      </c>
      <c r="AF49" s="83">
        <f ca="1"/>
        <v>45774</v>
      </c>
      <c r="AG49" s="55">
        <f t="shared" ca="1" si="21"/>
        <v>45774</v>
      </c>
      <c r="AH49" s="55">
        <f t="shared" ca="1" si="22"/>
        <v>-34.184661410405816</v>
      </c>
      <c r="AI49" s="55">
        <f t="shared" ca="1" si="23"/>
        <v>11.45173820795325</v>
      </c>
      <c r="AJ49" s="55">
        <f t="shared" ca="1" si="24"/>
        <v>0</v>
      </c>
      <c r="AK49" s="55">
        <f t="shared" ca="1" si="18"/>
        <v>0</v>
      </c>
      <c r="AL49" s="55">
        <f t="shared" ca="1" si="19"/>
        <v>25.229488653783928</v>
      </c>
      <c r="AM49" s="55">
        <f t="shared" ca="1" si="20"/>
        <v>-65.81633261882817</v>
      </c>
    </row>
    <row r="50" spans="2:39" s="55" customFormat="1">
      <c r="B50" s="90">
        <f>IF(PriorUnits="kg/head",PriorYield*PriorPopulation/1000,IF(PriorUnits="kg/ha",PriorYield/1000,PriorYield))</f>
        <v>3</v>
      </c>
      <c r="C50" s="64" t="s">
        <v>150</v>
      </c>
      <c r="D50" s="65" t="str">
        <f>SUBSTITUTE(PriorCropName&amp;" "&amp;PriorCropType&amp;" "&amp;PriorCropVariety,"_"," ")</f>
        <v>Annual ryegrass Green manure General</v>
      </c>
      <c r="F50" s="56"/>
      <c r="R50" s="83">
        <f ca="1"/>
        <v>45551</v>
      </c>
      <c r="S50" s="55">
        <f t="shared" ca="1" si="11"/>
        <v>45551</v>
      </c>
      <c r="T50" s="55">
        <f t="shared" ca="1" si="0"/>
        <v>63.900638757579586</v>
      </c>
      <c r="U50" s="55">
        <f t="shared" ca="1" si="1"/>
        <v>0</v>
      </c>
      <c r="V50" s="55">
        <f t="shared" ca="1" si="2"/>
        <v>0</v>
      </c>
      <c r="W50" s="55">
        <f t="shared" ca="1" si="12"/>
        <v>-13.6130460759526</v>
      </c>
      <c r="X50" s="55">
        <f t="shared" ca="1" si="13"/>
        <v>22.610734505432294</v>
      </c>
      <c r="Y50" s="55">
        <f t="shared" ca="1" si="14"/>
        <v>5.4777444197232699</v>
      </c>
      <c r="Z50" s="55">
        <f t="shared" ca="1" si="15"/>
        <v>0</v>
      </c>
      <c r="AB50">
        <f t="shared" ca="1" si="3"/>
        <v>120</v>
      </c>
      <c r="AC50">
        <f t="shared" ca="1" si="16"/>
        <v>44.51197023509765</v>
      </c>
      <c r="AD50">
        <f t="shared" ca="1" si="4"/>
        <v>0</v>
      </c>
      <c r="AE50">
        <f t="shared" ca="1" si="5"/>
        <v>0</v>
      </c>
      <c r="AF50" s="83">
        <f ca="1"/>
        <v>45775</v>
      </c>
      <c r="AG50" s="55">
        <f t="shared" ca="1" si="21"/>
        <v>45775</v>
      </c>
      <c r="AH50" s="55">
        <f t="shared" ca="1" si="22"/>
        <v>-34.662235249901222</v>
      </c>
      <c r="AI50" s="55">
        <f t="shared" ca="1" si="23"/>
        <v>12.421509710066681</v>
      </c>
      <c r="AJ50" s="55">
        <f t="shared" ca="1" si="24"/>
        <v>0</v>
      </c>
      <c r="AK50" s="55">
        <f t="shared" ca="1" si="18"/>
        <v>0</v>
      </c>
      <c r="AL50" s="55">
        <f t="shared" ca="1" si="19"/>
        <v>26.236114098242311</v>
      </c>
      <c r="AM50" s="55">
        <f t="shared" ca="1" si="20"/>
        <v>-66.330760400668538</v>
      </c>
    </row>
    <row r="51" spans="2:39" s="55" customFormat="1">
      <c r="C51" s="61" t="s">
        <v>4</v>
      </c>
      <c r="D51" s="68">
        <f ca="1">IF(E51="",CurrentEstablishDate-160,E51)</f>
        <v>45429</v>
      </c>
      <c r="E51" s="67"/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45552</v>
      </c>
      <c r="S51" s="55">
        <f t="shared" ca="1" si="11"/>
        <v>45552</v>
      </c>
      <c r="T51" s="55">
        <f t="shared" ca="1" si="0"/>
        <v>64.850926364471547</v>
      </c>
      <c r="U51" s="55">
        <f t="shared" ca="1" si="1"/>
        <v>0</v>
      </c>
      <c r="V51" s="55">
        <f t="shared" ca="1" si="2"/>
        <v>0</v>
      </c>
      <c r="W51" s="55">
        <f t="shared" ca="1" si="12"/>
        <v>-13.652332579170496</v>
      </c>
      <c r="X51" s="55">
        <f t="shared" ca="1" si="13"/>
        <v>23.363786979679414</v>
      </c>
      <c r="Y51" s="55">
        <f t="shared" ca="1" si="14"/>
        <v>5.7142660555859965</v>
      </c>
      <c r="Z51" s="55">
        <f t="shared" ca="1" si="15"/>
        <v>0</v>
      </c>
      <c r="AB51">
        <f t="shared" ca="1" si="3"/>
        <v>120</v>
      </c>
      <c r="AC51">
        <f t="shared" ca="1" si="16"/>
        <v>44.621970235097649</v>
      </c>
      <c r="AD51">
        <f t="shared" ca="1" si="4"/>
        <v>0</v>
      </c>
      <c r="AE51">
        <f t="shared" ca="1" si="5"/>
        <v>0</v>
      </c>
      <c r="AF51" s="83">
        <f ca="1"/>
        <v>45776</v>
      </c>
      <c r="AG51" s="55">
        <f t="shared" ca="1" si="21"/>
        <v>45776</v>
      </c>
      <c r="AH51" s="55">
        <f t="shared" ca="1" si="22"/>
        <v>-35.124311192033218</v>
      </c>
      <c r="AI51" s="55">
        <f t="shared" ca="1" si="23"/>
        <v>13.37766319147916</v>
      </c>
      <c r="AJ51" s="55">
        <f t="shared" ca="1" si="24"/>
        <v>0</v>
      </c>
      <c r="AK51" s="55">
        <f t="shared" ca="1" si="18"/>
        <v>0</v>
      </c>
      <c r="AL51" s="55">
        <f t="shared" ca="1" si="19"/>
        <v>27.170041389882467</v>
      </c>
      <c r="AM51" s="55">
        <f t="shared" ca="1" si="20"/>
        <v>-66.770610153028215</v>
      </c>
    </row>
    <row r="52" spans="2:39" s="55" customFormat="1">
      <c r="C52" s="61" t="s">
        <v>5</v>
      </c>
      <c r="D52" s="68">
        <f ca="1">IF(E52="",CurrentEstablishDate-70,E52)</f>
        <v>45519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45553</v>
      </c>
      <c r="S52" s="55">
        <f t="shared" ca="1" si="11"/>
        <v>45553</v>
      </c>
      <c r="T52" s="55">
        <f t="shared" ca="1" si="0"/>
        <v>65.366123645716343</v>
      </c>
      <c r="U52" s="55">
        <f t="shared" ca="1" si="1"/>
        <v>0</v>
      </c>
      <c r="V52" s="55">
        <f t="shared" ca="1" si="2"/>
        <v>0</v>
      </c>
      <c r="W52" s="55">
        <f t="shared" ca="1" si="12"/>
        <v>-14.116716257592669</v>
      </c>
      <c r="X52" s="55">
        <f t="shared" ca="1" si="13"/>
        <v>24.110698122469564</v>
      </c>
      <c r="Y52" s="55">
        <f t="shared" ca="1" si="14"/>
        <v>5.9469358724627979</v>
      </c>
      <c r="Z52" s="55">
        <f t="shared" ca="1" si="15"/>
        <v>0</v>
      </c>
      <c r="AB52">
        <f t="shared" ca="1" si="3"/>
        <v>120</v>
      </c>
      <c r="AC52">
        <f t="shared" ca="1" si="16"/>
        <v>45.911970235097641</v>
      </c>
      <c r="AD52">
        <f t="shared" ca="1" si="4"/>
        <v>0</v>
      </c>
      <c r="AE52">
        <f t="shared" ca="1" si="5"/>
        <v>0</v>
      </c>
      <c r="AF52" s="83">
        <f ca="1"/>
        <v>45777</v>
      </c>
      <c r="AG52" s="55">
        <f t="shared" ca="1" si="21"/>
        <v>45777</v>
      </c>
      <c r="AH52" s="55">
        <f t="shared" ca="1" si="22"/>
        <v>-35.59440654397433</v>
      </c>
      <c r="AI52" s="55">
        <f t="shared" ca="1" si="23"/>
        <v>14.36107983023304</v>
      </c>
      <c r="AJ52" s="55">
        <f t="shared" ca="1" si="24"/>
        <v>0</v>
      </c>
      <c r="AK52" s="55">
        <f t="shared" ca="1" si="18"/>
        <v>0</v>
      </c>
      <c r="AL52" s="55">
        <f t="shared" ca="1" si="19"/>
        <v>28.073051534136365</v>
      </c>
      <c r="AM52" s="55">
        <f t="shared" ca="1" si="20"/>
        <v>-67.160299010469345</v>
      </c>
    </row>
    <row r="53" spans="2:39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45554</v>
      </c>
      <c r="S53" s="55">
        <f t="shared" ca="1" si="11"/>
        <v>45554</v>
      </c>
      <c r="T53" s="55">
        <f t="shared" ca="1" si="0"/>
        <v>66.334438356490423</v>
      </c>
      <c r="U53" s="55">
        <f t="shared" ca="1" si="1"/>
        <v>0</v>
      </c>
      <c r="V53" s="55">
        <f t="shared" ca="1" si="2"/>
        <v>0</v>
      </c>
      <c r="W53" s="55">
        <f t="shared" ca="1" si="12"/>
        <v>-14.120369458545637</v>
      </c>
      <c r="X53" s="55">
        <f t="shared" ca="1" si="13"/>
        <v>24.853532429797891</v>
      </c>
      <c r="Y53" s="55">
        <f t="shared" ca="1" si="14"/>
        <v>6.1760694768615183</v>
      </c>
      <c r="Z53" s="55">
        <f t="shared" ca="1" si="15"/>
        <v>0</v>
      </c>
      <c r="AB53">
        <f t="shared" ca="1" si="3"/>
        <v>120</v>
      </c>
      <c r="AC53">
        <f t="shared" ca="1" si="16"/>
        <v>45.921970235097646</v>
      </c>
      <c r="AD53">
        <f t="shared" ca="1" si="4"/>
        <v>0</v>
      </c>
      <c r="AE53">
        <f t="shared" ca="1" si="5"/>
        <v>0</v>
      </c>
      <c r="AF53" s="83">
        <f ca="1"/>
        <v>45778</v>
      </c>
      <c r="AG53" s="55">
        <f t="shared" ca="1" si="21"/>
        <v>45778</v>
      </c>
      <c r="AH53" s="55">
        <f t="shared" ca="1" si="22"/>
        <v>-36.102617195354114</v>
      </c>
      <c r="AI53" s="55">
        <f t="shared" ca="1" si="23"/>
        <v>15.422167165289656</v>
      </c>
      <c r="AJ53" s="55">
        <f t="shared" ca="1" si="24"/>
        <v>0</v>
      </c>
      <c r="AK53" s="55">
        <f t="shared" ca="1" si="18"/>
        <v>0</v>
      </c>
      <c r="AL53" s="55">
        <f t="shared" ca="1" si="19"/>
        <v>28.981426548480499</v>
      </c>
      <c r="AM53" s="55">
        <f t="shared" ca="1" si="20"/>
        <v>-67.515797341136647</v>
      </c>
    </row>
    <row r="54" spans="2:39" s="54" customFormat="1">
      <c r="B54" s="55"/>
      <c r="C54" s="61" t="s">
        <v>100</v>
      </c>
      <c r="D54" s="70">
        <f>IF(E54="",VLOOKUP(PriorCropNameFull,CropCoefficients,17,FALSE),E54)</f>
        <v>3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45555</v>
      </c>
      <c r="S54" s="55">
        <f t="shared" ca="1" si="11"/>
        <v>45555</v>
      </c>
      <c r="T54" s="55">
        <f t="shared" ca="1" si="0"/>
        <v>67.236089611430472</v>
      </c>
      <c r="U54" s="55">
        <f t="shared" ca="1" si="1"/>
        <v>0</v>
      </c>
      <c r="V54" s="55">
        <f t="shared" ca="1" si="2"/>
        <v>0</v>
      </c>
      <c r="W54" s="55">
        <f t="shared" ca="1" si="12"/>
        <v>-14.1796151722902</v>
      </c>
      <c r="X54" s="55">
        <f t="shared" ca="1" si="13"/>
        <v>25.589602887918922</v>
      </c>
      <c r="Y54" s="55">
        <f t="shared" ca="1" si="14"/>
        <v>6.400895987425093</v>
      </c>
      <c r="Z54" s="55">
        <f t="shared" ca="1" si="15"/>
        <v>0</v>
      </c>
      <c r="AA54" s="55"/>
      <c r="AB54">
        <f t="shared" ca="1" si="3"/>
        <v>120</v>
      </c>
      <c r="AC54">
        <f t="shared" ca="1" si="16"/>
        <v>46.081970235097643</v>
      </c>
      <c r="AD54">
        <f t="shared" ca="1" si="4"/>
        <v>0</v>
      </c>
      <c r="AE54">
        <f t="shared" ca="1" si="5"/>
        <v>0</v>
      </c>
      <c r="AF54" s="83">
        <f ca="1"/>
        <v>45779</v>
      </c>
      <c r="AG54" s="55">
        <f t="shared" ca="1" si="21"/>
        <v>45779</v>
      </c>
      <c r="AH54" s="55">
        <f t="shared" ca="1" si="22"/>
        <v>-36.644555051096013</v>
      </c>
      <c r="AI54" s="55">
        <f t="shared" ca="1" si="23"/>
        <v>16.545889908567339</v>
      </c>
      <c r="AJ54" s="55">
        <f t="shared" ca="1" si="24"/>
        <v>0</v>
      </c>
      <c r="AK54" s="55">
        <f t="shared" ca="1" si="18"/>
        <v>0</v>
      </c>
      <c r="AL54" s="55">
        <f t="shared" ca="1" si="19"/>
        <v>29.882143382312957</v>
      </c>
      <c r="AM54" s="55">
        <f t="shared" ca="1" si="20"/>
        <v>-67.834729287433319</v>
      </c>
    </row>
    <row r="55" spans="2:39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45556</v>
      </c>
      <c r="S55" s="55">
        <f t="shared" ca="1" si="11"/>
        <v>45556</v>
      </c>
      <c r="T55" s="55">
        <f t="shared" ca="1" si="0"/>
        <v>67.555493804259413</v>
      </c>
      <c r="U55" s="55">
        <f t="shared" ca="1" si="1"/>
        <v>0</v>
      </c>
      <c r="V55" s="55">
        <f t="shared" ca="1" si="2"/>
        <v>0</v>
      </c>
      <c r="W55" s="55">
        <f t="shared" ca="1" si="12"/>
        <v>-14.830693482142845</v>
      </c>
      <c r="X55" s="55">
        <f t="shared" ca="1" si="13"/>
        <v>26.335833592655774</v>
      </c>
      <c r="Y55" s="55">
        <f t="shared" ca="1" si="14"/>
        <v>6.6251477853698209</v>
      </c>
      <c r="Z55" s="55">
        <f t="shared" ca="1" si="15"/>
        <v>0</v>
      </c>
      <c r="AB55">
        <f t="shared" ca="1" si="3"/>
        <v>120</v>
      </c>
      <c r="AC55">
        <f t="shared" ca="1" si="16"/>
        <v>47.831970235097643</v>
      </c>
      <c r="AD55">
        <f t="shared" ca="1" si="4"/>
        <v>0</v>
      </c>
      <c r="AE55">
        <f t="shared" ca="1" si="5"/>
        <v>0</v>
      </c>
      <c r="AF55" s="83">
        <f ca="1"/>
        <v>45780</v>
      </c>
      <c r="AG55" s="55">
        <f t="shared" ca="1" si="21"/>
        <v>45780</v>
      </c>
      <c r="AH55" s="55">
        <f t="shared" ca="1" si="22"/>
        <v>-37.223955230705926</v>
      </c>
      <c r="AI55" s="55">
        <f t="shared" ca="1" si="23"/>
        <v>17.733134901885499</v>
      </c>
      <c r="AJ55" s="55">
        <f t="shared" ca="1" si="24"/>
        <v>0</v>
      </c>
      <c r="AK55" s="55">
        <f t="shared" ca="1" si="18"/>
        <v>0</v>
      </c>
      <c r="AL55" s="55">
        <f t="shared" ca="1" si="19"/>
        <v>30.774481781965317</v>
      </c>
      <c r="AM55" s="55">
        <f t="shared" ca="1" si="20"/>
        <v>-68.119222873377424</v>
      </c>
    </row>
    <row r="56" spans="2:39" s="55" customFormat="1">
      <c r="C56" s="64" t="str">
        <f>"Yield "&amp;ROUND(PriorYield_tperHa,0)&amp;" (t/ha)"</f>
        <v>Yield 3 (t/ha)</v>
      </c>
      <c r="D56" s="90" t="str">
        <f ca="1">"Previous crop residues are providing "&amp;ROUND('Model Interface'!M9,0)&amp;" kg N/ha to the current crop"</f>
        <v>Previous crop residues are providing 16 kg N/ha to the current crop</v>
      </c>
      <c r="R56" s="83">
        <f ca="1"/>
        <v>45557</v>
      </c>
      <c r="S56" s="55">
        <f t="shared" ca="1" si="11"/>
        <v>45557</v>
      </c>
      <c r="T56" s="55">
        <f t="shared" ca="1" si="0"/>
        <v>68.180792453834655</v>
      </c>
      <c r="U56" s="55">
        <f t="shared" ca="1" si="1"/>
        <v>0</v>
      </c>
      <c r="V56" s="55">
        <f t="shared" ca="1" si="2"/>
        <v>0</v>
      </c>
      <c r="W56" s="55">
        <f t="shared" ca="1" si="12"/>
        <v>-15.183652599019798</v>
      </c>
      <c r="X56" s="55">
        <f t="shared" ca="1" si="13"/>
        <v>27.090940136560025</v>
      </c>
      <c r="Y56" s="55">
        <f t="shared" ca="1" si="14"/>
        <v>6.8482990079177561</v>
      </c>
      <c r="Z56" s="55">
        <f t="shared" ca="1" si="15"/>
        <v>0</v>
      </c>
      <c r="AB56">
        <f t="shared" ca="1" si="3"/>
        <v>120</v>
      </c>
      <c r="AC56">
        <f t="shared" ca="1" si="16"/>
        <v>48.771970235097641</v>
      </c>
      <c r="AD56">
        <f t="shared" ca="1" si="4"/>
        <v>0</v>
      </c>
      <c r="AE56">
        <f t="shared" ca="1" si="5"/>
        <v>0</v>
      </c>
      <c r="AF56" s="83">
        <f ca="1"/>
        <v>45781</v>
      </c>
      <c r="AG56" s="55">
        <f t="shared" ca="1" si="21"/>
        <v>45781</v>
      </c>
      <c r="AH56" s="55">
        <f t="shared" ca="1" si="22"/>
        <v>-37.830686283292827</v>
      </c>
      <c r="AI56" s="55">
        <f t="shared" ca="1" si="23"/>
        <v>18.961587798851671</v>
      </c>
      <c r="AJ56" s="55">
        <f t="shared" ca="1" si="24"/>
        <v>0</v>
      </c>
      <c r="AK56" s="55">
        <f t="shared" ca="1" si="18"/>
        <v>0</v>
      </c>
      <c r="AL56" s="55">
        <f t="shared" ca="1" si="19"/>
        <v>31.645708371169995</v>
      </c>
      <c r="AM56" s="55">
        <f t="shared" ca="1" si="20"/>
        <v>-68.368727618202826</v>
      </c>
    </row>
    <row r="57" spans="2:39" s="55" customFormat="1" ht="15.75" thickBot="1">
      <c r="C57" s="129" t="s">
        <v>154</v>
      </c>
      <c r="D57" s="129"/>
      <c r="E57" s="129"/>
      <c r="F57" s="129"/>
      <c r="G57" s="129"/>
      <c r="H57" s="129"/>
      <c r="R57" s="83">
        <f ca="1"/>
        <v>45558</v>
      </c>
      <c r="S57" s="55">
        <f t="shared" ca="1" si="11"/>
        <v>45558</v>
      </c>
      <c r="T57" s="55">
        <f t="shared" ca="1" si="0"/>
        <v>68.424322232415847</v>
      </c>
      <c r="U57" s="55">
        <f t="shared" ca="1" si="1"/>
        <v>0</v>
      </c>
      <c r="V57" s="55">
        <f t="shared" ca="1" si="2"/>
        <v>0</v>
      </c>
      <c r="W57" s="55">
        <f t="shared" ca="1" si="12"/>
        <v>-15.952384984448328</v>
      </c>
      <c r="X57" s="55">
        <f t="shared" ca="1" si="13"/>
        <v>27.876573666917878</v>
      </c>
      <c r="Y57" s="55">
        <f t="shared" ca="1" si="14"/>
        <v>7.0749276415696265</v>
      </c>
      <c r="Z57" s="55">
        <f t="shared" ca="1" si="15"/>
        <v>0</v>
      </c>
      <c r="AB57">
        <f t="shared" ca="1" si="3"/>
        <v>120</v>
      </c>
      <c r="AC57">
        <f t="shared" ca="1" si="16"/>
        <v>50.811970235097633</v>
      </c>
      <c r="AD57">
        <f t="shared" ca="1" si="4"/>
        <v>0</v>
      </c>
      <c r="AE57">
        <f t="shared" ca="1" si="5"/>
        <v>0</v>
      </c>
      <c r="AF57" s="83">
        <f ca="1"/>
        <v>45782</v>
      </c>
      <c r="AG57" s="55">
        <f t="shared" ca="1" si="21"/>
        <v>45782</v>
      </c>
      <c r="AH57" s="55">
        <f t="shared" ca="1" si="22"/>
        <v>-38.498483765627597</v>
      </c>
      <c r="AI57" s="55">
        <f t="shared" ca="1" si="23"/>
        <v>20.284417125271268</v>
      </c>
      <c r="AJ57" s="55">
        <f t="shared" ca="1" si="24"/>
        <v>0</v>
      </c>
      <c r="AK57" s="55">
        <f t="shared" ca="1" si="18"/>
        <v>0</v>
      </c>
      <c r="AL57" s="55">
        <f t="shared" ca="1" si="19"/>
        <v>32.523687241849331</v>
      </c>
      <c r="AM57" s="55">
        <f t="shared" ca="1" si="20"/>
        <v>-68.591674644797337</v>
      </c>
    </row>
    <row r="58" spans="2:39" s="55" customFormat="1">
      <c r="C58" s="61" t="s">
        <v>26</v>
      </c>
      <c r="D58" s="88" t="str">
        <f>IF(E58="","Fodder",E58)</f>
        <v>Potato</v>
      </c>
      <c r="E58" s="87" t="s">
        <v>8</v>
      </c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45559</v>
      </c>
      <c r="S58" s="55">
        <f t="shared" ca="1" si="11"/>
        <v>45559</v>
      </c>
      <c r="T58" s="55">
        <f t="shared" ca="1" si="0"/>
        <v>69.103071183636104</v>
      </c>
      <c r="U58" s="55">
        <f t="shared" ca="1" si="1"/>
        <v>0</v>
      </c>
      <c r="V58" s="55">
        <f t="shared" ca="1" si="2"/>
        <v>0</v>
      </c>
      <c r="W58" s="55">
        <f t="shared" ca="1" si="12"/>
        <v>-16.256839095170434</v>
      </c>
      <c r="X58" s="55">
        <f t="shared" ca="1" si="13"/>
        <v>28.641311923906862</v>
      </c>
      <c r="Y58" s="55">
        <f t="shared" ca="1" si="14"/>
        <v>7.2933924465229989</v>
      </c>
      <c r="Z58" s="55">
        <f t="shared" ca="1" si="15"/>
        <v>0</v>
      </c>
      <c r="AB58">
        <f t="shared" ca="1" si="3"/>
        <v>120</v>
      </c>
      <c r="AC58">
        <f t="shared" ca="1" si="16"/>
        <v>51.61197023509763</v>
      </c>
      <c r="AD58">
        <f t="shared" ca="1" si="4"/>
        <v>0</v>
      </c>
      <c r="AE58">
        <f t="shared" ca="1" si="5"/>
        <v>0</v>
      </c>
      <c r="AF58" s="83">
        <f ca="1"/>
        <v>45783</v>
      </c>
      <c r="AG58" s="55">
        <f t="shared" ca="1" si="21"/>
        <v>45783</v>
      </c>
      <c r="AH58" s="55">
        <f t="shared" ca="1" si="22"/>
        <v>-39.242440974774325</v>
      </c>
      <c r="AI58" s="55">
        <f t="shared" ca="1" si="23"/>
        <v>21.720323730832003</v>
      </c>
      <c r="AJ58" s="55">
        <f t="shared" ca="1" si="24"/>
        <v>0</v>
      </c>
      <c r="AK58" s="55">
        <f t="shared" ca="1" si="18"/>
        <v>0</v>
      </c>
      <c r="AL58" s="55">
        <f t="shared" ca="1" si="19"/>
        <v>33.413748893185712</v>
      </c>
      <c r="AM58" s="55">
        <f t="shared" ca="1" si="20"/>
        <v>-68.789786899719715</v>
      </c>
    </row>
    <row r="59" spans="2:39" s="55" customFormat="1">
      <c r="C59" s="61" t="s">
        <v>94</v>
      </c>
      <c r="D59" s="84" t="str">
        <f>IF(E59="","Oat",E59)</f>
        <v>Early_harvest</v>
      </c>
      <c r="E59" s="66" t="s">
        <v>279</v>
      </c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45560</v>
      </c>
      <c r="S59" s="55">
        <f t="shared" ca="1" si="11"/>
        <v>45560</v>
      </c>
      <c r="T59" s="55">
        <f t="shared" ca="1" si="0"/>
        <v>69.38355845420125</v>
      </c>
      <c r="U59" s="55">
        <f t="shared" ca="1" si="1"/>
        <v>0</v>
      </c>
      <c r="V59" s="55">
        <f t="shared" ca="1" si="2"/>
        <v>0</v>
      </c>
      <c r="W59" s="55">
        <f t="shared" ca="1" si="12"/>
        <v>-16.948462450312459</v>
      </c>
      <c r="X59" s="55">
        <f t="shared" ca="1" si="13"/>
        <v>29.399849654817256</v>
      </c>
      <c r="Y59" s="55">
        <f t="shared" ca="1" si="14"/>
        <v>7.5069653413197832</v>
      </c>
      <c r="Z59" s="55">
        <f t="shared" ca="1" si="15"/>
        <v>0</v>
      </c>
      <c r="AB59">
        <f t="shared" ca="1" si="3"/>
        <v>120</v>
      </c>
      <c r="AC59">
        <f t="shared" ca="1" si="16"/>
        <v>53.421970235097632</v>
      </c>
      <c r="AD59">
        <f t="shared" ca="1" si="4"/>
        <v>0</v>
      </c>
      <c r="AE59">
        <f t="shared" ca="1" si="5"/>
        <v>0</v>
      </c>
      <c r="AF59" s="83">
        <f ca="1"/>
        <v>45784</v>
      </c>
      <c r="AG59" s="55">
        <f t="shared" ca="1" si="21"/>
        <v>45784</v>
      </c>
      <c r="AH59" s="55">
        <f t="shared" ca="1" si="22"/>
        <v>-40.021245813159624</v>
      </c>
      <c r="AI59" s="55">
        <f t="shared" ca="1" si="23"/>
        <v>23.196667580197079</v>
      </c>
      <c r="AJ59" s="55">
        <f t="shared" ca="1" si="24"/>
        <v>0</v>
      </c>
      <c r="AK59" s="55">
        <f t="shared" ca="1" si="18"/>
        <v>0</v>
      </c>
      <c r="AL59" s="55">
        <f t="shared" ca="1" si="19"/>
        <v>34.279745730983969</v>
      </c>
      <c r="AM59" s="55">
        <f t="shared" ca="1" si="20"/>
        <v>-68.958244726538197</v>
      </c>
    </row>
    <row r="60" spans="2:39" s="55" customFormat="1">
      <c r="C60" s="61" t="s">
        <v>95</v>
      </c>
      <c r="D60" s="84" t="str">
        <f>IF(E60="","General",E60)</f>
        <v>Moonlight</v>
      </c>
      <c r="E60" s="66" t="s">
        <v>246</v>
      </c>
      <c r="F60" s="61" t="s">
        <v>134</v>
      </c>
      <c r="G60" s="84">
        <f>IF(H60="",VLOOKUP(FollowingCropFullName,CropCoefficients,26,FALSE),H60)</f>
        <v>76</v>
      </c>
      <c r="H60" s="72"/>
      <c r="R60" s="83">
        <f ca="1"/>
        <v>45561</v>
      </c>
      <c r="S60" s="55">
        <f t="shared" ca="1" si="11"/>
        <v>45561</v>
      </c>
      <c r="T60" s="55">
        <f t="shared" ca="1" si="0"/>
        <v>70.310437636933088</v>
      </c>
      <c r="U60" s="55">
        <f t="shared" ca="1" si="1"/>
        <v>0</v>
      </c>
      <c r="V60" s="55">
        <f t="shared" ca="1" si="2"/>
        <v>0</v>
      </c>
      <c r="W60" s="55">
        <f t="shared" ca="1" si="12"/>
        <v>-17.022033661868786</v>
      </c>
      <c r="X60" s="55">
        <f t="shared" ca="1" si="13"/>
        <v>30.184781045229634</v>
      </c>
      <c r="Y60" s="55">
        <f t="shared" ca="1" si="14"/>
        <v>7.722484345195566</v>
      </c>
      <c r="Z60" s="55">
        <f t="shared" ca="1" si="15"/>
        <v>0</v>
      </c>
      <c r="AB60">
        <f t="shared" ca="1" si="3"/>
        <v>120</v>
      </c>
      <c r="AC60">
        <f t="shared" ca="1" si="16"/>
        <v>53.61197023509763</v>
      </c>
      <c r="AD60">
        <f t="shared" ca="1" si="4"/>
        <v>0</v>
      </c>
      <c r="AE60">
        <f t="shared" ca="1" si="5"/>
        <v>0</v>
      </c>
      <c r="AF60" s="83">
        <f ca="1"/>
        <v>45785</v>
      </c>
      <c r="AG60" s="55">
        <f t="shared" ca="1" si="21"/>
        <v>45785</v>
      </c>
      <c r="AH60" s="55">
        <f t="shared" ca="1" si="22"/>
        <v>-40.839500560961369</v>
      </c>
      <c r="AI60" s="55">
        <f t="shared" ca="1" si="23"/>
        <v>24.71941616375123</v>
      </c>
      <c r="AJ60" s="55">
        <f t="shared" ca="1" si="24"/>
        <v>0</v>
      </c>
      <c r="AK60" s="55">
        <f t="shared" ca="1" si="18"/>
        <v>0</v>
      </c>
      <c r="AL60" s="55">
        <f t="shared" ca="1" si="19"/>
        <v>35.126486284668189</v>
      </c>
      <c r="AM60" s="55">
        <f t="shared" ca="1" si="20"/>
        <v>-69.100491444470009</v>
      </c>
    </row>
    <row r="61" spans="2:39" s="55" customFormat="1">
      <c r="B61" s="90">
        <f>IF(FollowingUnits="kg/head",FollowingYIeld*FollowingPopulation/1000,IF(FollowingUnits="kg/ha",FollowingYIeld/1000,FollowingYIeld))</f>
        <v>70</v>
      </c>
      <c r="C61" s="64" t="s">
        <v>150</v>
      </c>
      <c r="D61" s="65" t="str">
        <f>SUBSTITUTE(FollowingCropName&amp;" "&amp;FollowingCropType&amp;" "&amp;FollowingCropVariety,"_"," ")</f>
        <v>Early harvest Potato Moonlight</v>
      </c>
      <c r="F61" s="56"/>
      <c r="R61" s="83">
        <f ca="1"/>
        <v>45562</v>
      </c>
      <c r="S61" s="55">
        <f t="shared" ca="1" si="11"/>
        <v>45562</v>
      </c>
      <c r="T61" s="55">
        <f t="shared" ca="1" si="0"/>
        <v>70.630320642873286</v>
      </c>
      <c r="U61" s="55">
        <f t="shared" ca="1" si="1"/>
        <v>0</v>
      </c>
      <c r="V61" s="55">
        <f t="shared" ca="1" si="2"/>
        <v>0</v>
      </c>
      <c r="W61" s="55">
        <f t="shared" ca="1" si="12"/>
        <v>-17.726084887059631</v>
      </c>
      <c r="X61" s="55">
        <f t="shared" ca="1" si="13"/>
        <v>30.992373952425897</v>
      </c>
      <c r="Y61" s="55">
        <f t="shared" ca="1" si="14"/>
        <v>7.9388256691303436</v>
      </c>
      <c r="Z61" s="55">
        <f t="shared" ca="1" si="15"/>
        <v>0</v>
      </c>
      <c r="AB61">
        <f t="shared" ca="1" si="3"/>
        <v>120</v>
      </c>
      <c r="AC61">
        <f t="shared" ca="1" si="16"/>
        <v>55.421970235097632</v>
      </c>
      <c r="AD61">
        <f t="shared" ca="1" si="4"/>
        <v>0</v>
      </c>
      <c r="AE61">
        <f t="shared" ca="1" si="5"/>
        <v>0</v>
      </c>
      <c r="AF61" s="83">
        <f ca="1"/>
        <v>45786</v>
      </c>
      <c r="AG61" s="55">
        <f t="shared" ca="1" si="21"/>
        <v>45786</v>
      </c>
      <c r="AH61" s="55">
        <f t="shared" ca="1" si="22"/>
        <v>-41.675085725891172</v>
      </c>
      <c r="AI61" s="55">
        <f t="shared" ca="1" si="23"/>
        <v>26.254011363893905</v>
      </c>
      <c r="AJ61" s="55">
        <f t="shared" ca="1" si="24"/>
        <v>0</v>
      </c>
      <c r="AK61" s="55">
        <f t="shared" ca="1" si="18"/>
        <v>0</v>
      </c>
      <c r="AL61" s="55">
        <f t="shared" ca="1" si="19"/>
        <v>35.942680161480595</v>
      </c>
      <c r="AM61" s="55">
        <f t="shared" ca="1" si="20"/>
        <v>-69.21767528606955</v>
      </c>
    </row>
    <row r="62" spans="2:39" s="55" customFormat="1">
      <c r="C62" s="61" t="s">
        <v>4</v>
      </c>
      <c r="D62" s="68">
        <f>IF(E62="",CurrentHarvestDate+15,E62)</f>
        <v>45757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45563</v>
      </c>
      <c r="S62" s="55">
        <f t="shared" ca="1" si="11"/>
        <v>45563</v>
      </c>
      <c r="T62" s="55">
        <f t="shared" ca="1" si="0"/>
        <v>71.271448789306987</v>
      </c>
      <c r="U62" s="55">
        <f t="shared" ca="1" si="1"/>
        <v>0</v>
      </c>
      <c r="V62" s="55">
        <f t="shared" ca="1" si="2"/>
        <v>0</v>
      </c>
      <c r="W62" s="55">
        <f t="shared" ca="1" si="12"/>
        <v>-18.13429469229926</v>
      </c>
      <c r="X62" s="55">
        <f t="shared" ca="1" si="13"/>
        <v>31.82448237598518</v>
      </c>
      <c r="Y62" s="55">
        <f t="shared" ca="1" si="14"/>
        <v>8.1560551972443776</v>
      </c>
      <c r="Z62" s="55">
        <f t="shared" ca="1" si="15"/>
        <v>0</v>
      </c>
      <c r="AB62">
        <f t="shared" ca="1" si="3"/>
        <v>120</v>
      </c>
      <c r="AC62">
        <f t="shared" ca="1" si="16"/>
        <v>56.461970235097638</v>
      </c>
      <c r="AD62">
        <f t="shared" ca="1" si="4"/>
        <v>0</v>
      </c>
      <c r="AE62">
        <f t="shared" ca="1" si="5"/>
        <v>0</v>
      </c>
      <c r="AF62" s="83">
        <f ca="1"/>
        <v>45787</v>
      </c>
      <c r="AG62" s="55">
        <f t="shared" ca="1" si="21"/>
        <v>45787</v>
      </c>
      <c r="AH62" s="55">
        <f t="shared" ca="1" si="22"/>
        <v>-42.597375692473243</v>
      </c>
      <c r="AI62" s="55">
        <f t="shared" ca="1" si="23"/>
        <v>27.903612071876196</v>
      </c>
      <c r="AJ62" s="55">
        <f t="shared" ca="1" si="24"/>
        <v>0</v>
      </c>
      <c r="AK62" s="55">
        <f t="shared" ca="1" si="18"/>
        <v>0</v>
      </c>
      <c r="AL62" s="55">
        <f t="shared" ca="1" si="19"/>
        <v>36.768255216889308</v>
      </c>
      <c r="AM62" s="55">
        <f t="shared" ca="1" si="20"/>
        <v>-69.315939600078053</v>
      </c>
    </row>
    <row r="63" spans="2:39" s="55" customFormat="1">
      <c r="C63" s="61" t="s">
        <v>5</v>
      </c>
      <c r="D63" s="68">
        <f>IF(E63="",FollowingEstablishDate+120,E63)</f>
        <v>45877</v>
      </c>
      <c r="E63" s="67"/>
      <c r="F63" s="61" t="s">
        <v>146</v>
      </c>
      <c r="G63" s="84" t="str">
        <f>IF(H63="",VLOOKUP(FollowingCropFullName,CropCoefficients,15,FALSE),H63)</f>
        <v>MidReproductive</v>
      </c>
      <c r="H63" s="72"/>
      <c r="R63" s="83">
        <f ca="1"/>
        <v>45564</v>
      </c>
      <c r="S63" s="55">
        <f t="shared" ca="1" si="11"/>
        <v>45564</v>
      </c>
      <c r="T63" s="55">
        <f t="shared" ca="1" si="0"/>
        <v>71.197185158812033</v>
      </c>
      <c r="U63" s="55">
        <f t="shared" ca="1" si="1"/>
        <v>0</v>
      </c>
      <c r="V63" s="55">
        <f t="shared" ca="1" si="2"/>
        <v>0</v>
      </c>
      <c r="W63" s="55">
        <f t="shared" ca="1" si="12"/>
        <v>-19.243938937513555</v>
      </c>
      <c r="X63" s="55">
        <f t="shared" ca="1" si="13"/>
        <v>32.648609874017858</v>
      </c>
      <c r="Y63" s="55">
        <f t="shared" ca="1" si="14"/>
        <v>8.3673083139310407</v>
      </c>
      <c r="Z63" s="55">
        <f t="shared" ca="1" si="15"/>
        <v>0</v>
      </c>
      <c r="AB63">
        <f t="shared" ca="1" si="3"/>
        <v>120</v>
      </c>
      <c r="AC63">
        <f t="shared" ca="1" si="16"/>
        <v>59.291970235097637</v>
      </c>
      <c r="AD63">
        <f t="shared" ca="1" si="4"/>
        <v>0</v>
      </c>
      <c r="AE63">
        <f t="shared" ca="1" si="5"/>
        <v>0</v>
      </c>
      <c r="AF63" s="83">
        <f ca="1"/>
        <v>45788</v>
      </c>
      <c r="AG63" s="55">
        <f t="shared" ca="1" si="21"/>
        <v>45788</v>
      </c>
      <c r="AH63" s="55">
        <f t="shared" ca="1" si="22"/>
        <v>-43.639303864602439</v>
      </c>
      <c r="AI63" s="55">
        <f t="shared" ca="1" si="23"/>
        <v>29.711734684332281</v>
      </c>
      <c r="AJ63" s="55">
        <f t="shared" ca="1" si="24"/>
        <v>0</v>
      </c>
      <c r="AK63" s="55">
        <f t="shared" ca="1" si="18"/>
        <v>0</v>
      </c>
      <c r="AL63" s="55">
        <f t="shared" ca="1" si="19"/>
        <v>37.614995770573529</v>
      </c>
      <c r="AM63" s="55">
        <f t="shared" ca="1" si="20"/>
        <v>-69.396485713435382</v>
      </c>
    </row>
    <row r="64" spans="2:39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45565</v>
      </c>
      <c r="S64" s="55">
        <f t="shared" ca="1" si="11"/>
        <v>45565</v>
      </c>
      <c r="T64" s="55">
        <f t="shared" ca="1" si="0"/>
        <v>70.464326172979568</v>
      </c>
      <c r="U64" s="55">
        <f t="shared" ca="1" si="1"/>
        <v>0</v>
      </c>
      <c r="V64" s="55">
        <f t="shared" ca="1" si="2"/>
        <v>0</v>
      </c>
      <c r="W64" s="55">
        <f t="shared" ca="1" si="12"/>
        <v>-20.986348116011207</v>
      </c>
      <c r="X64" s="55">
        <f t="shared" ca="1" si="13"/>
        <v>33.454774748782732</v>
      </c>
      <c r="Y64" s="55">
        <f t="shared" ca="1" si="14"/>
        <v>8.5706936318313467</v>
      </c>
      <c r="Z64" s="55">
        <f t="shared" ca="1" si="15"/>
        <v>0</v>
      </c>
      <c r="AA64" s="55"/>
      <c r="AB64">
        <f t="shared" ca="1" si="3"/>
        <v>120</v>
      </c>
      <c r="AC64">
        <f t="shared" ca="1" si="16"/>
        <v>63.781970235097646</v>
      </c>
      <c r="AD64">
        <f t="shared" ca="1" si="4"/>
        <v>0</v>
      </c>
      <c r="AE64">
        <f t="shared" ca="1" si="5"/>
        <v>0</v>
      </c>
      <c r="AF64" s="83">
        <f ca="1"/>
        <v>45789</v>
      </c>
      <c r="AG64" s="55">
        <f t="shared" ca="1" si="21"/>
        <v>45789</v>
      </c>
      <c r="AH64" s="55">
        <f t="shared" ca="1" si="22"/>
        <v>-44.820814950411275</v>
      </c>
      <c r="AI64" s="55">
        <f t="shared" ca="1" si="23"/>
        <v>31.70096579321644</v>
      </c>
      <c r="AJ64" s="55">
        <f t="shared" ca="1" si="24"/>
        <v>0</v>
      </c>
      <c r="AK64" s="55">
        <f t="shared" ca="1" si="18"/>
        <v>0</v>
      </c>
      <c r="AL64" s="55">
        <f t="shared" ca="1" si="19"/>
        <v>38.485474072963662</v>
      </c>
      <c r="AM64" s="55">
        <f t="shared" ca="1" si="20"/>
        <v>-69.459243992750189</v>
      </c>
    </row>
    <row r="65" spans="2:39" s="55" customFormat="1">
      <c r="C65" s="61" t="s">
        <v>100</v>
      </c>
      <c r="D65" s="70">
        <f>IF(E65="",VLOOKUP(FollowingCropFullName,CropCoefficients,17,FALSE),E65)</f>
        <v>70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45566</v>
      </c>
      <c r="S65" s="55">
        <f t="shared" ca="1" si="11"/>
        <v>45566</v>
      </c>
      <c r="T65" s="55">
        <f t="shared" ca="1" si="0"/>
        <v>70.749826898753412</v>
      </c>
      <c r="U65" s="55">
        <f t="shared" ca="1" si="1"/>
        <v>0</v>
      </c>
      <c r="V65" s="55">
        <f t="shared" ca="1" si="2"/>
        <v>0</v>
      </c>
      <c r="W65" s="55">
        <f t="shared" ca="1" si="12"/>
        <v>-21.699383327973425</v>
      </c>
      <c r="X65" s="55">
        <f t="shared" ca="1" si="13"/>
        <v>34.25524308927195</v>
      </c>
      <c r="Y65" s="55">
        <f t="shared" ca="1" si="14"/>
        <v>8.768761229078196</v>
      </c>
      <c r="Z65" s="55">
        <f t="shared" ca="1" si="15"/>
        <v>0</v>
      </c>
      <c r="AB65">
        <f t="shared" ca="1" si="3"/>
        <v>120</v>
      </c>
      <c r="AC65">
        <f t="shared" ca="1" si="16"/>
        <v>65.611970235097644</v>
      </c>
      <c r="AD65">
        <f t="shared" ca="1" si="4"/>
        <v>0</v>
      </c>
      <c r="AE65">
        <f t="shared" ca="1" si="5"/>
        <v>0</v>
      </c>
      <c r="AF65" s="83">
        <f ca="1"/>
        <v>45790</v>
      </c>
      <c r="AG65" s="55">
        <f t="shared" ca="1" si="21"/>
        <v>45790</v>
      </c>
      <c r="AH65" s="55">
        <f t="shared" ca="1" si="22"/>
        <v>-46.091141295063416</v>
      </c>
      <c r="AI65" s="55">
        <f t="shared" ca="1" si="23"/>
        <v>33.792068103663354</v>
      </c>
      <c r="AJ65" s="55">
        <f t="shared" ca="1" si="24"/>
        <v>0</v>
      </c>
      <c r="AK65" s="55">
        <f t="shared" ca="1" si="18"/>
        <v>0</v>
      </c>
      <c r="AL65" s="55">
        <f t="shared" ca="1" si="19"/>
        <v>39.349980233670827</v>
      </c>
      <c r="AM65" s="55">
        <f t="shared" ca="1" si="20"/>
        <v>-69.502974187662574</v>
      </c>
    </row>
    <row r="66" spans="2:39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45567</v>
      </c>
      <c r="S66" s="55">
        <f t="shared" ca="1" si="11"/>
        <v>45567</v>
      </c>
      <c r="T66" s="55">
        <f t="shared" ca="1" si="0"/>
        <v>70.89125087160491</v>
      </c>
      <c r="U66" s="55">
        <f t="shared" ca="1" si="1"/>
        <v>0</v>
      </c>
      <c r="V66" s="55">
        <f t="shared" ca="1" si="2"/>
        <v>0</v>
      </c>
      <c r="W66" s="55">
        <f t="shared" ca="1" si="12"/>
        <v>-22.577818393121575</v>
      </c>
      <c r="X66" s="55">
        <f t="shared" ca="1" si="13"/>
        <v>35.077202183235187</v>
      </c>
      <c r="Y66" s="55">
        <f t="shared" ca="1" si="14"/>
        <v>8.9666611731145967</v>
      </c>
      <c r="Z66" s="55">
        <f t="shared" ca="1" si="15"/>
        <v>0</v>
      </c>
      <c r="AB66">
        <f t="shared" ca="1" si="3"/>
        <v>120</v>
      </c>
      <c r="AC66">
        <f t="shared" ca="1" si="16"/>
        <v>67.861970235097644</v>
      </c>
      <c r="AD66">
        <f t="shared" ca="1" si="4"/>
        <v>0</v>
      </c>
      <c r="AE66">
        <f t="shared" ca="1" si="5"/>
        <v>0</v>
      </c>
      <c r="AF66" s="83">
        <f ca="1"/>
        <v>45791</v>
      </c>
      <c r="AG66" s="55">
        <f t="shared" ca="1" si="21"/>
        <v>45791</v>
      </c>
      <c r="AH66" s="55">
        <f t="shared" ca="1" si="22"/>
        <v>-47.407386654191029</v>
      </c>
      <c r="AI66" s="55">
        <f t="shared" ca="1" si="23"/>
        <v>35.922818869851199</v>
      </c>
      <c r="AJ66" s="55">
        <f t="shared" ca="1" si="24"/>
        <v>0</v>
      </c>
      <c r="AK66" s="55">
        <f t="shared" ca="1" si="18"/>
        <v>0</v>
      </c>
      <c r="AL66" s="55">
        <f t="shared" ca="1" si="19"/>
        <v>40.190116937447478</v>
      </c>
      <c r="AM66" s="55">
        <f t="shared" ca="1" si="20"/>
        <v>-69.528605484379</v>
      </c>
    </row>
    <row r="67" spans="2:39">
      <c r="B67" s="55"/>
      <c r="C67" s="64" t="str">
        <f>"Yield "&amp;ROUND(FollowingYield_tperHa,0)&amp;" (t/ha)"</f>
        <v>Yield 70 (t/ha)</v>
      </c>
      <c r="D67" s="101" t="str">
        <f ca="1">"Following crop will take up "&amp;ROUND('Model Interface'!L9,0)&amp;" kg N/ha"</f>
        <v>Following crop will take up 351 kg N/ha</v>
      </c>
      <c r="R67" s="83">
        <f ca="1"/>
        <v>45568</v>
      </c>
      <c r="S67" s="55">
        <f t="shared" ca="1" si="11"/>
        <v>45568</v>
      </c>
      <c r="T67" s="55">
        <f t="shared" ca="1" si="0"/>
        <v>71.873756281112946</v>
      </c>
      <c r="U67" s="55">
        <f t="shared" ca="1" si="1"/>
        <v>0</v>
      </c>
      <c r="V67" s="55">
        <f t="shared" ca="1" si="2"/>
        <v>0</v>
      </c>
      <c r="W67" s="55">
        <f t="shared" ca="1" si="12"/>
        <v>-22.577818393121575</v>
      </c>
      <c r="X67" s="55">
        <f t="shared" ca="1" si="13"/>
        <v>35.871291729355093</v>
      </c>
      <c r="Y67" s="55">
        <f t="shared" ca="1" si="14"/>
        <v>9.1550770365027336</v>
      </c>
      <c r="Z67" s="55">
        <f t="shared" ca="1" si="15"/>
        <v>0</v>
      </c>
      <c r="AB67">
        <f t="shared" ca="1" si="3"/>
        <v>119.51304347826087</v>
      </c>
      <c r="AC67">
        <f t="shared" ca="1" si="16"/>
        <v>67.861970235097644</v>
      </c>
      <c r="AD67">
        <f t="shared" ca="1" si="4"/>
        <v>0</v>
      </c>
      <c r="AE67">
        <f t="shared" ca="1" si="5"/>
        <v>0</v>
      </c>
      <c r="AF67" s="83">
        <f ca="1"/>
        <v>45792</v>
      </c>
      <c r="AG67" s="55">
        <f t="shared" ca="1" si="21"/>
        <v>45792</v>
      </c>
      <c r="AH67" s="55">
        <f t="shared" ca="1" si="22"/>
        <v>-48.812385899201942</v>
      </c>
      <c r="AI67" s="55">
        <f t="shared" ca="1" si="23"/>
        <v>38.152566135359606</v>
      </c>
      <c r="AJ67" s="55">
        <f t="shared" ca="1" si="24"/>
        <v>0</v>
      </c>
      <c r="AK67" s="55">
        <f t="shared" ca="1" si="18"/>
        <v>0</v>
      </c>
      <c r="AL67" s="55">
        <f t="shared" ca="1" si="19"/>
        <v>41.024410193547411</v>
      </c>
      <c r="AM67" s="55">
        <f t="shared" ca="1" si="20"/>
        <v>-69.538150719981445</v>
      </c>
    </row>
    <row r="68" spans="2:39" ht="15.75" thickBot="1">
      <c r="C68" s="131" t="s">
        <v>185</v>
      </c>
      <c r="D68" s="131"/>
      <c r="E68" s="131"/>
      <c r="F68" s="131"/>
      <c r="G68" s="131"/>
      <c r="H68" s="131"/>
      <c r="R68" s="83">
        <f ca="1"/>
        <v>45569</v>
      </c>
      <c r="S68" s="55">
        <f t="shared" ca="1" si="11"/>
        <v>45569</v>
      </c>
      <c r="T68" s="55">
        <f t="shared" ca="1" si="0"/>
        <v>72.538027483960818</v>
      </c>
      <c r="U68" s="55">
        <f t="shared" ca="1" si="1"/>
        <v>0</v>
      </c>
      <c r="V68" s="55">
        <f t="shared" ca="1" si="2"/>
        <v>0</v>
      </c>
      <c r="W68" s="55">
        <f t="shared" ca="1" si="12"/>
        <v>-22.894409509473977</v>
      </c>
      <c r="X68" s="55">
        <f t="shared" ca="1" si="13"/>
        <v>36.667504035307132</v>
      </c>
      <c r="Y68" s="55">
        <f t="shared" ca="1" si="14"/>
        <v>9.3397270497509588</v>
      </c>
      <c r="Z68" s="55">
        <f t="shared" ca="1" si="15"/>
        <v>0</v>
      </c>
      <c r="AB68">
        <f t="shared" ca="1" si="3"/>
        <v>120</v>
      </c>
      <c r="AC68">
        <f t="shared" ca="1" si="16"/>
        <v>68.654468785822274</v>
      </c>
      <c r="AD68">
        <f t="shared" ca="1" si="4"/>
        <v>0</v>
      </c>
      <c r="AE68">
        <f t="shared" ca="1" si="5"/>
        <v>0</v>
      </c>
      <c r="AF68" s="83">
        <f ca="1"/>
        <v>45793</v>
      </c>
      <c r="AG68" s="55">
        <f t="shared" ca="1" si="21"/>
        <v>45793</v>
      </c>
      <c r="AH68" s="55">
        <f t="shared" ca="1" si="22"/>
        <v>-50.327901373877864</v>
      </c>
      <c r="AI68" s="55">
        <f t="shared" ca="1" si="23"/>
        <v>40.508680790763428</v>
      </c>
      <c r="AJ68" s="55">
        <f t="shared" ca="1" si="24"/>
        <v>0</v>
      </c>
      <c r="AK68" s="55">
        <f t="shared" ca="1" si="18"/>
        <v>0</v>
      </c>
      <c r="AL68" s="55">
        <f t="shared" ca="1" si="19"/>
        <v>41.859432510058866</v>
      </c>
      <c r="AM68" s="55">
        <f t="shared" ca="1" si="20"/>
        <v>-69.532573855765008</v>
      </c>
    </row>
    <row r="69" spans="2:39">
      <c r="C69" s="61"/>
      <c r="D69" s="88"/>
      <c r="E69" s="99"/>
      <c r="R69" s="83">
        <f ca="1"/>
        <v>45570</v>
      </c>
      <c r="S69" s="55">
        <f t="shared" ca="1" si="11"/>
        <v>45570</v>
      </c>
      <c r="T69" s="55">
        <f t="shared" ca="1" si="0"/>
        <v>73.524755717496888</v>
      </c>
      <c r="U69" s="55">
        <f t="shared" ca="1" si="1"/>
        <v>0</v>
      </c>
      <c r="V69" s="55">
        <f t="shared" ca="1" si="2"/>
        <v>0</v>
      </c>
      <c r="W69" s="55">
        <f t="shared" ca="1" si="12"/>
        <v>-22.894409509473977</v>
      </c>
      <c r="X69" s="55">
        <f t="shared" ca="1" si="13"/>
        <v>37.472242437507184</v>
      </c>
      <c r="Y69" s="55">
        <f t="shared" ca="1" si="14"/>
        <v>9.5217168810869648</v>
      </c>
      <c r="Z69" s="55">
        <f t="shared" ca="1" si="15"/>
        <v>0</v>
      </c>
      <c r="AB69">
        <f t="shared" ca="1" si="3"/>
        <v>119.65217391304347</v>
      </c>
      <c r="AC69">
        <f t="shared" ca="1" si="16"/>
        <v>68.654468785822274</v>
      </c>
      <c r="AD69">
        <f t="shared" ca="1" si="4"/>
        <v>0</v>
      </c>
      <c r="AE69">
        <f t="shared" ca="1" si="5"/>
        <v>0</v>
      </c>
      <c r="AF69" s="83">
        <f ca="1"/>
        <v>45794</v>
      </c>
      <c r="AG69" s="55">
        <f t="shared" ca="1" si="21"/>
        <v>45794</v>
      </c>
      <c r="AH69" s="55">
        <f t="shared" ca="1" si="22"/>
        <v>-51.866361049276492</v>
      </c>
      <c r="AI69" s="55">
        <f t="shared" ca="1" si="23"/>
        <v>42.872530124738837</v>
      </c>
      <c r="AJ69" s="55">
        <f t="shared" ca="1" si="24"/>
        <v>0</v>
      </c>
      <c r="AK69" s="55">
        <f t="shared" ca="1" si="18"/>
        <v>0</v>
      </c>
      <c r="AL69" s="55">
        <f t="shared" ca="1" si="19"/>
        <v>42.665597384823741</v>
      </c>
      <c r="AM69" s="55">
        <f t="shared" ca="1" si="20"/>
        <v>-69.513349071953101</v>
      </c>
    </row>
    <row r="70" spans="2:39">
      <c r="C70" s="61"/>
      <c r="D70" s="84"/>
      <c r="E70" s="69"/>
      <c r="R70" s="83">
        <f ca="1"/>
        <v>45571</v>
      </c>
      <c r="S70" s="55">
        <f t="shared" ca="1" si="11"/>
        <v>45571</v>
      </c>
      <c r="T70" s="55">
        <f t="shared" ca="1" si="0"/>
        <v>74.487388394833658</v>
      </c>
      <c r="U70" s="55">
        <f t="shared" ca="1" si="1"/>
        <v>0</v>
      </c>
      <c r="V70" s="55">
        <f t="shared" ca="1" si="2"/>
        <v>0</v>
      </c>
      <c r="W70" s="55">
        <f t="shared" ca="1" si="12"/>
        <v>-22.894409509473977</v>
      </c>
      <c r="X70" s="55">
        <f t="shared" ca="1" si="13"/>
        <v>38.259984720517672</v>
      </c>
      <c r="Y70" s="55">
        <f t="shared" ca="1" si="14"/>
        <v>9.6966072754132497</v>
      </c>
      <c r="Z70" s="55">
        <f t="shared" ca="1" si="15"/>
        <v>0</v>
      </c>
      <c r="AB70">
        <f t="shared" ca="1" si="3"/>
        <v>119.30117202268431</v>
      </c>
      <c r="AC70">
        <f t="shared" ca="1" si="16"/>
        <v>68.654468785822274</v>
      </c>
      <c r="AD70">
        <f t="shared" ca="1" si="4"/>
        <v>0</v>
      </c>
      <c r="AE70">
        <f t="shared" ca="1" si="5"/>
        <v>0</v>
      </c>
      <c r="AF70" s="83">
        <f ca="1"/>
        <v>45795</v>
      </c>
      <c r="AG70" s="55">
        <f t="shared" ca="1" si="21"/>
        <v>45795</v>
      </c>
      <c r="AH70" s="55">
        <f t="shared" ca="1" si="22"/>
        <v>-53.47886563360359</v>
      </c>
      <c r="AI70" s="55">
        <f t="shared" ca="1" si="23"/>
        <v>45.313036082949814</v>
      </c>
      <c r="AJ70" s="55">
        <f t="shared" ca="1" si="24"/>
        <v>0</v>
      </c>
      <c r="AK70" s="55">
        <f t="shared" ca="1" si="18"/>
        <v>0</v>
      </c>
      <c r="AL70" s="55">
        <f t="shared" ca="1" si="19"/>
        <v>43.46180969077578</v>
      </c>
      <c r="AM70" s="55">
        <f t="shared" ca="1" si="20"/>
        <v>-69.481560004021262</v>
      </c>
    </row>
    <row r="71" spans="2:39">
      <c r="C71" s="61"/>
      <c r="D71" s="84"/>
      <c r="E71" s="69"/>
      <c r="R71" s="83">
        <f ca="1"/>
        <v>45572</v>
      </c>
      <c r="S71" s="55">
        <f t="shared" ca="1" si="11"/>
        <v>45572</v>
      </c>
      <c r="T71" s="55">
        <f t="shared" ca="1" si="0"/>
        <v>75.095260825144962</v>
      </c>
      <c r="U71" s="55">
        <f t="shared" ca="1" si="1"/>
        <v>0</v>
      </c>
      <c r="V71" s="55">
        <f t="shared" ca="1" si="2"/>
        <v>0</v>
      </c>
      <c r="W71" s="55">
        <f t="shared" ca="1" si="12"/>
        <v>-23.305429746396754</v>
      </c>
      <c r="X71" s="55">
        <f t="shared" ca="1" si="13"/>
        <v>39.099389622527951</v>
      </c>
      <c r="Y71" s="55">
        <f t="shared" ca="1" si="14"/>
        <v>9.8760950406370522</v>
      </c>
      <c r="Z71" s="55">
        <f t="shared" ca="1" si="15"/>
        <v>0</v>
      </c>
      <c r="AB71">
        <f t="shared" ca="1" si="3"/>
        <v>120</v>
      </c>
      <c r="AC71">
        <f t="shared" ca="1" si="16"/>
        <v>69.648308092690584</v>
      </c>
      <c r="AD71">
        <f t="shared" ca="1" si="4"/>
        <v>0</v>
      </c>
      <c r="AE71">
        <f t="shared" ca="1" si="5"/>
        <v>0</v>
      </c>
      <c r="AF71" s="83">
        <f ca="1"/>
        <v>45796</v>
      </c>
      <c r="AG71" s="55">
        <f t="shared" ca="1" si="21"/>
        <v>45796</v>
      </c>
      <c r="AH71" s="55">
        <f t="shared" ca="1" si="22"/>
        <v>-55.32410406871702</v>
      </c>
      <c r="AI71" s="55">
        <f t="shared" ca="1" si="23"/>
        <v>48.034467003264254</v>
      </c>
      <c r="AJ71" s="55">
        <f t="shared" ca="1" si="24"/>
        <v>0</v>
      </c>
      <c r="AK71" s="55">
        <f t="shared" ca="1" si="18"/>
        <v>0</v>
      </c>
      <c r="AL71" s="55">
        <f t="shared" ca="1" si="19"/>
        <v>44.292463516179204</v>
      </c>
      <c r="AM71" s="55">
        <f t="shared" ca="1" si="20"/>
        <v>-69.436021344223676</v>
      </c>
    </row>
    <row r="72" spans="2:39">
      <c r="C72" s="61"/>
      <c r="D72" s="84">
        <v>120</v>
      </c>
      <c r="E72" s="69">
        <v>120</v>
      </c>
      <c r="R72" s="83">
        <f ca="1"/>
        <v>45573</v>
      </c>
      <c r="S72" s="55">
        <f t="shared" ca="1" si="11"/>
        <v>45573</v>
      </c>
      <c r="T72" s="55">
        <f t="shared" ca="1" si="0"/>
        <v>75.495736551406182</v>
      </c>
      <c r="U72" s="55">
        <f t="shared" ca="1" si="1"/>
        <v>0</v>
      </c>
      <c r="V72" s="55">
        <f t="shared" ca="1" si="2"/>
        <v>0</v>
      </c>
      <c r="W72" s="55">
        <f t="shared" ca="1" si="12"/>
        <v>-23.937405651209684</v>
      </c>
      <c r="X72" s="55">
        <f t="shared" ca="1" si="13"/>
        <v>39.954244681534036</v>
      </c>
      <c r="Y72" s="55">
        <f t="shared" ca="1" si="14"/>
        <v>10.053691612705125</v>
      </c>
      <c r="Z72" s="55">
        <f t="shared" ca="1" si="15"/>
        <v>0</v>
      </c>
      <c r="AB72">
        <f t="shared" ca="1" si="3"/>
        <v>120</v>
      </c>
      <c r="AC72">
        <f t="shared" ca="1" si="16"/>
        <v>71.16830809269058</v>
      </c>
      <c r="AD72">
        <f t="shared" ca="1" si="4"/>
        <v>0</v>
      </c>
      <c r="AE72">
        <f t="shared" ca="1" si="5"/>
        <v>0</v>
      </c>
      <c r="AF72" s="83">
        <f ca="1"/>
        <v>45797</v>
      </c>
      <c r="AG72" s="55">
        <f t="shared" ca="1" si="21"/>
        <v>45797</v>
      </c>
      <c r="AH72" s="55">
        <f t="shared" ca="1" si="22"/>
        <v>-57.284173096408637</v>
      </c>
      <c r="AI72" s="55">
        <f t="shared" ca="1" si="23"/>
        <v>50.879109015258067</v>
      </c>
      <c r="AJ72" s="55">
        <f t="shared" ca="1" si="24"/>
        <v>0</v>
      </c>
      <c r="AK72" s="55">
        <f t="shared" ca="1" si="18"/>
        <v>0</v>
      </c>
      <c r="AL72" s="55">
        <f t="shared" ca="1" si="19"/>
        <v>45.119487693050885</v>
      </c>
      <c r="AM72" s="55">
        <f t="shared" ca="1" si="20"/>
        <v>-69.378472536793169</v>
      </c>
    </row>
    <row r="73" spans="2:39">
      <c r="R73" s="83">
        <f ca="1"/>
        <v>45574</v>
      </c>
      <c r="S73" s="55">
        <f t="shared" ca="1" si="11"/>
        <v>45574</v>
      </c>
      <c r="T73" s="55">
        <f t="shared" ca="1" si="0"/>
        <v>75.7530520947535</v>
      </c>
      <c r="U73" s="55">
        <f t="shared" ca="1" si="1"/>
        <v>0</v>
      </c>
      <c r="V73" s="55">
        <f t="shared" ca="1" si="2"/>
        <v>0</v>
      </c>
      <c r="W73" s="55">
        <f t="shared" ca="1" si="12"/>
        <v>-24.646629878067806</v>
      </c>
      <c r="X73" s="55">
        <f t="shared" ca="1" si="13"/>
        <v>40.756134816918994</v>
      </c>
      <c r="Y73" s="55">
        <f t="shared" ca="1" si="14"/>
        <v>10.218341247525615</v>
      </c>
      <c r="Z73" s="55">
        <f t="shared" ca="1" si="15"/>
        <v>0</v>
      </c>
      <c r="AB73">
        <f t="shared" ca="1" si="3"/>
        <v>120</v>
      </c>
      <c r="AC73">
        <f t="shared" ca="1" si="16"/>
        <v>72.868308092690569</v>
      </c>
      <c r="AD73">
        <f t="shared" ca="1" si="4"/>
        <v>0</v>
      </c>
      <c r="AE73">
        <f t="shared" ca="1" si="5"/>
        <v>0</v>
      </c>
      <c r="AF73" s="83">
        <f ca="1"/>
        <v>45798</v>
      </c>
      <c r="AG73" s="55">
        <f t="shared" ca="1" si="21"/>
        <v>45798</v>
      </c>
      <c r="AH73" s="55">
        <f t="shared" ca="1" si="22"/>
        <v>-59.460472274146142</v>
      </c>
      <c r="AI73" s="55">
        <f t="shared" ca="1" si="23"/>
        <v>53.974203677118389</v>
      </c>
      <c r="AJ73" s="55">
        <f t="shared" ca="1" si="24"/>
        <v>0</v>
      </c>
      <c r="AK73" s="55">
        <f t="shared" ca="1" si="18"/>
        <v>0</v>
      </c>
      <c r="AL73" s="55">
        <f t="shared" ca="1" si="19"/>
        <v>45.967700081071357</v>
      </c>
      <c r="AM73" s="55">
        <f t="shared" ca="1" si="20"/>
        <v>-69.307889440690815</v>
      </c>
    </row>
    <row r="74" spans="2:39">
      <c r="R74" s="83">
        <f ca="1"/>
        <v>45575</v>
      </c>
      <c r="S74" s="55">
        <f t="shared" ca="1" si="11"/>
        <v>45575</v>
      </c>
      <c r="T74" s="55">
        <f t="shared" ca="1" si="0"/>
        <v>76.737899745593822</v>
      </c>
      <c r="U74" s="55">
        <f t="shared" ca="1" si="1"/>
        <v>0</v>
      </c>
      <c r="V74" s="55">
        <f t="shared" ca="1" si="2"/>
        <v>0</v>
      </c>
      <c r="W74" s="55">
        <f t="shared" ca="1" si="12"/>
        <v>-24.646629878067806</v>
      </c>
      <c r="X74" s="55">
        <f t="shared" ca="1" si="13"/>
        <v>41.577371891237625</v>
      </c>
      <c r="Y74" s="55">
        <f t="shared" ca="1" si="14"/>
        <v>10.381951824047304</v>
      </c>
      <c r="Z74" s="55">
        <f t="shared" ca="1" si="15"/>
        <v>0</v>
      </c>
      <c r="AB74">
        <f t="shared" ca="1" si="3"/>
        <v>119.09565217391305</v>
      </c>
      <c r="AC74">
        <f t="shared" ca="1" si="16"/>
        <v>72.868308092690569</v>
      </c>
      <c r="AD74">
        <f t="shared" ca="1" si="4"/>
        <v>0</v>
      </c>
      <c r="AE74">
        <f t="shared" ca="1" si="5"/>
        <v>0</v>
      </c>
      <c r="AF74" s="83">
        <f ca="1"/>
        <v>45799</v>
      </c>
      <c r="AG74" s="55">
        <f t="shared" ca="1" si="21"/>
        <v>45799</v>
      </c>
      <c r="AH74" s="55">
        <f t="shared" ca="1" si="22"/>
        <v>-61.620310397118317</v>
      </c>
      <c r="AI74" s="55">
        <f t="shared" ca="1" si="23"/>
        <v>57.022565662763483</v>
      </c>
      <c r="AJ74" s="55">
        <f t="shared" ca="1" si="24"/>
        <v>0</v>
      </c>
      <c r="AK74" s="55">
        <f t="shared" ca="1" si="18"/>
        <v>0</v>
      </c>
      <c r="AL74" s="55">
        <f t="shared" ca="1" si="19"/>
        <v>46.777437962363834</v>
      </c>
      <c r="AM74" s="55">
        <f t="shared" ca="1" si="20"/>
        <v>-69.22910345931038</v>
      </c>
    </row>
    <row r="75" spans="2:39">
      <c r="R75" s="83">
        <f ca="1"/>
        <v>45576</v>
      </c>
      <c r="S75" s="55">
        <f t="shared" ca="1" si="11"/>
        <v>45576</v>
      </c>
      <c r="T75" s="55">
        <f t="shared" ca="1" si="0"/>
        <v>76.926149876749676</v>
      </c>
      <c r="U75" s="55">
        <f t="shared" ca="1" si="1"/>
        <v>0</v>
      </c>
      <c r="V75" s="55">
        <f t="shared" ca="1" si="2"/>
        <v>0</v>
      </c>
      <c r="W75" s="55">
        <f t="shared" ca="1" si="12"/>
        <v>-25.482072619113392</v>
      </c>
      <c r="X75" s="55">
        <f t="shared" ca="1" si="13"/>
        <v>42.435931058462096</v>
      </c>
      <c r="Y75" s="55">
        <f t="shared" ca="1" si="14"/>
        <v>10.547085529024272</v>
      </c>
      <c r="Z75" s="55">
        <f t="shared" ca="1" si="15"/>
        <v>0</v>
      </c>
      <c r="AB75">
        <f t="shared" ca="1" si="3"/>
        <v>120</v>
      </c>
      <c r="AC75">
        <f t="shared" ca="1" si="16"/>
        <v>74.840313889792029</v>
      </c>
      <c r="AD75">
        <f t="shared" ca="1" si="4"/>
        <v>0</v>
      </c>
      <c r="AE75">
        <f t="shared" ca="1" si="5"/>
        <v>0</v>
      </c>
      <c r="AF75" s="83">
        <f ca="1"/>
        <v>45800</v>
      </c>
      <c r="AG75" s="55">
        <f t="shared" ca="1" si="21"/>
        <v>45800</v>
      </c>
      <c r="AH75" s="55">
        <f t="shared" ca="1" si="22"/>
        <v>-63.834951721946524</v>
      </c>
      <c r="AI75" s="55">
        <f t="shared" ca="1" si="23"/>
        <v>60.117119722882499</v>
      </c>
      <c r="AJ75" s="55">
        <f t="shared" ca="1" si="24"/>
        <v>0</v>
      </c>
      <c r="AK75" s="55">
        <f t="shared" ca="1" si="18"/>
        <v>0</v>
      </c>
      <c r="AL75" s="55">
        <f t="shared" ca="1" si="19"/>
        <v>47.570114281707433</v>
      </c>
      <c r="AM75" s="55">
        <f t="shared" ca="1" si="20"/>
        <v>-69.141867043363163</v>
      </c>
    </row>
    <row r="76" spans="2:39">
      <c r="R76" s="83">
        <f ca="1"/>
        <v>45577</v>
      </c>
      <c r="S76" s="55">
        <f t="shared" ca="1" si="11"/>
        <v>45577</v>
      </c>
      <c r="T76" s="55">
        <f t="shared" ca="1" si="0"/>
        <v>77.102159668224374</v>
      </c>
      <c r="U76" s="55">
        <f t="shared" ca="1" si="1"/>
        <v>0</v>
      </c>
      <c r="V76" s="55">
        <f t="shared" ca="1" si="2"/>
        <v>0</v>
      </c>
      <c r="W76" s="55">
        <f t="shared" ca="1" si="12"/>
        <v>-26.318575180383434</v>
      </c>
      <c r="X76" s="55">
        <f t="shared" ca="1" si="13"/>
        <v>43.288568362682788</v>
      </c>
      <c r="Y76" s="55">
        <f t="shared" ca="1" si="14"/>
        <v>10.706960577548321</v>
      </c>
      <c r="Z76" s="55">
        <f t="shared" ca="1" si="15"/>
        <v>0</v>
      </c>
      <c r="AB76">
        <f t="shared" ca="1" si="3"/>
        <v>120</v>
      </c>
      <c r="AC76">
        <f t="shared" ca="1" si="16"/>
        <v>76.810313889792027</v>
      </c>
      <c r="AD76">
        <f t="shared" ca="1" si="4"/>
        <v>0</v>
      </c>
      <c r="AE76">
        <f t="shared" ca="1" si="5"/>
        <v>0</v>
      </c>
      <c r="AF76" s="83">
        <f ca="1"/>
        <v>45801</v>
      </c>
      <c r="AG76" s="55">
        <f t="shared" ca="1" si="21"/>
        <v>45801</v>
      </c>
      <c r="AH76" s="55">
        <f t="shared" ca="1" si="22"/>
        <v>-66.154299213312981</v>
      </c>
      <c r="AI76" s="55">
        <f t="shared" ca="1" si="23"/>
        <v>63.320120709579463</v>
      </c>
      <c r="AJ76" s="55">
        <f t="shared" ca="1" si="24"/>
        <v>0</v>
      </c>
      <c r="AK76" s="55">
        <f t="shared" ca="1" si="18"/>
        <v>0</v>
      </c>
      <c r="AL76" s="55">
        <f t="shared" ca="1" si="19"/>
        <v>48.35785656471792</v>
      </c>
      <c r="AM76" s="55">
        <f t="shared" ca="1" si="20"/>
        <v>-69.045955831043145</v>
      </c>
    </row>
    <row r="77" spans="2:39">
      <c r="R77" s="83">
        <f ca="1"/>
        <v>45578</v>
      </c>
      <c r="S77" s="55">
        <f t="shared" ca="1" si="11"/>
        <v>45578</v>
      </c>
      <c r="T77" s="55">
        <f t="shared" ca="1" si="0"/>
        <v>76.913679353598198</v>
      </c>
      <c r="U77" s="55">
        <f t="shared" ca="1" si="1"/>
        <v>0</v>
      </c>
      <c r="V77" s="55">
        <f t="shared" ca="1" si="2"/>
        <v>0</v>
      </c>
      <c r="W77" s="55">
        <f t="shared" ca="1" si="12"/>
        <v>-27.487663106558127</v>
      </c>
      <c r="X77" s="55">
        <f t="shared" ca="1" si="13"/>
        <v>44.117043225408651</v>
      </c>
      <c r="Y77" s="55">
        <f t="shared" ca="1" si="14"/>
        <v>10.859093326370967</v>
      </c>
      <c r="Z77" s="55">
        <f t="shared" ca="1" si="15"/>
        <v>0</v>
      </c>
      <c r="AB77">
        <f t="shared" ca="1" si="3"/>
        <v>120</v>
      </c>
      <c r="AC77">
        <f t="shared" ca="1" si="16"/>
        <v>79.570313889792033</v>
      </c>
      <c r="AD77">
        <f t="shared" ca="1" si="4"/>
        <v>0</v>
      </c>
      <c r="AE77">
        <f t="shared" ca="1" si="5"/>
        <v>0</v>
      </c>
      <c r="AF77" s="83">
        <f ca="1"/>
        <v>45802</v>
      </c>
      <c r="AG77" s="55">
        <f t="shared" ca="1" si="21"/>
        <v>45802</v>
      </c>
      <c r="AH77" s="55">
        <f t="shared" ca="1" si="22"/>
        <v>-68.704571921636813</v>
      </c>
      <c r="AI77" s="55">
        <f t="shared" ca="1" si="23"/>
        <v>66.78462572033402</v>
      </c>
      <c r="AJ77" s="55">
        <f t="shared" ca="1" si="24"/>
        <v>0</v>
      </c>
      <c r="AK77" s="55">
        <f t="shared" ca="1" si="18"/>
        <v>0</v>
      </c>
      <c r="AL77" s="55">
        <f t="shared" ca="1" si="19"/>
        <v>49.165449471914187</v>
      </c>
      <c r="AM77" s="55">
        <f t="shared" ca="1" si="20"/>
        <v>-68.939316435808692</v>
      </c>
    </row>
    <row r="78" spans="2:39">
      <c r="R78" s="83">
        <f ca="1"/>
        <v>45579</v>
      </c>
      <c r="S78" s="55">
        <f t="shared" ca="1" si="11"/>
        <v>45579</v>
      </c>
      <c r="T78" s="55">
        <f t="shared" ca="1" si="0"/>
        <v>76.704790751009213</v>
      </c>
      <c r="U78" s="55">
        <f t="shared" ca="1" si="1"/>
        <v>0</v>
      </c>
      <c r="V78" s="55">
        <f t="shared" ca="1" si="2"/>
        <v>0</v>
      </c>
      <c r="W78" s="55">
        <f t="shared" ca="1" si="12"/>
        <v>-28.649351604163993</v>
      </c>
      <c r="X78" s="55">
        <f t="shared" ca="1" si="13"/>
        <v>44.924636132604917</v>
      </c>
      <c r="Y78" s="55">
        <f t="shared" ca="1" si="14"/>
        <v>11.004300314191587</v>
      </c>
      <c r="Z78" s="55">
        <f t="shared" ca="1" si="15"/>
        <v>0</v>
      </c>
      <c r="AB78">
        <f t="shared" ca="1" si="3"/>
        <v>120</v>
      </c>
      <c r="AC78">
        <f t="shared" ca="1" si="16"/>
        <v>82.320313889792033</v>
      </c>
      <c r="AD78">
        <f t="shared" ca="1" si="4"/>
        <v>0</v>
      </c>
      <c r="AE78">
        <f t="shared" ca="1" si="5"/>
        <v>0</v>
      </c>
      <c r="AF78" s="83">
        <f ca="1"/>
        <v>45803</v>
      </c>
      <c r="AG78" s="55">
        <f t="shared" ca="1" si="21"/>
        <v>45803</v>
      </c>
      <c r="AH78" s="55">
        <f t="shared" ca="1" si="22"/>
        <v>-71.549317568540403</v>
      </c>
      <c r="AI78" s="55">
        <f t="shared" ca="1" si="23"/>
        <v>70.584297650158121</v>
      </c>
      <c r="AJ78" s="55">
        <f t="shared" ca="1" si="24"/>
        <v>0</v>
      </c>
      <c r="AK78" s="55">
        <f t="shared" ca="1" si="18"/>
        <v>0</v>
      </c>
      <c r="AL78" s="55">
        <f t="shared" ca="1" si="19"/>
        <v>50.001931083819024</v>
      </c>
      <c r="AM78" s="55">
        <f t="shared" ca="1" si="20"/>
        <v>-68.820871764793026</v>
      </c>
    </row>
    <row r="79" spans="2:39">
      <c r="R79" s="83">
        <f ca="1"/>
        <v>45580</v>
      </c>
      <c r="S79" s="55">
        <f t="shared" ca="1" si="11"/>
        <v>45580</v>
      </c>
      <c r="T79" s="55">
        <f t="shared" ca="1" si="0"/>
        <v>77.610838080470216</v>
      </c>
      <c r="U79" s="55">
        <f t="shared" ca="1" si="1"/>
        <v>0</v>
      </c>
      <c r="V79" s="55">
        <f t="shared" ca="1" si="2"/>
        <v>0</v>
      </c>
      <c r="W79" s="55">
        <f t="shared" ca="1" si="12"/>
        <v>-28.696368024914189</v>
      </c>
      <c r="X79" s="55">
        <f t="shared" ca="1" si="13"/>
        <v>45.735805947391952</v>
      </c>
      <c r="Y79" s="55">
        <f t="shared" ca="1" si="14"/>
        <v>11.146194249615757</v>
      </c>
      <c r="Z79" s="55">
        <f t="shared" ca="1" si="15"/>
        <v>0</v>
      </c>
      <c r="AB79">
        <f t="shared" ca="1" si="3"/>
        <v>120</v>
      </c>
      <c r="AC79">
        <f t="shared" ca="1" si="16"/>
        <v>82.430313889792032</v>
      </c>
      <c r="AD79">
        <f t="shared" ca="1" si="4"/>
        <v>0</v>
      </c>
      <c r="AE79">
        <f t="shared" ca="1" si="5"/>
        <v>0</v>
      </c>
      <c r="AF79" s="83">
        <f ca="1"/>
        <v>45804</v>
      </c>
      <c r="AG79" s="55">
        <f t="shared" ca="1" si="21"/>
        <v>45804</v>
      </c>
      <c r="AH79" s="55">
        <f t="shared" ca="1" si="22"/>
        <v>-74.307742516637873</v>
      </c>
      <c r="AI79" s="55">
        <f t="shared" ca="1" si="23"/>
        <v>74.256065136144628</v>
      </c>
      <c r="AJ79" s="55">
        <f t="shared" ca="1" si="24"/>
        <v>0</v>
      </c>
      <c r="AK79" s="55">
        <f t="shared" ca="1" si="18"/>
        <v>0</v>
      </c>
      <c r="AL79" s="55">
        <f t="shared" ca="1" si="19"/>
        <v>50.793901373584042</v>
      </c>
      <c r="AM79" s="55">
        <f t="shared" ca="1" si="20"/>
        <v>-68.699499516669022</v>
      </c>
    </row>
    <row r="80" spans="2:39">
      <c r="R80" s="83">
        <f ca="1"/>
        <v>45581</v>
      </c>
      <c r="S80" s="55">
        <f t="shared" ca="1" si="11"/>
        <v>45581</v>
      </c>
      <c r="T80" s="55">
        <f t="shared" ca="1" si="0"/>
        <v>78.526604627816496</v>
      </c>
      <c r="U80" s="55">
        <f t="shared" ca="1" si="1"/>
        <v>0</v>
      </c>
      <c r="V80" s="55">
        <f t="shared" ca="1" si="2"/>
        <v>0</v>
      </c>
      <c r="W80" s="55">
        <f t="shared" ca="1" si="12"/>
        <v>-28.778536443089962</v>
      </c>
      <c r="X80" s="55">
        <f t="shared" ca="1" si="13"/>
        <v>46.589921362361231</v>
      </c>
      <c r="Y80" s="55">
        <f t="shared" ca="1" si="14"/>
        <v>11.290013800168518</v>
      </c>
      <c r="Z80" s="55">
        <f t="shared" ca="1" si="15"/>
        <v>0</v>
      </c>
      <c r="AB80">
        <f t="shared" ca="1" si="3"/>
        <v>120</v>
      </c>
      <c r="AC80">
        <f t="shared" ca="1" si="16"/>
        <v>82.62031388979203</v>
      </c>
      <c r="AD80">
        <f t="shared" ca="1" si="4"/>
        <v>0</v>
      </c>
      <c r="AE80">
        <f t="shared" ca="1" si="5"/>
        <v>0</v>
      </c>
      <c r="AF80" s="83">
        <f ca="1"/>
        <v>45805</v>
      </c>
      <c r="AG80" s="55">
        <f t="shared" ca="1" si="21"/>
        <v>45805</v>
      </c>
      <c r="AH80" s="55">
        <f t="shared" ca="1" si="22"/>
        <v>-76.900400250139654</v>
      </c>
      <c r="AI80" s="55">
        <f t="shared" ca="1" si="23"/>
        <v>77.712365862690376</v>
      </c>
      <c r="AJ80" s="55">
        <f t="shared" ca="1" si="24"/>
        <v>0</v>
      </c>
      <c r="AK80" s="55">
        <f t="shared" ca="1" si="18"/>
        <v>0</v>
      </c>
      <c r="AL80" s="55">
        <f t="shared" ca="1" si="19"/>
        <v>51.535379824413702</v>
      </c>
      <c r="AM80" s="55">
        <f t="shared" ca="1" si="20"/>
        <v>-68.577334974454715</v>
      </c>
    </row>
    <row r="81" spans="18:39">
      <c r="R81" s="83">
        <f ca="1"/>
        <v>45582</v>
      </c>
      <c r="S81" s="55">
        <f t="shared" ca="1" si="11"/>
        <v>45582</v>
      </c>
      <c r="T81" s="55">
        <f t="shared" ca="1" si="0"/>
        <v>79.18797421492242</v>
      </c>
      <c r="U81" s="55">
        <f t="shared" ca="1" si="1"/>
        <v>0</v>
      </c>
      <c r="V81" s="55">
        <f t="shared" ca="1" si="2"/>
        <v>0</v>
      </c>
      <c r="W81" s="55">
        <f t="shared" ca="1" si="12"/>
        <v>-29.070728591425024</v>
      </c>
      <c r="X81" s="55">
        <f t="shared" ca="1" si="13"/>
        <v>47.408274265633601</v>
      </c>
      <c r="Y81" s="55">
        <f t="shared" ca="1" si="14"/>
        <v>11.425222632337132</v>
      </c>
      <c r="Z81" s="55">
        <f t="shared" ca="1" si="15"/>
        <v>0</v>
      </c>
      <c r="AB81">
        <f t="shared" ca="1" si="3"/>
        <v>120</v>
      </c>
      <c r="AC81">
        <f t="shared" ca="1" si="16"/>
        <v>83.290313889792031</v>
      </c>
      <c r="AD81">
        <f t="shared" ca="1" si="4"/>
        <v>0</v>
      </c>
      <c r="AE81">
        <f t="shared" ca="1" si="5"/>
        <v>0</v>
      </c>
      <c r="AF81" s="83">
        <f ca="1"/>
        <v>45806</v>
      </c>
      <c r="AG81" s="55">
        <f t="shared" ca="1" si="21"/>
        <v>45806</v>
      </c>
      <c r="AH81" s="55">
        <f t="shared" ca="1" si="22"/>
        <v>-79.447310886174904</v>
      </c>
      <c r="AI81" s="55">
        <f t="shared" ca="1" si="23"/>
        <v>81.101038706085632</v>
      </c>
      <c r="AJ81" s="55">
        <f t="shared" ca="1" si="24"/>
        <v>0</v>
      </c>
      <c r="AK81" s="55">
        <f t="shared" ca="1" si="18"/>
        <v>0</v>
      </c>
      <c r="AL81" s="55">
        <f t="shared" ca="1" si="19"/>
        <v>52.252052975473568</v>
      </c>
      <c r="AM81" s="55">
        <f t="shared" ca="1" si="20"/>
        <v>-68.452245918154574</v>
      </c>
    </row>
    <row r="82" spans="18:39">
      <c r="R82" s="83">
        <f ca="1"/>
        <v>45583</v>
      </c>
      <c r="S82" s="55">
        <f t="shared" ca="1" si="11"/>
        <v>45583</v>
      </c>
      <c r="T82" s="55">
        <f t="shared" ref="T82:T145" ca="1" si="28">VLOOKUP(S82,ModelOutputs,2,FALSE)</f>
        <v>20</v>
      </c>
      <c r="U82" s="55">
        <f t="shared" ref="U82:U145" ca="1" si="29">VLOOKUP(S82,ModelOutputs,7,FALSE)</f>
        <v>0</v>
      </c>
      <c r="V82" s="55">
        <f t="shared" ref="V82:V145" ca="1" si="30">VLOOKUP(S82,ModelOutputs,6,FALSE)</f>
        <v>0</v>
      </c>
      <c r="W82" s="55">
        <f t="shared" ca="1" si="12"/>
        <v>-29.070728591425024</v>
      </c>
      <c r="X82" s="55">
        <f t="shared" ca="1" si="13"/>
        <v>48.208742606122819</v>
      </c>
      <c r="Y82" s="55">
        <f t="shared" ca="1" si="14"/>
        <v>11.55452882780261</v>
      </c>
      <c r="Z82" s="55">
        <f t="shared" ca="1" si="15"/>
        <v>0</v>
      </c>
      <c r="AB82">
        <f t="shared" ref="AB82:AB145" ca="1" si="31">VLOOKUP(S82,ModelOutputs,10,FALSE)*AWC</f>
        <v>118.26086956521739</v>
      </c>
      <c r="AC82">
        <f t="shared" ca="1" si="16"/>
        <v>83.290313889792031</v>
      </c>
      <c r="AD82">
        <f t="shared" ref="AD82:AD145" ca="1" si="32">VLOOKUP(S82,ModelOutputs,12,FALSE)</f>
        <v>0</v>
      </c>
      <c r="AE82">
        <f t="shared" ref="AE82:AE145" ca="1" si="33">VLOOKUP(S82,ModelOutputs,13,FALSE)</f>
        <v>0</v>
      </c>
      <c r="AF82" s="83">
        <f ca="1"/>
        <v>45807</v>
      </c>
      <c r="AG82" s="55">
        <f t="shared" ca="1" si="21"/>
        <v>45807</v>
      </c>
      <c r="AH82" s="55">
        <f t="shared" ca="1" si="22"/>
        <v>-82.234874382295857</v>
      </c>
      <c r="AI82" s="55">
        <f t="shared" ca="1" si="23"/>
        <v>84.758864423389298</v>
      </c>
      <c r="AJ82" s="55">
        <f t="shared" ca="1" si="24"/>
        <v>0</v>
      </c>
      <c r="AK82" s="55">
        <f t="shared" ca="1" si="18"/>
        <v>0</v>
      </c>
      <c r="AL82" s="55">
        <f t="shared" ca="1" si="19"/>
        <v>52.988798082765285</v>
      </c>
      <c r="AM82" s="55">
        <f t="shared" ca="1" si="20"/>
        <v>-68.318728804263571</v>
      </c>
    </row>
    <row r="83" spans="18:39">
      <c r="R83" s="83">
        <f ca="1"/>
        <v>45584</v>
      </c>
      <c r="S83" s="55">
        <f t="shared" ref="S83:S146" ca="1" si="34">IF(R83&gt;1,R83,"")</f>
        <v>45584</v>
      </c>
      <c r="T83" s="55">
        <f t="shared" ca="1" si="28"/>
        <v>20.916766697274554</v>
      </c>
      <c r="U83" s="55">
        <f t="shared" ca="1" si="29"/>
        <v>0</v>
      </c>
      <c r="V83" s="55">
        <f t="shared" ca="1" si="30"/>
        <v>0</v>
      </c>
      <c r="W83" s="55">
        <f t="shared" ref="W83:W146" ca="1" si="35">-VLOOKUP(S83,ModelOutputs,9,FALSE)+W82</f>
        <v>-29.070728591425024</v>
      </c>
      <c r="X83" s="55">
        <f t="shared" ref="X83:X146" ca="1" si="36">VLOOKUP(S83,ModelOutputs,5,FALSE)+X82</f>
        <v>49.000712895887837</v>
      </c>
      <c r="Y83" s="55">
        <f t="shared" ref="Y83:Y146" ca="1" si="37">VLOOKUP(S83,ModelOutputs,4,FALSE)+Y82</f>
        <v>11.679325235312144</v>
      </c>
      <c r="Z83" s="55">
        <f t="shared" ref="Z83:Z146" ca="1" si="38">VLOOKUP(S83,ModelOutputs,3,FALSE)*10</f>
        <v>0</v>
      </c>
      <c r="AB83">
        <f t="shared" ca="1" si="31"/>
        <v>115.40491493383743</v>
      </c>
      <c r="AC83">
        <f t="shared" ref="AC83:AC146" ca="1" si="39">VLOOKUP(S83,ModelOutputs,11,FALSE)+AC82</f>
        <v>83.290313889792031</v>
      </c>
      <c r="AD83">
        <f t="shared" ca="1" si="32"/>
        <v>0</v>
      </c>
      <c r="AE83">
        <f t="shared" ca="1" si="33"/>
        <v>0</v>
      </c>
      <c r="AF83" s="83">
        <f ca="1"/>
        <v>45808</v>
      </c>
      <c r="AG83" s="55">
        <f t="shared" ca="1" si="21"/>
        <v>45808</v>
      </c>
      <c r="AH83" s="55">
        <f t="shared" ca="1" si="22"/>
        <v>-85.001462831324986</v>
      </c>
      <c r="AI83" s="55">
        <f t="shared" ca="1" si="23"/>
        <v>88.379027409855482</v>
      </c>
      <c r="AJ83" s="55">
        <f t="shared" ca="1" si="24"/>
        <v>0</v>
      </c>
      <c r="AK83" s="55">
        <f t="shared" ref="AK83:AK146" ca="1" si="40">-VLOOKUP(AG83,ModelOutputs,9,FALSE)+AK82</f>
        <v>0</v>
      </c>
      <c r="AL83" s="55">
        <f t="shared" ref="AL83:AL146" ca="1" si="41">VLOOKUP(AG83,ModelOutputs,5,FALSE)+AL82</f>
        <v>53.706134721633923</v>
      </c>
      <c r="AM83" s="55">
        <f t="shared" ref="AM83:AM146" ca="1" si="42">VLOOKUP(AG83,ModelOutputs,4,FALSE)+AM82</f>
        <v>-68.182490905695147</v>
      </c>
    </row>
    <row r="84" spans="18:39">
      <c r="R84" s="83">
        <f ca="1"/>
        <v>45585</v>
      </c>
      <c r="S84" s="55">
        <f t="shared" ca="1" si="34"/>
        <v>45585</v>
      </c>
      <c r="T84" s="55">
        <f t="shared" ca="1" si="28"/>
        <v>21.866935048247335</v>
      </c>
      <c r="U84" s="55">
        <f t="shared" ca="1" si="29"/>
        <v>0</v>
      </c>
      <c r="V84" s="55">
        <f t="shared" ca="1" si="30"/>
        <v>0</v>
      </c>
      <c r="W84" s="55">
        <f t="shared" ca="1" si="35"/>
        <v>-29.070728591425024</v>
      </c>
      <c r="X84" s="55">
        <f t="shared" ca="1" si="36"/>
        <v>49.825563977116722</v>
      </c>
      <c r="Y84" s="55">
        <f t="shared" ca="1" si="37"/>
        <v>11.804642505056037</v>
      </c>
      <c r="Z84" s="55">
        <f t="shared" ca="1" si="38"/>
        <v>0</v>
      </c>
      <c r="AB84">
        <f t="shared" ca="1" si="31"/>
        <v>115.56592290622174</v>
      </c>
      <c r="AC84">
        <f t="shared" ca="1" si="39"/>
        <v>83.290313889792031</v>
      </c>
      <c r="AD84">
        <f t="shared" ca="1" si="32"/>
        <v>0</v>
      </c>
      <c r="AE84">
        <f t="shared" ca="1" si="33"/>
        <v>0</v>
      </c>
      <c r="AF84" s="83">
        <f ca="1"/>
        <v>45809</v>
      </c>
      <c r="AG84" s="55">
        <f t="shared" ca="1" si="21"/>
        <v>45809</v>
      </c>
      <c r="AH84" s="55">
        <f t="shared" ca="1" si="22"/>
        <v>-87.888706678836513</v>
      </c>
      <c r="AI84" s="55">
        <f t="shared" ca="1" si="23"/>
        <v>92.12716756726185</v>
      </c>
      <c r="AJ84" s="55">
        <f t="shared" ca="1" si="24"/>
        <v>0</v>
      </c>
      <c r="AK84" s="55">
        <f t="shared" ca="1" si="40"/>
        <v>0</v>
      </c>
      <c r="AL84" s="55">
        <f t="shared" ca="1" si="41"/>
        <v>54.425464129271738</v>
      </c>
      <c r="AM84" s="55">
        <f t="shared" ca="1" si="42"/>
        <v>-68.040924003438136</v>
      </c>
    </row>
    <row r="85" spans="18:39">
      <c r="R85" s="83">
        <f ca="1"/>
        <v>45586</v>
      </c>
      <c r="S85" s="55">
        <f t="shared" ca="1" si="34"/>
        <v>45586</v>
      </c>
      <c r="T85" s="55">
        <f t="shared" ca="1" si="28"/>
        <v>22.836369551933231</v>
      </c>
      <c r="U85" s="55">
        <f t="shared" ca="1" si="29"/>
        <v>0</v>
      </c>
      <c r="V85" s="55">
        <f t="shared" ca="1" si="30"/>
        <v>0</v>
      </c>
      <c r="W85" s="55">
        <f t="shared" ca="1" si="35"/>
        <v>-29.070728591425024</v>
      </c>
      <c r="X85" s="55">
        <f t="shared" ca="1" si="36"/>
        <v>50.670834264851422</v>
      </c>
      <c r="Y85" s="55">
        <f t="shared" ca="1" si="37"/>
        <v>11.928806721007234</v>
      </c>
      <c r="Z85" s="55">
        <f t="shared" ca="1" si="38"/>
        <v>0</v>
      </c>
      <c r="AB85">
        <f t="shared" ca="1" si="31"/>
        <v>116.51814267930718</v>
      </c>
      <c r="AC85">
        <f t="shared" ca="1" si="39"/>
        <v>83.290313889792031</v>
      </c>
      <c r="AD85">
        <f t="shared" ca="1" si="32"/>
        <v>0</v>
      </c>
      <c r="AE85">
        <f t="shared" ca="1" si="33"/>
        <v>0</v>
      </c>
      <c r="AF85" s="83">
        <f ca="1"/>
        <v>45810</v>
      </c>
      <c r="AG85" s="55">
        <f t="shared" ref="AG85:AG148" ca="1" si="43">IF(AF85&gt;1,AF85,"")</f>
        <v>45810</v>
      </c>
      <c r="AH85" s="55">
        <f t="shared" ref="AH85:AH148" ca="1" si="44">VLOOKUP(AG85,ModelOutputs,2,FALSE)</f>
        <v>-90.802568627822225</v>
      </c>
      <c r="AI85" s="55">
        <f t="shared" ref="AI85:AI148" ca="1" si="45">VLOOKUP(AG85,ModelOutputs,7,FALSE)</f>
        <v>95.894466835564572</v>
      </c>
      <c r="AJ85" s="55">
        <f t="shared" ref="AJ85:AJ148" ca="1" si="46">VLOOKUP(AG85,ModelOutputs,6,FALSE)</f>
        <v>0</v>
      </c>
      <c r="AK85" s="55">
        <f t="shared" ca="1" si="40"/>
        <v>0</v>
      </c>
      <c r="AL85" s="55">
        <f t="shared" ca="1" si="41"/>
        <v>55.134205375386465</v>
      </c>
      <c r="AM85" s="55">
        <f t="shared" ca="1" si="42"/>
        <v>-67.896227930235852</v>
      </c>
    </row>
    <row r="86" spans="18:39">
      <c r="R86" s="83">
        <f ca="1"/>
        <v>45587</v>
      </c>
      <c r="S86" s="55">
        <f t="shared" ca="1" si="34"/>
        <v>45587</v>
      </c>
      <c r="T86" s="55">
        <f t="shared" ca="1" si="28"/>
        <v>23.832778283943441</v>
      </c>
      <c r="U86" s="55">
        <f t="shared" ca="1" si="29"/>
        <v>0</v>
      </c>
      <c r="V86" s="55">
        <f t="shared" ca="1" si="30"/>
        <v>0</v>
      </c>
      <c r="W86" s="55">
        <f t="shared" ca="1" si="35"/>
        <v>-29.070728591425024</v>
      </c>
      <c r="X86" s="55">
        <f t="shared" ca="1" si="36"/>
        <v>51.543558607460142</v>
      </c>
      <c r="Y86" s="55">
        <f t="shared" ca="1" si="37"/>
        <v>12.052491110408718</v>
      </c>
      <c r="Z86" s="55">
        <f t="shared" ca="1" si="38"/>
        <v>0</v>
      </c>
      <c r="AB86">
        <f t="shared" ca="1" si="31"/>
        <v>118.57453335093102</v>
      </c>
      <c r="AC86">
        <f t="shared" ca="1" si="39"/>
        <v>83.290313889792031</v>
      </c>
      <c r="AD86">
        <f t="shared" ca="1" si="32"/>
        <v>0</v>
      </c>
      <c r="AE86">
        <f t="shared" ca="1" si="33"/>
        <v>0</v>
      </c>
      <c r="AF86" s="83">
        <f ca="1"/>
        <v>45811</v>
      </c>
      <c r="AG86" s="55">
        <f t="shared" ca="1" si="43"/>
        <v>45811</v>
      </c>
      <c r="AH86" s="55">
        <f t="shared" ca="1" si="44"/>
        <v>-93.537726377301169</v>
      </c>
      <c r="AI86" s="55">
        <f t="shared" ca="1" si="45"/>
        <v>99.446898337856979</v>
      </c>
      <c r="AJ86" s="55">
        <f t="shared" ca="1" si="46"/>
        <v>0</v>
      </c>
      <c r="AK86" s="55">
        <f t="shared" ca="1" si="40"/>
        <v>0</v>
      </c>
      <c r="AL86" s="55">
        <f t="shared" ca="1" si="41"/>
        <v>55.807935230929978</v>
      </c>
      <c r="AM86" s="55">
        <f t="shared" ca="1" si="42"/>
        <v>-67.752684032965902</v>
      </c>
    </row>
    <row r="87" spans="18:39">
      <c r="R87" s="83">
        <f ca="1"/>
        <v>45588</v>
      </c>
      <c r="S87" s="55">
        <f t="shared" ca="1" si="34"/>
        <v>45588</v>
      </c>
      <c r="T87" s="55">
        <f t="shared" ca="1" si="28"/>
        <v>24.777255496453904</v>
      </c>
      <c r="U87" s="55">
        <f t="shared" ca="1" si="29"/>
        <v>0</v>
      </c>
      <c r="V87" s="55">
        <f t="shared" ca="1" si="30"/>
        <v>0</v>
      </c>
      <c r="W87" s="55">
        <f t="shared" ca="1" si="35"/>
        <v>-29.070728591425024</v>
      </c>
      <c r="X87" s="55">
        <f t="shared" ca="1" si="36"/>
        <v>52.372759399854573</v>
      </c>
      <c r="Y87" s="55">
        <f t="shared" ca="1" si="37"/>
        <v>12.167767530524756</v>
      </c>
      <c r="Z87" s="55">
        <f t="shared" ca="1" si="38"/>
        <v>0</v>
      </c>
      <c r="AB87">
        <f t="shared" ca="1" si="31"/>
        <v>118.72883800710443</v>
      </c>
      <c r="AC87">
        <f t="shared" ca="1" si="39"/>
        <v>83.290313889792031</v>
      </c>
      <c r="AD87">
        <f t="shared" ca="1" si="32"/>
        <v>0</v>
      </c>
      <c r="AE87">
        <f t="shared" ca="1" si="33"/>
        <v>0</v>
      </c>
      <c r="AF87" s="83">
        <f ca="1"/>
        <v>45812</v>
      </c>
      <c r="AG87" s="55">
        <f t="shared" ca="1" si="43"/>
        <v>45812</v>
      </c>
      <c r="AH87" s="55">
        <f t="shared" ca="1" si="44"/>
        <v>-96.416430213333939</v>
      </c>
      <c r="AI87" s="55">
        <f t="shared" ca="1" si="45"/>
        <v>103.15491614123833</v>
      </c>
      <c r="AJ87" s="55">
        <f t="shared" ca="1" si="46"/>
        <v>0</v>
      </c>
      <c r="AK87" s="55">
        <f t="shared" ca="1" si="40"/>
        <v>0</v>
      </c>
      <c r="AL87" s="55">
        <f t="shared" ca="1" si="41"/>
        <v>56.488706725922206</v>
      </c>
      <c r="AM87" s="55">
        <f t="shared" ca="1" si="42"/>
        <v>-67.604141560609548</v>
      </c>
    </row>
    <row r="88" spans="18:39">
      <c r="R88" s="83">
        <f ca="1"/>
        <v>45589</v>
      </c>
      <c r="S88" s="55">
        <f t="shared" ca="1" si="34"/>
        <v>45589</v>
      </c>
      <c r="T88" s="55">
        <f t="shared" ca="1" si="28"/>
        <v>25.754994880502199</v>
      </c>
      <c r="U88" s="55">
        <f t="shared" ca="1" si="29"/>
        <v>2.4710874548403985</v>
      </c>
      <c r="V88" s="55">
        <f t="shared" ca="1" si="30"/>
        <v>0</v>
      </c>
      <c r="W88" s="55">
        <f t="shared" ca="1" si="35"/>
        <v>-29.070728591425024</v>
      </c>
      <c r="X88" s="55">
        <f t="shared" ca="1" si="36"/>
        <v>53.235032491896519</v>
      </c>
      <c r="Y88" s="55">
        <f t="shared" ca="1" si="37"/>
        <v>12.283233822531109</v>
      </c>
      <c r="Z88" s="55">
        <f t="shared" ca="1" si="38"/>
        <v>0</v>
      </c>
      <c r="AB88">
        <f t="shared" ca="1" si="31"/>
        <v>116.02596393186482</v>
      </c>
      <c r="AC88">
        <f t="shared" ca="1" si="39"/>
        <v>83.290313889792031</v>
      </c>
      <c r="AD88">
        <f t="shared" ca="1" si="32"/>
        <v>0</v>
      </c>
      <c r="AE88">
        <f t="shared" ca="1" si="33"/>
        <v>7.6069562734662269E-3</v>
      </c>
      <c r="AF88" s="83">
        <f ca="1"/>
        <v>45813</v>
      </c>
      <c r="AG88" s="55">
        <f t="shared" ca="1" si="43"/>
        <v>45813</v>
      </c>
      <c r="AH88" s="55">
        <f t="shared" ca="1" si="44"/>
        <v>-99.453622495828441</v>
      </c>
      <c r="AI88" s="55">
        <f t="shared" ca="1" si="45"/>
        <v>107.03488980573096</v>
      </c>
      <c r="AJ88" s="55">
        <f t="shared" ca="1" si="46"/>
        <v>0</v>
      </c>
      <c r="AK88" s="55">
        <f t="shared" ca="1" si="40"/>
        <v>0</v>
      </c>
      <c r="AL88" s="55">
        <f t="shared" ca="1" si="41"/>
        <v>57.177859646457435</v>
      </c>
      <c r="AM88" s="55">
        <f t="shared" ca="1" si="42"/>
        <v>-67.450513099146661</v>
      </c>
    </row>
    <row r="89" spans="18:39">
      <c r="R89" s="83">
        <f ca="1"/>
        <v>45590</v>
      </c>
      <c r="S89" s="55">
        <f t="shared" ca="1" si="34"/>
        <v>45590</v>
      </c>
      <c r="T89" s="55">
        <f t="shared" ca="1" si="28"/>
        <v>26.59001332671809</v>
      </c>
      <c r="U89" s="55">
        <f t="shared" ca="1" si="29"/>
        <v>2.6037160655299565</v>
      </c>
      <c r="V89" s="55">
        <f t="shared" ca="1" si="30"/>
        <v>0</v>
      </c>
      <c r="W89" s="55">
        <f t="shared" ca="1" si="35"/>
        <v>-29.070728591425024</v>
      </c>
      <c r="X89" s="55">
        <f t="shared" ca="1" si="36"/>
        <v>54.088407718713839</v>
      </c>
      <c r="Y89" s="55">
        <f t="shared" ca="1" si="37"/>
        <v>12.397505652619234</v>
      </c>
      <c r="Z89" s="55">
        <f t="shared" ca="1" si="38"/>
        <v>1.32628610689558</v>
      </c>
      <c r="AB89">
        <f t="shared" ca="1" si="31"/>
        <v>111.88280235376838</v>
      </c>
      <c r="AC89">
        <f t="shared" ca="1" si="39"/>
        <v>83.290313889792031</v>
      </c>
      <c r="AD89">
        <f t="shared" ca="1" si="32"/>
        <v>0</v>
      </c>
      <c r="AE89">
        <f t="shared" ca="1" si="33"/>
        <v>8.6680931137574305E-3</v>
      </c>
      <c r="AF89" s="83">
        <f ca="1"/>
        <v>45814</v>
      </c>
      <c r="AG89" s="55">
        <f t="shared" ca="1" si="43"/>
        <v>45814</v>
      </c>
      <c r="AH89" s="55">
        <f t="shared" ca="1" si="44"/>
        <v>-102.54701297926786</v>
      </c>
      <c r="AI89" s="55">
        <f t="shared" ca="1" si="45"/>
        <v>110.97006372304236</v>
      </c>
      <c r="AJ89" s="55">
        <f t="shared" ca="1" si="46"/>
        <v>0</v>
      </c>
      <c r="AK89" s="55">
        <f t="shared" ca="1" si="40"/>
        <v>0</v>
      </c>
      <c r="AL89" s="55">
        <f t="shared" ca="1" si="41"/>
        <v>57.863136201988212</v>
      </c>
      <c r="AM89" s="55">
        <f t="shared" ca="1" si="42"/>
        <v>-67.294006220805457</v>
      </c>
    </row>
    <row r="90" spans="18:39">
      <c r="R90" s="83">
        <f ca="1"/>
        <v>45591</v>
      </c>
      <c r="S90" s="55">
        <f t="shared" ca="1" si="34"/>
        <v>45591</v>
      </c>
      <c r="T90" s="55">
        <f t="shared" ca="1" si="28"/>
        <v>27.474796317834183</v>
      </c>
      <c r="U90" s="55">
        <f t="shared" ca="1" si="29"/>
        <v>2.7511552242533339</v>
      </c>
      <c r="V90" s="55">
        <f t="shared" ca="1" si="30"/>
        <v>0</v>
      </c>
      <c r="W90" s="55">
        <f t="shared" ca="1" si="35"/>
        <v>-29.070728591425024</v>
      </c>
      <c r="X90" s="55">
        <f t="shared" ca="1" si="36"/>
        <v>55.003950336444007</v>
      </c>
      <c r="Y90" s="55">
        <f t="shared" ca="1" si="37"/>
        <v>12.514185184728536</v>
      </c>
      <c r="Z90" s="55">
        <f t="shared" ca="1" si="38"/>
        <v>1.4743915872337743</v>
      </c>
      <c r="AB90">
        <f t="shared" ca="1" si="31"/>
        <v>112.47585082155527</v>
      </c>
      <c r="AC90">
        <f t="shared" ca="1" si="39"/>
        <v>83.290313889792031</v>
      </c>
      <c r="AD90">
        <f t="shared" ca="1" si="32"/>
        <v>0</v>
      </c>
      <c r="AE90">
        <f t="shared" ca="1" si="33"/>
        <v>9.9455116080266054E-3</v>
      </c>
      <c r="AF90" s="83">
        <f ca="1"/>
        <v>45815</v>
      </c>
      <c r="AG90" s="55">
        <f t="shared" ca="1" si="43"/>
        <v>45815</v>
      </c>
      <c r="AH90" s="55">
        <f t="shared" ca="1" si="44"/>
        <v>-105.79062752985291</v>
      </c>
      <c r="AI90" s="55">
        <f t="shared" ca="1" si="45"/>
        <v>115.06711211209583</v>
      </c>
      <c r="AJ90" s="55">
        <f t="shared" ca="1" si="46"/>
        <v>0</v>
      </c>
      <c r="AK90" s="55">
        <f t="shared" ca="1" si="40"/>
        <v>0</v>
      </c>
      <c r="AL90" s="55">
        <f t="shared" ca="1" si="41"/>
        <v>58.555529930956489</v>
      </c>
      <c r="AM90" s="55">
        <f t="shared" ca="1" si="42"/>
        <v>-67.132966111305308</v>
      </c>
    </row>
    <row r="91" spans="18:39">
      <c r="R91" s="83">
        <f ca="1"/>
        <v>45592</v>
      </c>
      <c r="S91" s="55">
        <f t="shared" ca="1" si="34"/>
        <v>45592</v>
      </c>
      <c r="T91" s="55">
        <f t="shared" ca="1" si="28"/>
        <v>28.328972347106859</v>
      </c>
      <c r="U91" s="55">
        <f t="shared" ca="1" si="29"/>
        <v>2.9007341983487138</v>
      </c>
      <c r="V91" s="55">
        <f t="shared" ca="1" si="30"/>
        <v>0</v>
      </c>
      <c r="W91" s="55">
        <f t="shared" ca="1" si="35"/>
        <v>-29.070728591425024</v>
      </c>
      <c r="X91" s="55">
        <f t="shared" ca="1" si="36"/>
        <v>55.899102701456002</v>
      </c>
      <c r="Y91" s="55">
        <f t="shared" ca="1" si="37"/>
        <v>12.622787823084597</v>
      </c>
      <c r="Z91" s="55">
        <f t="shared" ca="1" si="38"/>
        <v>1.495789740953799</v>
      </c>
      <c r="AB91">
        <f t="shared" ca="1" si="31"/>
        <v>114.91454569204207</v>
      </c>
      <c r="AC91">
        <f t="shared" ca="1" si="39"/>
        <v>83.290313889792031</v>
      </c>
      <c r="AD91">
        <f t="shared" ca="1" si="32"/>
        <v>0</v>
      </c>
      <c r="AE91">
        <f t="shared" ca="1" si="33"/>
        <v>1.1349059133857038E-2</v>
      </c>
      <c r="AF91" s="83">
        <f ca="1"/>
        <v>45816</v>
      </c>
      <c r="AG91" s="55">
        <f t="shared" ca="1" si="43"/>
        <v>45816</v>
      </c>
      <c r="AH91" s="55">
        <f t="shared" ca="1" si="44"/>
        <v>-109.2935099243156</v>
      </c>
      <c r="AI91" s="55">
        <f t="shared" ca="1" si="45"/>
        <v>119.44891973461797</v>
      </c>
      <c r="AJ91" s="55">
        <f t="shared" ca="1" si="46"/>
        <v>0</v>
      </c>
      <c r="AK91" s="55">
        <f t="shared" ca="1" si="40"/>
        <v>0</v>
      </c>
      <c r="AL91" s="55">
        <f t="shared" ca="1" si="41"/>
        <v>59.266909004449751</v>
      </c>
      <c r="AM91" s="55">
        <f t="shared" ca="1" si="42"/>
        <v>-66.965419956739112</v>
      </c>
    </row>
    <row r="92" spans="18:39">
      <c r="R92" s="83">
        <f ca="1"/>
        <v>45593</v>
      </c>
      <c r="S92" s="55">
        <f t="shared" ca="1" si="34"/>
        <v>45593</v>
      </c>
      <c r="T92" s="55">
        <f t="shared" ca="1" si="28"/>
        <v>29.164142936858543</v>
      </c>
      <c r="U92" s="55">
        <f t="shared" ca="1" si="29"/>
        <v>3.0586010348339476</v>
      </c>
      <c r="V92" s="55">
        <f t="shared" ca="1" si="30"/>
        <v>0</v>
      </c>
      <c r="W92" s="55">
        <f t="shared" ca="1" si="35"/>
        <v>-29.070728591425024</v>
      </c>
      <c r="X92" s="55">
        <f t="shared" ca="1" si="36"/>
        <v>56.786788688200488</v>
      </c>
      <c r="Y92" s="55">
        <f t="shared" ca="1" si="37"/>
        <v>12.728139262577024</v>
      </c>
      <c r="Z92" s="55">
        <f t="shared" ca="1" si="38"/>
        <v>1.5786683648523381</v>
      </c>
      <c r="AB92">
        <f t="shared" ca="1" si="31"/>
        <v>113.94588355924935</v>
      </c>
      <c r="AC92">
        <f t="shared" ca="1" si="39"/>
        <v>83.290313889792031</v>
      </c>
      <c r="AD92">
        <f t="shared" ca="1" si="32"/>
        <v>0</v>
      </c>
      <c r="AE92">
        <f t="shared" ca="1" si="33"/>
        <v>1.2950480353080492E-2</v>
      </c>
      <c r="AF92" s="83">
        <f ca="1"/>
        <v>45817</v>
      </c>
      <c r="AG92" s="55">
        <f t="shared" ca="1" si="43"/>
        <v>45817</v>
      </c>
      <c r="AH92" s="55">
        <f t="shared" ca="1" si="44"/>
        <v>-113.12582553011475</v>
      </c>
      <c r="AI92" s="55">
        <f t="shared" ca="1" si="45"/>
        <v>124.19397574928377</v>
      </c>
      <c r="AJ92" s="55">
        <f t="shared" ca="1" si="46"/>
        <v>0</v>
      </c>
      <c r="AK92" s="55">
        <f t="shared" ca="1" si="40"/>
        <v>0</v>
      </c>
      <c r="AL92" s="55">
        <f t="shared" ca="1" si="41"/>
        <v>60.004329146508461</v>
      </c>
      <c r="AM92" s="55">
        <f t="shared" ca="1" si="42"/>
        <v>-66.790099689931182</v>
      </c>
    </row>
    <row r="93" spans="18:39">
      <c r="R93" s="83">
        <f ca="1"/>
        <v>45594</v>
      </c>
      <c r="S93" s="55">
        <f t="shared" ca="1" si="34"/>
        <v>45594</v>
      </c>
      <c r="T93" s="55">
        <f t="shared" ca="1" si="28"/>
        <v>29.999323212735966</v>
      </c>
      <c r="U93" s="55">
        <f t="shared" ca="1" si="29"/>
        <v>3.230122902241126</v>
      </c>
      <c r="V93" s="55">
        <f t="shared" ca="1" si="30"/>
        <v>0</v>
      </c>
      <c r="W93" s="55">
        <f t="shared" ca="1" si="35"/>
        <v>-29.070728591425024</v>
      </c>
      <c r="X93" s="55">
        <f t="shared" ca="1" si="36"/>
        <v>57.688417188327513</v>
      </c>
      <c r="Y93" s="55">
        <f t="shared" ca="1" si="37"/>
        <v>12.833212905734603</v>
      </c>
      <c r="Z93" s="55">
        <f t="shared" ca="1" si="38"/>
        <v>1.7152186740717834</v>
      </c>
      <c r="AB93">
        <f t="shared" ca="1" si="31"/>
        <v>111.96939944405111</v>
      </c>
      <c r="AC93">
        <f t="shared" ca="1" si="39"/>
        <v>83.290313889792031</v>
      </c>
      <c r="AD93">
        <f t="shared" ca="1" si="32"/>
        <v>0</v>
      </c>
      <c r="AE93">
        <f t="shared" ca="1" si="33"/>
        <v>1.4833135836290484E-2</v>
      </c>
      <c r="AF93" s="83">
        <f ca="1"/>
        <v>45818</v>
      </c>
      <c r="AG93" s="55">
        <f t="shared" ca="1" si="43"/>
        <v>45818</v>
      </c>
      <c r="AH93" s="55">
        <f t="shared" ca="1" si="44"/>
        <v>-117.07282118323894</v>
      </c>
      <c r="AI93" s="55">
        <f t="shared" ca="1" si="45"/>
        <v>129.05831963681109</v>
      </c>
      <c r="AJ93" s="55">
        <f t="shared" ca="1" si="46"/>
        <v>0</v>
      </c>
      <c r="AK93" s="55">
        <f t="shared" ca="1" si="40"/>
        <v>0</v>
      </c>
      <c r="AL93" s="55">
        <f t="shared" ca="1" si="41"/>
        <v>60.743100515079441</v>
      </c>
      <c r="AM93" s="55">
        <f t="shared" ca="1" si="42"/>
        <v>-66.611522824099012</v>
      </c>
    </row>
    <row r="94" spans="18:39">
      <c r="R94" s="83">
        <f ca="1"/>
        <v>45595</v>
      </c>
      <c r="S94" s="55">
        <f t="shared" ca="1" si="34"/>
        <v>45595</v>
      </c>
      <c r="T94" s="55">
        <f t="shared" ca="1" si="28"/>
        <v>30.779817155893667</v>
      </c>
      <c r="U94" s="55">
        <f t="shared" ca="1" si="29"/>
        <v>3.4087693981085079</v>
      </c>
      <c r="V94" s="55">
        <f t="shared" ca="1" si="30"/>
        <v>0</v>
      </c>
      <c r="W94" s="55">
        <f t="shared" ca="1" si="35"/>
        <v>-29.070728591425024</v>
      </c>
      <c r="X94" s="55">
        <f t="shared" ca="1" si="36"/>
        <v>58.547212437020086</v>
      </c>
      <c r="Y94" s="55">
        <f t="shared" ca="1" si="37"/>
        <v>12.93355809606712</v>
      </c>
      <c r="Z94" s="55">
        <f t="shared" ca="1" si="38"/>
        <v>1.786464958673819</v>
      </c>
      <c r="AB94">
        <f t="shared" ca="1" si="31"/>
        <v>108.85519553238908</v>
      </c>
      <c r="AC94">
        <f t="shared" ca="1" si="39"/>
        <v>83.290313889792031</v>
      </c>
      <c r="AD94">
        <f t="shared" ca="1" si="32"/>
        <v>0</v>
      </c>
      <c r="AE94">
        <f t="shared" ca="1" si="33"/>
        <v>1.6955132633557541E-2</v>
      </c>
      <c r="AF94" s="83">
        <f ca="1"/>
        <v>45819</v>
      </c>
      <c r="AG94" s="55">
        <f t="shared" ca="1" si="43"/>
        <v>45819</v>
      </c>
      <c r="AH94" s="55">
        <f t="shared" ca="1" si="44"/>
        <v>-121.15667151841424</v>
      </c>
      <c r="AI94" s="55">
        <f t="shared" ca="1" si="45"/>
        <v>134.06714511758798</v>
      </c>
      <c r="AJ94" s="55">
        <f t="shared" ca="1" si="46"/>
        <v>0</v>
      </c>
      <c r="AK94" s="55">
        <f t="shared" ca="1" si="40"/>
        <v>0</v>
      </c>
      <c r="AL94" s="55">
        <f t="shared" ca="1" si="41"/>
        <v>61.485934822407764</v>
      </c>
      <c r="AM94" s="55">
        <f t="shared" ca="1" si="42"/>
        <v>-66.429381985825728</v>
      </c>
    </row>
    <row r="95" spans="18:39">
      <c r="R95" s="83">
        <f ca="1"/>
        <v>45596</v>
      </c>
      <c r="S95" s="55">
        <f t="shared" ca="1" si="34"/>
        <v>45596</v>
      </c>
      <c r="T95" s="55">
        <f t="shared" ca="1" si="28"/>
        <v>31.496614687459932</v>
      </c>
      <c r="U95" s="55">
        <f t="shared" ca="1" si="29"/>
        <v>3.5906747910882575</v>
      </c>
      <c r="V95" s="55">
        <f t="shared" ca="1" si="30"/>
        <v>0</v>
      </c>
      <c r="W95" s="55">
        <f t="shared" ca="1" si="35"/>
        <v>-29.070728591425024</v>
      </c>
      <c r="X95" s="55">
        <f t="shared" ca="1" si="36"/>
        <v>59.352000223512917</v>
      </c>
      <c r="Y95" s="55">
        <f t="shared" ca="1" si="37"/>
        <v>13.027473234120302</v>
      </c>
      <c r="Z95" s="55">
        <f t="shared" ca="1" si="38"/>
        <v>1.8190539297974961</v>
      </c>
      <c r="AB95">
        <f t="shared" ca="1" si="31"/>
        <v>106.64604077354272</v>
      </c>
      <c r="AC95">
        <f t="shared" ca="1" si="39"/>
        <v>83.290313889792031</v>
      </c>
      <c r="AD95">
        <f t="shared" ca="1" si="32"/>
        <v>0</v>
      </c>
      <c r="AE95">
        <f t="shared" ca="1" si="33"/>
        <v>1.9287868588721137E-2</v>
      </c>
      <c r="AF95" s="83">
        <f ca="1"/>
        <v>45820</v>
      </c>
      <c r="AG95" s="55">
        <f t="shared" ca="1" si="43"/>
        <v>45820</v>
      </c>
      <c r="AH95" s="55">
        <f t="shared" ca="1" si="44"/>
        <v>-125.22063951849867</v>
      </c>
      <c r="AI95" s="55">
        <f t="shared" ca="1" si="45"/>
        <v>139.04425375076497</v>
      </c>
      <c r="AJ95" s="55">
        <f t="shared" ca="1" si="46"/>
        <v>0</v>
      </c>
      <c r="AK95" s="55">
        <f t="shared" ca="1" si="40"/>
        <v>0</v>
      </c>
      <c r="AL95" s="55">
        <f t="shared" ca="1" si="41"/>
        <v>62.216621962924236</v>
      </c>
      <c r="AM95" s="55">
        <f t="shared" ca="1" si="42"/>
        <v>-66.246928493249641</v>
      </c>
    </row>
    <row r="96" spans="18:39">
      <c r="R96" s="83">
        <f ca="1"/>
        <v>45597</v>
      </c>
      <c r="S96" s="55">
        <f t="shared" ca="1" si="34"/>
        <v>45597</v>
      </c>
      <c r="T96" s="55">
        <f t="shared" ca="1" si="28"/>
        <v>32.169296376342885</v>
      </c>
      <c r="U96" s="55">
        <f t="shared" ca="1" si="29"/>
        <v>3.7830213917365287</v>
      </c>
      <c r="V96" s="55">
        <f t="shared" ca="1" si="30"/>
        <v>0</v>
      </c>
      <c r="W96" s="55">
        <f t="shared" ca="1" si="35"/>
        <v>-29.070728591425024</v>
      </c>
      <c r="X96" s="55">
        <f t="shared" ca="1" si="36"/>
        <v>60.125683604984438</v>
      </c>
      <c r="Y96" s="55">
        <f t="shared" ca="1" si="37"/>
        <v>13.118818142180007</v>
      </c>
      <c r="Z96" s="55">
        <f t="shared" ca="1" si="38"/>
        <v>1.9234660064827125</v>
      </c>
      <c r="AB96">
        <f t="shared" ca="1" si="31"/>
        <v>102.46891509600653</v>
      </c>
      <c r="AC96">
        <f t="shared" ca="1" si="39"/>
        <v>83.290313889792031</v>
      </c>
      <c r="AD96">
        <f t="shared" ca="1" si="32"/>
        <v>0</v>
      </c>
      <c r="AE96">
        <f t="shared" ca="1" si="33"/>
        <v>2.1946427134702819E-2</v>
      </c>
      <c r="AF96" s="83">
        <f ca="1"/>
        <v>45821</v>
      </c>
      <c r="AG96" s="55">
        <f t="shared" ca="1" si="43"/>
        <v>45821</v>
      </c>
      <c r="AH96" s="55">
        <f t="shared" ca="1" si="44"/>
        <v>-129.24628335804312</v>
      </c>
      <c r="AI96" s="55">
        <f t="shared" ca="1" si="45"/>
        <v>143.97028167085224</v>
      </c>
      <c r="AJ96" s="55">
        <f t="shared" ca="1" si="46"/>
        <v>0</v>
      </c>
      <c r="AK96" s="55">
        <f t="shared" ca="1" si="40"/>
        <v>0</v>
      </c>
      <c r="AL96" s="55">
        <f t="shared" ca="1" si="41"/>
        <v>62.934622473792459</v>
      </c>
      <c r="AM96" s="55">
        <f t="shared" ca="1" si="42"/>
        <v>-66.064544923575042</v>
      </c>
    </row>
    <row r="97" spans="18:39">
      <c r="R97" s="83">
        <f ca="1"/>
        <v>45598</v>
      </c>
      <c r="S97" s="55">
        <f t="shared" ca="1" si="34"/>
        <v>45598</v>
      </c>
      <c r="T97" s="55">
        <f t="shared" ca="1" si="28"/>
        <v>32.817393911015472</v>
      </c>
      <c r="U97" s="55">
        <f t="shared" ca="1" si="29"/>
        <v>3.9839326106276309</v>
      </c>
      <c r="V97" s="55">
        <f t="shared" ca="1" si="30"/>
        <v>0</v>
      </c>
      <c r="W97" s="55">
        <f t="shared" ca="1" si="35"/>
        <v>-29.070728591425024</v>
      </c>
      <c r="X97" s="55">
        <f t="shared" ca="1" si="36"/>
        <v>60.886894160782418</v>
      </c>
      <c r="Y97" s="55">
        <f t="shared" ca="1" si="37"/>
        <v>13.206616339945715</v>
      </c>
      <c r="Z97" s="55">
        <f t="shared" ca="1" si="38"/>
        <v>2.0091121889110219</v>
      </c>
      <c r="AB97">
        <f t="shared" ca="1" si="31"/>
        <v>101.83058480836436</v>
      </c>
      <c r="AC97">
        <f t="shared" ca="1" si="39"/>
        <v>83.290313889792031</v>
      </c>
      <c r="AD97">
        <f t="shared" ca="1" si="32"/>
        <v>0</v>
      </c>
      <c r="AE97">
        <f t="shared" ca="1" si="33"/>
        <v>2.4937081200336917E-2</v>
      </c>
      <c r="AF97" s="83">
        <f ca="1"/>
        <v>45822</v>
      </c>
      <c r="AG97" s="55">
        <f t="shared" ca="1" si="43"/>
        <v>45822</v>
      </c>
      <c r="AH97" s="55">
        <f t="shared" ca="1" si="44"/>
        <v>-132.96724016099392</v>
      </c>
      <c r="AI97" s="55">
        <f t="shared" ca="1" si="45"/>
        <v>148.54933264614041</v>
      </c>
      <c r="AJ97" s="55">
        <f t="shared" ca="1" si="46"/>
        <v>0</v>
      </c>
      <c r="AK97" s="55">
        <f t="shared" ca="1" si="40"/>
        <v>0</v>
      </c>
      <c r="AL97" s="55">
        <f t="shared" ca="1" si="41"/>
        <v>63.615393968784687</v>
      </c>
      <c r="AM97" s="55">
        <f t="shared" ca="1" si="42"/>
        <v>-65.887222246229911</v>
      </c>
    </row>
    <row r="98" spans="18:39">
      <c r="R98" s="83">
        <f ca="1"/>
        <v>45599</v>
      </c>
      <c r="S98" s="55">
        <f t="shared" ca="1" si="34"/>
        <v>45599</v>
      </c>
      <c r="T98" s="55">
        <f t="shared" ca="1" si="28"/>
        <v>33.468695294387125</v>
      </c>
      <c r="U98" s="55">
        <f t="shared" ca="1" si="29"/>
        <v>4.1986420278616761</v>
      </c>
      <c r="V98" s="55">
        <f t="shared" ca="1" si="30"/>
        <v>0</v>
      </c>
      <c r="W98" s="55">
        <f t="shared" ca="1" si="35"/>
        <v>-29.070728591425024</v>
      </c>
      <c r="X98" s="55">
        <f t="shared" ca="1" si="36"/>
        <v>61.666642568829786</v>
      </c>
      <c r="Y98" s="55">
        <f t="shared" ca="1" si="37"/>
        <v>13.292878732504047</v>
      </c>
      <c r="Z98" s="55">
        <f t="shared" ca="1" si="38"/>
        <v>2.1470941723404513</v>
      </c>
      <c r="AB98">
        <f t="shared" ca="1" si="31"/>
        <v>102.40227206749563</v>
      </c>
      <c r="AC98">
        <f t="shared" ca="1" si="39"/>
        <v>83.290313889792031</v>
      </c>
      <c r="AD98">
        <f t="shared" ca="1" si="32"/>
        <v>0</v>
      </c>
      <c r="AE98">
        <f t="shared" ca="1" si="33"/>
        <v>2.8377562907458815E-2</v>
      </c>
      <c r="AF98" s="83">
        <f ca="1"/>
        <v>45823</v>
      </c>
      <c r="AG98" s="55">
        <f t="shared" ca="1" si="43"/>
        <v>45823</v>
      </c>
      <c r="AH98" s="55">
        <f t="shared" ca="1" si="44"/>
        <v>-136.78959428723093</v>
      </c>
      <c r="AI98" s="55">
        <f t="shared" ca="1" si="45"/>
        <v>153.23620316846345</v>
      </c>
      <c r="AJ98" s="55">
        <f t="shared" ca="1" si="46"/>
        <v>0</v>
      </c>
      <c r="AK98" s="55">
        <f t="shared" ca="1" si="40"/>
        <v>0</v>
      </c>
      <c r="AL98" s="55">
        <f t="shared" ca="1" si="41"/>
        <v>64.300025799646562</v>
      </c>
      <c r="AM98" s="55">
        <f t="shared" ca="1" si="42"/>
        <v>-65.707337681005754</v>
      </c>
    </row>
    <row r="99" spans="18:39">
      <c r="R99" s="83">
        <f ca="1"/>
        <v>45600</v>
      </c>
      <c r="S99" s="55">
        <f t="shared" ca="1" si="34"/>
        <v>45600</v>
      </c>
      <c r="T99" s="55">
        <f t="shared" ca="1" si="28"/>
        <v>34.174962727319098</v>
      </c>
      <c r="U99" s="55">
        <f t="shared" ca="1" si="29"/>
        <v>4.4304982642416411</v>
      </c>
      <c r="V99" s="55">
        <f t="shared" ca="1" si="30"/>
        <v>0</v>
      </c>
      <c r="W99" s="55">
        <f t="shared" ca="1" si="35"/>
        <v>-29.070728591425024</v>
      </c>
      <c r="X99" s="55">
        <f t="shared" ca="1" si="36"/>
        <v>62.519250028580693</v>
      </c>
      <c r="Y99" s="55">
        <f t="shared" ca="1" si="37"/>
        <v>13.378394942065086</v>
      </c>
      <c r="Z99" s="55">
        <f t="shared" ca="1" si="38"/>
        <v>2.31856236379965</v>
      </c>
      <c r="AB99">
        <f t="shared" ca="1" si="31"/>
        <v>108.01136563322129</v>
      </c>
      <c r="AC99">
        <f t="shared" ca="1" si="39"/>
        <v>83.290313889792031</v>
      </c>
      <c r="AD99">
        <f t="shared" ca="1" si="32"/>
        <v>0</v>
      </c>
      <c r="AE99">
        <f t="shared" ca="1" si="33"/>
        <v>3.2379382687355872E-2</v>
      </c>
      <c r="AF99" s="83">
        <f ca="1"/>
        <v>45824</v>
      </c>
      <c r="AG99" s="55">
        <f t="shared" ca="1" si="43"/>
        <v>45824</v>
      </c>
      <c r="AH99" s="55">
        <f t="shared" ca="1" si="44"/>
        <v>-140.27607393026631</v>
      </c>
      <c r="AI99" s="55">
        <f t="shared" ca="1" si="45"/>
        <v>157.54569566595714</v>
      </c>
      <c r="AJ99" s="55">
        <f t="shared" ca="1" si="46"/>
        <v>0</v>
      </c>
      <c r="AK99" s="55">
        <f t="shared" ca="1" si="40"/>
        <v>0</v>
      </c>
      <c r="AL99" s="55">
        <f t="shared" ca="1" si="41"/>
        <v>64.948537463657999</v>
      </c>
      <c r="AM99" s="55">
        <f t="shared" ca="1" si="42"/>
        <v>-65.532836490558878</v>
      </c>
    </row>
    <row r="100" spans="18:39">
      <c r="R100" s="83">
        <f ca="1"/>
        <v>45601</v>
      </c>
      <c r="S100" s="55">
        <f t="shared" ca="1" si="34"/>
        <v>45601</v>
      </c>
      <c r="T100" s="55">
        <f t="shared" ca="1" si="28"/>
        <v>34.856688117819914</v>
      </c>
      <c r="U100" s="55">
        <f t="shared" ca="1" si="29"/>
        <v>4.6682616296454436</v>
      </c>
      <c r="V100" s="55">
        <f t="shared" ca="1" si="30"/>
        <v>0</v>
      </c>
      <c r="W100" s="55">
        <f t="shared" ca="1" si="35"/>
        <v>-29.070728591425024</v>
      </c>
      <c r="X100" s="55">
        <f t="shared" ca="1" si="36"/>
        <v>63.358206377694408</v>
      </c>
      <c r="Y100" s="55">
        <f t="shared" ca="1" si="37"/>
        <v>13.458927348855989</v>
      </c>
      <c r="Z100" s="55">
        <f t="shared" ca="1" si="38"/>
        <v>2.377633654038025</v>
      </c>
      <c r="AB100">
        <f t="shared" ca="1" si="31"/>
        <v>109.61016978581017</v>
      </c>
      <c r="AC100">
        <f t="shared" ca="1" si="39"/>
        <v>83.290313889792031</v>
      </c>
      <c r="AD100">
        <f t="shared" ca="1" si="32"/>
        <v>0</v>
      </c>
      <c r="AE100">
        <f t="shared" ca="1" si="33"/>
        <v>3.6794634254938771E-2</v>
      </c>
      <c r="AF100" s="83">
        <f ca="1"/>
        <v>45825</v>
      </c>
      <c r="AG100" s="55">
        <f t="shared" ca="1" si="43"/>
        <v>45825</v>
      </c>
      <c r="AH100" s="55">
        <f t="shared" ca="1" si="44"/>
        <v>-143.85538588476575</v>
      </c>
      <c r="AI100" s="55">
        <f t="shared" ca="1" si="45"/>
        <v>161.95467523771254</v>
      </c>
      <c r="AJ100" s="55">
        <f t="shared" ca="1" si="46"/>
        <v>0</v>
      </c>
      <c r="AK100" s="55">
        <f t="shared" ca="1" si="40"/>
        <v>0</v>
      </c>
      <c r="AL100" s="55">
        <f t="shared" ca="1" si="41"/>
        <v>65.601418496397727</v>
      </c>
      <c r="AM100" s="55">
        <f t="shared" ca="1" si="42"/>
        <v>-65.356049906042671</v>
      </c>
    </row>
    <row r="101" spans="18:39">
      <c r="R101" s="83">
        <f ca="1"/>
        <v>45602</v>
      </c>
      <c r="S101" s="55">
        <f t="shared" ca="1" si="34"/>
        <v>45602</v>
      </c>
      <c r="T101" s="55">
        <f t="shared" ca="1" si="28"/>
        <v>35.559676231848186</v>
      </c>
      <c r="U101" s="55">
        <f t="shared" ca="1" si="29"/>
        <v>4.9242295560357165</v>
      </c>
      <c r="V101" s="55">
        <f t="shared" ca="1" si="30"/>
        <v>0</v>
      </c>
      <c r="W101" s="55">
        <f t="shared" ca="1" si="35"/>
        <v>-29.070728591425024</v>
      </c>
      <c r="X101" s="55">
        <f t="shared" ca="1" si="36"/>
        <v>64.237553092567836</v>
      </c>
      <c r="Y101" s="55">
        <f t="shared" ca="1" si="37"/>
        <v>13.538536674401103</v>
      </c>
      <c r="Z101" s="55">
        <f t="shared" ca="1" si="38"/>
        <v>2.5596792639027299</v>
      </c>
      <c r="AB101">
        <f t="shared" ca="1" si="31"/>
        <v>111.5847908450291</v>
      </c>
      <c r="AC101">
        <f t="shared" ca="1" si="39"/>
        <v>83.290313889792031</v>
      </c>
      <c r="AD101">
        <f t="shared" ca="1" si="32"/>
        <v>0</v>
      </c>
      <c r="AE101">
        <f t="shared" ca="1" si="33"/>
        <v>4.1902166262482859E-2</v>
      </c>
      <c r="AF101" s="83">
        <f ca="1"/>
        <v>45826</v>
      </c>
      <c r="AG101" s="55">
        <f t="shared" ca="1" si="43"/>
        <v>45826</v>
      </c>
      <c r="AH101" s="55">
        <f t="shared" ca="1" si="44"/>
        <v>-147.84947018286314</v>
      </c>
      <c r="AI101" s="55">
        <f t="shared" ca="1" si="45"/>
        <v>166.82011946807265</v>
      </c>
      <c r="AJ101" s="55">
        <f t="shared" ca="1" si="46"/>
        <v>0</v>
      </c>
      <c r="AK101" s="55">
        <f t="shared" ca="1" si="40"/>
        <v>0</v>
      </c>
      <c r="AL101" s="55">
        <f t="shared" ca="1" si="41"/>
        <v>66.287985646338342</v>
      </c>
      <c r="AM101" s="55">
        <f t="shared" ca="1" si="42"/>
        <v>-65.171257123720579</v>
      </c>
    </row>
    <row r="102" spans="18:39">
      <c r="R102" s="83">
        <f ca="1"/>
        <v>45603</v>
      </c>
      <c r="S102" s="55">
        <f t="shared" ca="1" si="34"/>
        <v>45603</v>
      </c>
      <c r="T102" s="55">
        <f t="shared" ca="1" si="28"/>
        <v>36.264458843837701</v>
      </c>
      <c r="U102" s="55">
        <f t="shared" ca="1" si="29"/>
        <v>5.1990004860453425</v>
      </c>
      <c r="V102" s="55">
        <f t="shared" ca="1" si="30"/>
        <v>0</v>
      </c>
      <c r="W102" s="55">
        <f t="shared" ca="1" si="35"/>
        <v>-29.070728591425024</v>
      </c>
      <c r="X102" s="55">
        <f t="shared" ca="1" si="36"/>
        <v>65.138741124939415</v>
      </c>
      <c r="Y102" s="55">
        <f t="shared" ca="1" si="37"/>
        <v>13.616902184028671</v>
      </c>
      <c r="Z102" s="55">
        <f t="shared" ca="1" si="38"/>
        <v>2.7477093000962594</v>
      </c>
      <c r="AB102">
        <f t="shared" ca="1" si="31"/>
        <v>111.8428553667481</v>
      </c>
      <c r="AC102">
        <f t="shared" ca="1" si="39"/>
        <v>83.290313889792031</v>
      </c>
      <c r="AD102">
        <f t="shared" ca="1" si="32"/>
        <v>0</v>
      </c>
      <c r="AE102">
        <f t="shared" ca="1" si="33"/>
        <v>4.7794105083725641E-2</v>
      </c>
      <c r="AF102" s="83">
        <f ca="1"/>
        <v>45827</v>
      </c>
      <c r="AG102" s="55">
        <f t="shared" ca="1" si="43"/>
        <v>45827</v>
      </c>
      <c r="AH102" s="55">
        <f t="shared" ca="1" si="44"/>
        <v>-151.63917110353574</v>
      </c>
      <c r="AI102" s="55">
        <f t="shared" ca="1" si="45"/>
        <v>171.45562715842948</v>
      </c>
      <c r="AJ102" s="55">
        <f t="shared" ca="1" si="46"/>
        <v>0</v>
      </c>
      <c r="AK102" s="55">
        <f t="shared" ca="1" si="40"/>
        <v>0</v>
      </c>
      <c r="AL102" s="55">
        <f t="shared" ca="1" si="41"/>
        <v>66.952187488856666</v>
      </c>
      <c r="AM102" s="55">
        <f t="shared" ca="1" si="42"/>
        <v>-64.989652196554658</v>
      </c>
    </row>
    <row r="103" spans="18:39">
      <c r="R103" s="83">
        <f ca="1"/>
        <v>45604</v>
      </c>
      <c r="S103" s="55">
        <f t="shared" ca="1" si="34"/>
        <v>45604</v>
      </c>
      <c r="T103" s="55">
        <f t="shared" ca="1" si="28"/>
        <v>36.932810505783351</v>
      </c>
      <c r="U103" s="55">
        <f t="shared" ca="1" si="29"/>
        <v>5.4815900087004277</v>
      </c>
      <c r="V103" s="55">
        <f t="shared" ca="1" si="30"/>
        <v>0</v>
      </c>
      <c r="W103" s="55">
        <f t="shared" ca="1" si="35"/>
        <v>-29.070728591425024</v>
      </c>
      <c r="X103" s="55">
        <f t="shared" ca="1" si="36"/>
        <v>66.015784378885385</v>
      </c>
      <c r="Y103" s="55">
        <f t="shared" ca="1" si="37"/>
        <v>13.690800114683432</v>
      </c>
      <c r="Z103" s="55">
        <f t="shared" ca="1" si="38"/>
        <v>2.8258952265508519</v>
      </c>
      <c r="AB103">
        <f t="shared" ca="1" si="31"/>
        <v>112.14099056741749</v>
      </c>
      <c r="AC103">
        <f t="shared" ca="1" si="39"/>
        <v>83.290313889792031</v>
      </c>
      <c r="AD103">
        <f t="shared" ca="1" si="32"/>
        <v>0</v>
      </c>
      <c r="AE103">
        <f t="shared" ca="1" si="33"/>
        <v>5.4294319928685941E-2</v>
      </c>
      <c r="AF103" s="83">
        <f ca="1"/>
        <v>45828</v>
      </c>
      <c r="AG103" s="55">
        <f t="shared" ca="1" si="43"/>
        <v>45828</v>
      </c>
      <c r="AH103" s="55">
        <f t="shared" ca="1" si="44"/>
        <v>-155.57876091405876</v>
      </c>
      <c r="AI103" s="55">
        <f t="shared" ca="1" si="45"/>
        <v>176.25434084834723</v>
      </c>
      <c r="AJ103" s="55">
        <f t="shared" ca="1" si="46"/>
        <v>0</v>
      </c>
      <c r="AK103" s="55">
        <f t="shared" ca="1" si="40"/>
        <v>0</v>
      </c>
      <c r="AL103" s="55">
        <f t="shared" ca="1" si="41"/>
        <v>67.626555588840432</v>
      </c>
      <c r="AM103" s="55">
        <f t="shared" ca="1" si="42"/>
        <v>-64.804896417143695</v>
      </c>
    </row>
    <row r="104" spans="18:39">
      <c r="R104" s="83">
        <f ca="1"/>
        <v>45605</v>
      </c>
      <c r="S104" s="55">
        <f t="shared" ca="1" si="34"/>
        <v>45605</v>
      </c>
      <c r="T104" s="55">
        <f t="shared" ca="1" si="28"/>
        <v>37.591836574156602</v>
      </c>
      <c r="U104" s="55">
        <f t="shared" ca="1" si="29"/>
        <v>5.7867282732366707</v>
      </c>
      <c r="V104" s="55">
        <f t="shared" ca="1" si="30"/>
        <v>0</v>
      </c>
      <c r="W104" s="55">
        <f t="shared" ca="1" si="35"/>
        <v>-29.070728591425024</v>
      </c>
      <c r="X104" s="55">
        <f t="shared" ca="1" si="36"/>
        <v>66.906753221941031</v>
      </c>
      <c r="Y104" s="55">
        <f t="shared" ca="1" si="37"/>
        <v>13.763995604537284</v>
      </c>
      <c r="Z104" s="55">
        <f t="shared" ca="1" si="38"/>
        <v>3.0513826453624304</v>
      </c>
      <c r="AB104">
        <f t="shared" ca="1" si="31"/>
        <v>110.83493103189801</v>
      </c>
      <c r="AC104">
        <f t="shared" ca="1" si="39"/>
        <v>83.290313889792031</v>
      </c>
      <c r="AD104">
        <f t="shared" ca="1" si="32"/>
        <v>0</v>
      </c>
      <c r="AE104">
        <f t="shared" ca="1" si="33"/>
        <v>6.1810894377751932E-2</v>
      </c>
      <c r="AF104" s="83">
        <f ca="1"/>
        <v>45829</v>
      </c>
      <c r="AG104" s="55">
        <f t="shared" ca="1" si="43"/>
        <v>45829</v>
      </c>
      <c r="AH104" s="55">
        <f t="shared" ca="1" si="44"/>
        <v>-159.62988830290755</v>
      </c>
      <c r="AI104" s="55">
        <f t="shared" ca="1" si="45"/>
        <v>181.17407857787413</v>
      </c>
      <c r="AJ104" s="55">
        <f t="shared" ca="1" si="46"/>
        <v>0</v>
      </c>
      <c r="AK104" s="55">
        <f t="shared" ca="1" si="40"/>
        <v>0</v>
      </c>
      <c r="AL104" s="55">
        <f t="shared" ca="1" si="41"/>
        <v>68.3079695195851</v>
      </c>
      <c r="AM104" s="55">
        <f t="shared" ca="1" si="42"/>
        <v>-64.61770000721026</v>
      </c>
    </row>
    <row r="105" spans="18:39">
      <c r="R105" s="83">
        <f ca="1"/>
        <v>45606</v>
      </c>
      <c r="S105" s="55">
        <f t="shared" ca="1" si="34"/>
        <v>45606</v>
      </c>
      <c r="T105" s="55">
        <f t="shared" ca="1" si="28"/>
        <v>38.209969138076104</v>
      </c>
      <c r="U105" s="55">
        <f t="shared" ca="1" si="29"/>
        <v>6.1107972229799437</v>
      </c>
      <c r="V105" s="55">
        <f t="shared" ca="1" si="30"/>
        <v>0</v>
      </c>
      <c r="W105" s="55">
        <f t="shared" ca="1" si="35"/>
        <v>-29.070728591425024</v>
      </c>
      <c r="X105" s="55">
        <f t="shared" ca="1" si="36"/>
        <v>67.777743784887321</v>
      </c>
      <c r="Y105" s="55">
        <f t="shared" ca="1" si="37"/>
        <v>13.83520655525377</v>
      </c>
      <c r="Z105" s="55">
        <f t="shared" ca="1" si="38"/>
        <v>3.2406894974327294</v>
      </c>
      <c r="AB105">
        <f t="shared" ca="1" si="31"/>
        <v>107.89073692845612</v>
      </c>
      <c r="AC105">
        <f t="shared" ca="1" si="39"/>
        <v>83.290313889792031</v>
      </c>
      <c r="AD105">
        <f t="shared" ca="1" si="32"/>
        <v>0</v>
      </c>
      <c r="AE105">
        <f t="shared" ca="1" si="33"/>
        <v>7.0351859002761918E-2</v>
      </c>
      <c r="AF105" s="83">
        <f ca="1"/>
        <v>45830</v>
      </c>
      <c r="AG105" s="55">
        <f t="shared" ca="1" si="43"/>
        <v>45830</v>
      </c>
      <c r="AH105" s="55">
        <f t="shared" ca="1" si="44"/>
        <v>-163.46210214277443</v>
      </c>
      <c r="AI105" s="55">
        <f t="shared" ca="1" si="45"/>
        <v>185.84979821009159</v>
      </c>
      <c r="AJ105" s="55">
        <f t="shared" ca="1" si="46"/>
        <v>0</v>
      </c>
      <c r="AK105" s="55">
        <f t="shared" ca="1" si="40"/>
        <v>0</v>
      </c>
      <c r="AL105" s="55">
        <f t="shared" ca="1" si="41"/>
        <v>68.967754217774583</v>
      </c>
      <c r="AM105" s="55">
        <f t="shared" ca="1" si="42"/>
        <v>-64.433978913049131</v>
      </c>
    </row>
    <row r="106" spans="18:39">
      <c r="R106" s="83">
        <f ca="1"/>
        <v>45607</v>
      </c>
      <c r="S106" s="55">
        <f t="shared" ca="1" si="34"/>
        <v>45607</v>
      </c>
      <c r="T106" s="55">
        <f t="shared" ca="1" si="28"/>
        <v>38.813237010135893</v>
      </c>
      <c r="U106" s="55">
        <f t="shared" ca="1" si="29"/>
        <v>6.4519645915906594</v>
      </c>
      <c r="V106" s="55">
        <f t="shared" ca="1" si="30"/>
        <v>0</v>
      </c>
      <c r="W106" s="55">
        <f t="shared" ca="1" si="35"/>
        <v>-29.070728591425024</v>
      </c>
      <c r="X106" s="55">
        <f t="shared" ca="1" si="36"/>
        <v>68.653530949822013</v>
      </c>
      <c r="Y106" s="55">
        <f t="shared" ca="1" si="37"/>
        <v>13.903854630989574</v>
      </c>
      <c r="Z106" s="55">
        <f t="shared" ca="1" si="38"/>
        <v>3.4116736861071573</v>
      </c>
      <c r="AB106">
        <f t="shared" ca="1" si="31"/>
        <v>108.64716984555851</v>
      </c>
      <c r="AC106">
        <f t="shared" ca="1" si="39"/>
        <v>83.290313889792031</v>
      </c>
      <c r="AD106">
        <f t="shared" ca="1" si="32"/>
        <v>0</v>
      </c>
      <c r="AE106">
        <f t="shared" ca="1" si="33"/>
        <v>7.9951767981730815E-2</v>
      </c>
      <c r="AF106" s="83">
        <f ca="1"/>
        <v>45831</v>
      </c>
      <c r="AG106" s="55">
        <f t="shared" ca="1" si="43"/>
        <v>45831</v>
      </c>
      <c r="AH106" s="55">
        <f t="shared" ca="1" si="44"/>
        <v>-167.12465283394982</v>
      </c>
      <c r="AI106" s="55">
        <f t="shared" ca="1" si="45"/>
        <v>190.33707999547713</v>
      </c>
      <c r="AJ106" s="55">
        <f t="shared" ca="1" si="46"/>
        <v>0</v>
      </c>
      <c r="AK106" s="55">
        <f t="shared" ca="1" si="40"/>
        <v>0</v>
      </c>
      <c r="AL106" s="55">
        <f t="shared" ca="1" si="41"/>
        <v>69.611295023839787</v>
      </c>
      <c r="AM106" s="55">
        <f t="shared" ca="1" si="42"/>
        <v>-64.252788624904213</v>
      </c>
    </row>
    <row r="107" spans="18:39">
      <c r="R107" s="83">
        <f ca="1"/>
        <v>45608</v>
      </c>
      <c r="S107" s="55">
        <f t="shared" ca="1" si="34"/>
        <v>45608</v>
      </c>
      <c r="T107" s="55">
        <f t="shared" ca="1" si="28"/>
        <v>39.376431508184595</v>
      </c>
      <c r="U107" s="55">
        <f t="shared" ca="1" si="29"/>
        <v>6.8060592970982263</v>
      </c>
      <c r="V107" s="55">
        <f t="shared" ca="1" si="30"/>
        <v>0</v>
      </c>
      <c r="W107" s="55">
        <f t="shared" ca="1" si="35"/>
        <v>-29.070728591425024</v>
      </c>
      <c r="X107" s="55">
        <f t="shared" ca="1" si="36"/>
        <v>69.505537883762827</v>
      </c>
      <c r="Y107" s="55">
        <f t="shared" ca="1" si="37"/>
        <v>13.969136900605033</v>
      </c>
      <c r="Z107" s="55">
        <f t="shared" ca="1" si="38"/>
        <v>3.5409470550756694</v>
      </c>
      <c r="AB107">
        <f t="shared" ca="1" si="31"/>
        <v>107.86524330290932</v>
      </c>
      <c r="AC107">
        <f t="shared" ca="1" si="39"/>
        <v>83.290313889792031</v>
      </c>
      <c r="AD107">
        <f t="shared" ca="1" si="32"/>
        <v>0</v>
      </c>
      <c r="AE107">
        <f t="shared" ca="1" si="33"/>
        <v>9.0556513546231232E-2</v>
      </c>
      <c r="AF107" s="83">
        <f ca="1"/>
        <v>45832</v>
      </c>
      <c r="AG107" s="55">
        <f t="shared" ca="1" si="43"/>
        <v>45832</v>
      </c>
      <c r="AH107" s="55">
        <f t="shared" ca="1" si="44"/>
        <v>-170.88218440331599</v>
      </c>
      <c r="AI107" s="55">
        <f t="shared" ca="1" si="45"/>
        <v>194.9282272095563</v>
      </c>
      <c r="AJ107" s="55">
        <f t="shared" ca="1" si="46"/>
        <v>0</v>
      </c>
      <c r="AK107" s="55">
        <f t="shared" ca="1" si="40"/>
        <v>0</v>
      </c>
      <c r="AL107" s="55">
        <f t="shared" ca="1" si="41"/>
        <v>70.261677002550485</v>
      </c>
      <c r="AM107" s="55">
        <f t="shared" ca="1" si="42"/>
        <v>-64.069554958901904</v>
      </c>
    </row>
    <row r="108" spans="18:39">
      <c r="R108" s="83">
        <f ca="1"/>
        <v>45609</v>
      </c>
      <c r="S108" s="55">
        <f t="shared" ca="1" si="34"/>
        <v>45609</v>
      </c>
      <c r="T108" s="55">
        <f t="shared" ca="1" si="28"/>
        <v>39.911377598108366</v>
      </c>
      <c r="U108" s="55">
        <f t="shared" ca="1" si="29"/>
        <v>7.1778671445615583</v>
      </c>
      <c r="V108" s="55">
        <f t="shared" ca="1" si="30"/>
        <v>0</v>
      </c>
      <c r="W108" s="55">
        <f t="shared" ca="1" si="35"/>
        <v>-29.070728591425024</v>
      </c>
      <c r="X108" s="55">
        <f t="shared" ca="1" si="36"/>
        <v>70.349413497735327</v>
      </c>
      <c r="Y108" s="55">
        <f t="shared" ca="1" si="37"/>
        <v>14.032015224019629</v>
      </c>
      <c r="Z108" s="55">
        <f t="shared" ca="1" si="38"/>
        <v>3.7180784746333195</v>
      </c>
      <c r="AB108">
        <f t="shared" ca="1" si="31"/>
        <v>107.35678845293052</v>
      </c>
      <c r="AC108">
        <f t="shared" ca="1" si="39"/>
        <v>83.290313889792031</v>
      </c>
      <c r="AD108">
        <f t="shared" ca="1" si="32"/>
        <v>0</v>
      </c>
      <c r="AE108">
        <f t="shared" ca="1" si="33"/>
        <v>0.10236832601781634</v>
      </c>
      <c r="AF108" s="83">
        <f ca="1"/>
        <v>45833</v>
      </c>
      <c r="AG108" s="55">
        <f t="shared" ca="1" si="43"/>
        <v>45833</v>
      </c>
      <c r="AH108" s="55">
        <f t="shared" ca="1" si="44"/>
        <v>-174.77497159665771</v>
      </c>
      <c r="AI108" s="55">
        <f t="shared" ca="1" si="45"/>
        <v>199.6680416359473</v>
      </c>
      <c r="AJ108" s="55">
        <f t="shared" ca="1" si="46"/>
        <v>0</v>
      </c>
      <c r="AK108" s="55">
        <f t="shared" ca="1" si="40"/>
        <v>0</v>
      </c>
      <c r="AL108" s="55">
        <f t="shared" ca="1" si="41"/>
        <v>70.922721843718932</v>
      </c>
      <c r="AM108" s="55">
        <f t="shared" ca="1" si="42"/>
        <v>-63.883572567021041</v>
      </c>
    </row>
    <row r="109" spans="18:39">
      <c r="R109" s="83">
        <f ca="1"/>
        <v>45610</v>
      </c>
      <c r="S109" s="55">
        <f t="shared" ca="1" si="34"/>
        <v>45610</v>
      </c>
      <c r="T109" s="55">
        <f t="shared" ca="1" si="28"/>
        <v>40.419119630564907</v>
      </c>
      <c r="U109" s="55">
        <f t="shared" ca="1" si="29"/>
        <v>7.5792408190403489</v>
      </c>
      <c r="V109" s="55">
        <f t="shared" ca="1" si="30"/>
        <v>0</v>
      </c>
      <c r="W109" s="55">
        <f t="shared" ca="1" si="35"/>
        <v>-29.070728591425024</v>
      </c>
      <c r="X109" s="55">
        <f t="shared" ca="1" si="36"/>
        <v>71.196288998150806</v>
      </c>
      <c r="Y109" s="55">
        <f t="shared" ca="1" si="37"/>
        <v>14.09425543053948</v>
      </c>
      <c r="Z109" s="55">
        <f t="shared" ca="1" si="38"/>
        <v>4.0137367447879058</v>
      </c>
      <c r="AB109">
        <f t="shared" ca="1" si="31"/>
        <v>104.93217067117192</v>
      </c>
      <c r="AC109">
        <f t="shared" ca="1" si="39"/>
        <v>83.290313889792031</v>
      </c>
      <c r="AD109">
        <f t="shared" ca="1" si="32"/>
        <v>0</v>
      </c>
      <c r="AE109">
        <f t="shared" ca="1" si="33"/>
        <v>0.11585993249996331</v>
      </c>
      <c r="AF109" s="83">
        <f ca="1"/>
        <v>45834</v>
      </c>
      <c r="AG109" s="55">
        <f t="shared" ca="1" si="43"/>
        <v>45834</v>
      </c>
      <c r="AH109" s="55">
        <f t="shared" ca="1" si="44"/>
        <v>-178.40197358976317</v>
      </c>
      <c r="AI109" s="55">
        <f t="shared" ca="1" si="45"/>
        <v>204.11476545889218</v>
      </c>
      <c r="AJ109" s="55">
        <f t="shared" ca="1" si="46"/>
        <v>0</v>
      </c>
      <c r="AK109" s="55">
        <f t="shared" ca="1" si="40"/>
        <v>0</v>
      </c>
      <c r="AL109" s="55">
        <f t="shared" ca="1" si="41"/>
        <v>71.560699349663537</v>
      </c>
      <c r="AM109" s="55">
        <f t="shared" ca="1" si="42"/>
        <v>-63.701828243126229</v>
      </c>
    </row>
    <row r="110" spans="18:39">
      <c r="R110" s="83">
        <f ca="1"/>
        <v>45611</v>
      </c>
      <c r="S110" s="55">
        <f t="shared" ca="1" si="34"/>
        <v>45611</v>
      </c>
      <c r="T110" s="55">
        <f t="shared" ca="1" si="28"/>
        <v>40.934681904353035</v>
      </c>
      <c r="U110" s="55">
        <f t="shared" ca="1" si="29"/>
        <v>8.0121935151414956</v>
      </c>
      <c r="V110" s="55">
        <f t="shared" ca="1" si="30"/>
        <v>0</v>
      </c>
      <c r="W110" s="55">
        <f t="shared" ca="1" si="35"/>
        <v>-29.070728591425024</v>
      </c>
      <c r="X110" s="55">
        <f t="shared" ca="1" si="36"/>
        <v>72.083334193904648</v>
      </c>
      <c r="Y110" s="55">
        <f t="shared" ca="1" si="37"/>
        <v>14.155725204674901</v>
      </c>
      <c r="Z110" s="55">
        <f t="shared" ca="1" si="38"/>
        <v>4.3295269610114673</v>
      </c>
      <c r="AB110">
        <f t="shared" ca="1" si="31"/>
        <v>106.72092991693799</v>
      </c>
      <c r="AC110">
        <f t="shared" ca="1" si="39"/>
        <v>83.290313889792031</v>
      </c>
      <c r="AD110">
        <f t="shared" ca="1" si="32"/>
        <v>0</v>
      </c>
      <c r="AE110">
        <f t="shared" ca="1" si="33"/>
        <v>0.13122179503873491</v>
      </c>
      <c r="AF110" s="83">
        <f ca="1"/>
        <v>45835</v>
      </c>
      <c r="AG110" s="55">
        <f t="shared" ca="1" si="43"/>
        <v>45835</v>
      </c>
      <c r="AH110" s="55">
        <f t="shared" ca="1" si="44"/>
        <v>-182.10390589153326</v>
      </c>
      <c r="AI110" s="55">
        <f t="shared" ca="1" si="45"/>
        <v>208.6442534980437</v>
      </c>
      <c r="AJ110" s="55">
        <f t="shared" ca="1" si="46"/>
        <v>0</v>
      </c>
      <c r="AK110" s="55">
        <f t="shared" ca="1" si="40"/>
        <v>0</v>
      </c>
      <c r="AL110" s="55">
        <f t="shared" ca="1" si="41"/>
        <v>72.204860189380852</v>
      </c>
      <c r="AM110" s="55">
        <f t="shared" ca="1" si="42"/>
        <v>-63.518433345462093</v>
      </c>
    </row>
    <row r="111" spans="18:39">
      <c r="R111" s="83">
        <f ca="1"/>
        <v>45612</v>
      </c>
      <c r="S111" s="55">
        <f t="shared" ca="1" si="34"/>
        <v>45612</v>
      </c>
      <c r="T111" s="55">
        <f t="shared" ca="1" si="28"/>
        <v>41.386741099642585</v>
      </c>
      <c r="U111" s="55">
        <f t="shared" ca="1" si="29"/>
        <v>8.4575290206446176</v>
      </c>
      <c r="V111" s="55">
        <f t="shared" ca="1" si="30"/>
        <v>0</v>
      </c>
      <c r="W111" s="55">
        <f t="shared" ca="1" si="35"/>
        <v>-29.070728591425024</v>
      </c>
      <c r="X111" s="55">
        <f t="shared" ca="1" si="36"/>
        <v>72.922934600255175</v>
      </c>
      <c r="Y111" s="55">
        <f t="shared" ca="1" si="37"/>
        <v>14.21351949911705</v>
      </c>
      <c r="Z111" s="55">
        <f t="shared" ca="1" si="38"/>
        <v>4.4533550550312206</v>
      </c>
      <c r="AB111">
        <f t="shared" ca="1" si="31"/>
        <v>104.51361946130957</v>
      </c>
      <c r="AC111">
        <f t="shared" ca="1" si="39"/>
        <v>83.290313889792031</v>
      </c>
      <c r="AD111">
        <f t="shared" ca="1" si="32"/>
        <v>0</v>
      </c>
      <c r="AE111">
        <f t="shared" ca="1" si="33"/>
        <v>0.147830708657048</v>
      </c>
      <c r="AF111" s="83">
        <f ca="1"/>
        <v>45836</v>
      </c>
      <c r="AG111" s="55">
        <f t="shared" ca="1" si="43"/>
        <v>45836</v>
      </c>
      <c r="AH111" s="55">
        <f t="shared" ca="1" si="44"/>
        <v>-185.71477767809171</v>
      </c>
      <c r="AI111" s="55">
        <f t="shared" ca="1" si="45"/>
        <v>213.07405069501417</v>
      </c>
      <c r="AJ111" s="55">
        <f t="shared" ca="1" si="46"/>
        <v>0</v>
      </c>
      <c r="AK111" s="55">
        <f t="shared" ca="1" si="40"/>
        <v>0</v>
      </c>
      <c r="AL111" s="55">
        <f t="shared" ca="1" si="41"/>
        <v>72.841605560058369</v>
      </c>
      <c r="AM111" s="55">
        <f t="shared" ca="1" si="42"/>
        <v>-63.336253305727588</v>
      </c>
    </row>
    <row r="112" spans="18:39">
      <c r="R112" s="83">
        <f ca="1"/>
        <v>45613</v>
      </c>
      <c r="S112" s="55">
        <f t="shared" ca="1" si="34"/>
        <v>45613</v>
      </c>
      <c r="T112" s="55">
        <f t="shared" ca="1" si="28"/>
        <v>41.779417667691959</v>
      </c>
      <c r="U112" s="55">
        <f t="shared" ca="1" si="29"/>
        <v>8.9149410474382176</v>
      </c>
      <c r="V112" s="55">
        <f t="shared" ca="1" si="30"/>
        <v>0</v>
      </c>
      <c r="W112" s="55">
        <f t="shared" ca="1" si="35"/>
        <v>-29.070728591425024</v>
      </c>
      <c r="X112" s="55">
        <f t="shared" ca="1" si="36"/>
        <v>73.718599510272668</v>
      </c>
      <c r="Y112" s="55">
        <f t="shared" ca="1" si="37"/>
        <v>14.267943183942537</v>
      </c>
      <c r="Z112" s="55">
        <f t="shared" ca="1" si="38"/>
        <v>4.5741202679359994</v>
      </c>
      <c r="AB112">
        <f t="shared" ca="1" si="31"/>
        <v>102.38988413372195</v>
      </c>
      <c r="AC112">
        <f t="shared" ca="1" si="39"/>
        <v>83.290313889792031</v>
      </c>
      <c r="AD112">
        <f t="shared" ca="1" si="32"/>
        <v>0</v>
      </c>
      <c r="AE112">
        <f t="shared" ca="1" si="33"/>
        <v>0.16566107594164642</v>
      </c>
      <c r="AF112" s="83">
        <f ca="1"/>
        <v>45837</v>
      </c>
      <c r="AG112" s="55">
        <f t="shared" ca="1" si="43"/>
        <v>45837</v>
      </c>
      <c r="AH112" s="55">
        <f t="shared" ca="1" si="44"/>
        <v>-189.39219999631015</v>
      </c>
      <c r="AI112" s="55">
        <f t="shared" ca="1" si="45"/>
        <v>217.5780712960875</v>
      </c>
      <c r="AJ112" s="55">
        <f t="shared" ca="1" si="46"/>
        <v>0</v>
      </c>
      <c r="AK112" s="55">
        <f t="shared" ca="1" si="40"/>
        <v>0</v>
      </c>
      <c r="AL112" s="55">
        <f t="shared" ca="1" si="41"/>
        <v>73.484526710466099</v>
      </c>
      <c r="AM112" s="55">
        <f t="shared" ca="1" si="42"/>
        <v>-63.152576173280444</v>
      </c>
    </row>
    <row r="113" spans="18:39">
      <c r="R113" s="83">
        <f ca="1"/>
        <v>45614</v>
      </c>
      <c r="S113" s="55">
        <f t="shared" ca="1" si="34"/>
        <v>45614</v>
      </c>
      <c r="T113" s="55">
        <f t="shared" ca="1" si="28"/>
        <v>42.119098122773877</v>
      </c>
      <c r="U113" s="55">
        <f t="shared" ca="1" si="29"/>
        <v>9.3953863861122429</v>
      </c>
      <c r="V113" s="55">
        <f t="shared" ca="1" si="30"/>
        <v>0</v>
      </c>
      <c r="W113" s="55">
        <f t="shared" ca="1" si="35"/>
        <v>-29.070728591425024</v>
      </c>
      <c r="X113" s="55">
        <f t="shared" ca="1" si="36"/>
        <v>74.486229837456037</v>
      </c>
      <c r="Y113" s="55">
        <f t="shared" ca="1" si="37"/>
        <v>14.32043865051511</v>
      </c>
      <c r="Z113" s="55">
        <f t="shared" ca="1" si="38"/>
        <v>4.8044533867402528</v>
      </c>
      <c r="AB113">
        <f t="shared" ca="1" si="31"/>
        <v>99.290002397972515</v>
      </c>
      <c r="AC113">
        <f t="shared" ca="1" si="39"/>
        <v>83.290313889792031</v>
      </c>
      <c r="AD113">
        <f t="shared" ca="1" si="32"/>
        <v>0</v>
      </c>
      <c r="AE113">
        <f t="shared" ca="1" si="33"/>
        <v>0.18513238572028495</v>
      </c>
      <c r="AF113" s="83">
        <f ca="1"/>
        <v>45838</v>
      </c>
      <c r="AG113" s="55">
        <f t="shared" ca="1" si="43"/>
        <v>45838</v>
      </c>
      <c r="AH113" s="55">
        <f t="shared" ca="1" si="44"/>
        <v>-193.12411399188321</v>
      </c>
      <c r="AI113" s="55">
        <f t="shared" ca="1" si="45"/>
        <v>222.14348216230789</v>
      </c>
      <c r="AJ113" s="55">
        <f t="shared" ca="1" si="46"/>
        <v>0</v>
      </c>
      <c r="AK113" s="55">
        <f t="shared" ca="1" si="40"/>
        <v>0</v>
      </c>
      <c r="AL113" s="55">
        <f t="shared" ca="1" si="41"/>
        <v>74.133038374477536</v>
      </c>
      <c r="AM113" s="55">
        <f t="shared" ca="1" si="42"/>
        <v>-62.967590966644551</v>
      </c>
    </row>
    <row r="114" spans="18:39">
      <c r="R114" s="83">
        <f ca="1"/>
        <v>45615</v>
      </c>
      <c r="S114" s="55">
        <f t="shared" ca="1" si="34"/>
        <v>45615</v>
      </c>
      <c r="T114" s="55">
        <f t="shared" ca="1" si="28"/>
        <v>42.433526603380052</v>
      </c>
      <c r="U114" s="55">
        <f t="shared" ca="1" si="29"/>
        <v>9.9160996096904839</v>
      </c>
      <c r="V114" s="55">
        <f t="shared" ca="1" si="30"/>
        <v>0</v>
      </c>
      <c r="W114" s="55">
        <f t="shared" ca="1" si="35"/>
        <v>-29.070728591425024</v>
      </c>
      <c r="X114" s="55">
        <f t="shared" ca="1" si="36"/>
        <v>75.269157095654947</v>
      </c>
      <c r="Y114" s="55">
        <f t="shared" ca="1" si="37"/>
        <v>14.37265309650061</v>
      </c>
      <c r="Z114" s="55">
        <f t="shared" ca="1" si="38"/>
        <v>5.2071322357824101</v>
      </c>
      <c r="AB114">
        <f t="shared" ca="1" si="31"/>
        <v>97.854537283839093</v>
      </c>
      <c r="AC114">
        <f t="shared" ca="1" si="39"/>
        <v>83.290313889792031</v>
      </c>
      <c r="AD114">
        <f t="shared" ca="1" si="32"/>
        <v>0</v>
      </c>
      <c r="AE114">
        <f t="shared" ca="1" si="33"/>
        <v>0.20697018765925498</v>
      </c>
      <c r="AF114" s="83">
        <f ca="1"/>
        <v>45839</v>
      </c>
      <c r="AG114" s="55">
        <f t="shared" ca="1" si="43"/>
        <v>45839</v>
      </c>
      <c r="AH114" s="55">
        <f t="shared" ca="1" si="44"/>
        <v>-196.39556337832744</v>
      </c>
      <c r="AI114" s="55">
        <f t="shared" ca="1" si="45"/>
        <v>226.20355964528056</v>
      </c>
      <c r="AJ114" s="55">
        <f t="shared" ca="1" si="46"/>
        <v>0</v>
      </c>
      <c r="AK114" s="55">
        <f t="shared" ca="1" si="40"/>
        <v>0</v>
      </c>
      <c r="AL114" s="55">
        <f t="shared" ca="1" si="41"/>
        <v>74.744256837422995</v>
      </c>
      <c r="AM114" s="55">
        <f t="shared" ca="1" si="42"/>
        <v>-62.790181333061575</v>
      </c>
    </row>
    <row r="115" spans="18:39">
      <c r="R115" s="83">
        <f ca="1"/>
        <v>45616</v>
      </c>
      <c r="S115" s="55">
        <f t="shared" ca="1" si="34"/>
        <v>45616</v>
      </c>
      <c r="T115" s="55">
        <f t="shared" ca="1" si="28"/>
        <v>42.71729310013248</v>
      </c>
      <c r="U115" s="55">
        <f t="shared" ca="1" si="29"/>
        <v>10.46744569326734</v>
      </c>
      <c r="V115" s="55">
        <f t="shared" ca="1" si="30"/>
        <v>0</v>
      </c>
      <c r="W115" s="55">
        <f t="shared" ca="1" si="35"/>
        <v>-29.070728591425024</v>
      </c>
      <c r="X115" s="55">
        <f t="shared" ca="1" si="36"/>
        <v>76.053610358331369</v>
      </c>
      <c r="Y115" s="55">
        <f t="shared" ca="1" si="37"/>
        <v>14.423312414153468</v>
      </c>
      <c r="Z115" s="55">
        <f t="shared" ca="1" si="38"/>
        <v>5.5134608357685622</v>
      </c>
      <c r="AB115">
        <f t="shared" ca="1" si="31"/>
        <v>97.496189637239212</v>
      </c>
      <c r="AC115">
        <f t="shared" ca="1" si="39"/>
        <v>83.290313889792031</v>
      </c>
      <c r="AD115">
        <f t="shared" ca="1" si="32"/>
        <v>0</v>
      </c>
      <c r="AE115">
        <f t="shared" ca="1" si="33"/>
        <v>0.23077095816763929</v>
      </c>
      <c r="AF115" s="83">
        <f ca="1"/>
        <v>45840</v>
      </c>
      <c r="AG115" s="55">
        <f t="shared" ca="1" si="43"/>
        <v>45840</v>
      </c>
      <c r="AH115" s="55">
        <f t="shared" ca="1" si="44"/>
        <v>-199.30172116543284</v>
      </c>
      <c r="AI115" s="55">
        <f t="shared" ca="1" si="45"/>
        <v>229.86419479584615</v>
      </c>
      <c r="AJ115" s="55">
        <f t="shared" ca="1" si="46"/>
        <v>0</v>
      </c>
      <c r="AK115" s="55">
        <f t="shared" ca="1" si="40"/>
        <v>0</v>
      </c>
      <c r="AL115" s="55">
        <f t="shared" ca="1" si="41"/>
        <v>75.327110961853322</v>
      </c>
      <c r="AM115" s="55">
        <f t="shared" ca="1" si="42"/>
        <v>-62.618558094031712</v>
      </c>
    </row>
    <row r="116" spans="18:39">
      <c r="R116" s="83">
        <f ca="1"/>
        <v>45617</v>
      </c>
      <c r="S116" s="55">
        <f t="shared" ca="1" si="34"/>
        <v>45617</v>
      </c>
      <c r="T116" s="55">
        <f t="shared" ca="1" si="28"/>
        <v>42.990182751433615</v>
      </c>
      <c r="U116" s="55">
        <f t="shared" ca="1" si="29"/>
        <v>11.057662353726007</v>
      </c>
      <c r="V116" s="55">
        <f t="shared" ca="1" si="30"/>
        <v>0</v>
      </c>
      <c r="W116" s="55">
        <f t="shared" ca="1" si="35"/>
        <v>-29.070728591425024</v>
      </c>
      <c r="X116" s="55">
        <f t="shared" ca="1" si="36"/>
        <v>76.867036947241075</v>
      </c>
      <c r="Y116" s="55">
        <f t="shared" ca="1" si="37"/>
        <v>14.47299213700356</v>
      </c>
      <c r="Z116" s="55">
        <f t="shared" ca="1" si="38"/>
        <v>5.9021666045866716</v>
      </c>
      <c r="AB116">
        <f t="shared" ca="1" si="31"/>
        <v>99.088639590958948</v>
      </c>
      <c r="AC116">
        <f t="shared" ca="1" si="39"/>
        <v>83.290313889792031</v>
      </c>
      <c r="AD116">
        <f t="shared" ca="1" si="32"/>
        <v>0</v>
      </c>
      <c r="AE116">
        <f t="shared" ca="1" si="33"/>
        <v>0.25683400122415484</v>
      </c>
      <c r="AF116" s="83">
        <f ca="1"/>
        <v>45841</v>
      </c>
      <c r="AG116" s="55">
        <f t="shared" ca="1" si="43"/>
        <v>45841</v>
      </c>
      <c r="AH116" s="55">
        <f t="shared" ca="1" si="44"/>
        <v>-202.28699368437714</v>
      </c>
      <c r="AI116" s="55">
        <f t="shared" ca="1" si="45"/>
        <v>233.61305991310414</v>
      </c>
      <c r="AJ116" s="55">
        <f t="shared" ca="1" si="46"/>
        <v>0</v>
      </c>
      <c r="AK116" s="55">
        <f t="shared" ca="1" si="40"/>
        <v>0</v>
      </c>
      <c r="AL116" s="55">
        <f t="shared" ca="1" si="41"/>
        <v>75.917562227462497</v>
      </c>
      <c r="AM116" s="55">
        <f t="shared" ca="1" si="42"/>
        <v>-62.445416761327202</v>
      </c>
    </row>
    <row r="117" spans="18:39">
      <c r="R117" s="83">
        <f ca="1"/>
        <v>45618</v>
      </c>
      <c r="S117" s="55">
        <f t="shared" ca="1" si="34"/>
        <v>45618</v>
      </c>
      <c r="T117" s="55">
        <f t="shared" ca="1" si="28"/>
        <v>43.229406810283372</v>
      </c>
      <c r="U117" s="55">
        <f t="shared" ca="1" si="29"/>
        <v>11.689733766030143</v>
      </c>
      <c r="V117" s="55">
        <f t="shared" ca="1" si="30"/>
        <v>0</v>
      </c>
      <c r="W117" s="55">
        <f t="shared" ca="1" si="35"/>
        <v>-29.070728591425024</v>
      </c>
      <c r="X117" s="55">
        <f t="shared" ca="1" si="36"/>
        <v>77.689641546500496</v>
      </c>
      <c r="Y117" s="55">
        <f t="shared" ca="1" si="37"/>
        <v>14.521683008898028</v>
      </c>
      <c r="Z117" s="55">
        <f t="shared" ca="1" si="38"/>
        <v>6.3207141230413555</v>
      </c>
      <c r="AB117">
        <f t="shared" ca="1" si="31"/>
        <v>98.376955648204842</v>
      </c>
      <c r="AC117">
        <f t="shared" ca="1" si="39"/>
        <v>83.290313889792031</v>
      </c>
      <c r="AD117">
        <f t="shared" ca="1" si="32"/>
        <v>0</v>
      </c>
      <c r="AE117">
        <f t="shared" ca="1" si="33"/>
        <v>0.28518916512409415</v>
      </c>
      <c r="AF117" s="83">
        <f ca="1"/>
        <v>45842</v>
      </c>
      <c r="AG117" s="55">
        <f t="shared" ca="1" si="43"/>
        <v>45842</v>
      </c>
      <c r="AH117" s="55">
        <f t="shared" ca="1" si="44"/>
        <v>-205.59919014590156</v>
      </c>
      <c r="AI117" s="55">
        <f t="shared" ca="1" si="45"/>
        <v>237.72321125788793</v>
      </c>
      <c r="AJ117" s="55">
        <f t="shared" ca="1" si="46"/>
        <v>0</v>
      </c>
      <c r="AK117" s="55">
        <f t="shared" ca="1" si="40"/>
        <v>0</v>
      </c>
      <c r="AL117" s="55">
        <f t="shared" ca="1" si="41"/>
        <v>76.536611013989528</v>
      </c>
      <c r="AM117" s="55">
        <f t="shared" ca="1" si="42"/>
        <v>-62.266510664594882</v>
      </c>
    </row>
    <row r="118" spans="18:39">
      <c r="R118" s="83">
        <f ca="1"/>
        <v>45619</v>
      </c>
      <c r="S118" s="55">
        <f t="shared" ca="1" si="34"/>
        <v>45619</v>
      </c>
      <c r="T118" s="55">
        <f t="shared" ca="1" si="28"/>
        <v>43.415812919286907</v>
      </c>
      <c r="U118" s="55">
        <f t="shared" ca="1" si="29"/>
        <v>12.349934589441148</v>
      </c>
      <c r="V118" s="55">
        <f t="shared" ca="1" si="30"/>
        <v>0</v>
      </c>
      <c r="W118" s="55">
        <f t="shared" ca="1" si="35"/>
        <v>-29.070728591425024</v>
      </c>
      <c r="X118" s="55">
        <f t="shared" ca="1" si="36"/>
        <v>78.48977225976239</v>
      </c>
      <c r="Y118" s="55">
        <f t="shared" ca="1" si="37"/>
        <v>14.56815922805068</v>
      </c>
      <c r="Z118" s="55">
        <f t="shared" ca="1" si="38"/>
        <v>6.6020082341100483</v>
      </c>
      <c r="AB118">
        <f t="shared" ca="1" si="31"/>
        <v>96.955805651675377</v>
      </c>
      <c r="AC118">
        <f t="shared" ca="1" si="39"/>
        <v>83.290313889792031</v>
      </c>
      <c r="AD118">
        <f t="shared" ca="1" si="32"/>
        <v>0</v>
      </c>
      <c r="AE118">
        <f t="shared" ca="1" si="33"/>
        <v>0.31504371804019271</v>
      </c>
      <c r="AF118" s="83">
        <f ca="1"/>
        <v>45843</v>
      </c>
      <c r="AG118" s="55">
        <f t="shared" ca="1" si="43"/>
        <v>45843</v>
      </c>
      <c r="AH118" s="55">
        <f t="shared" ca="1" si="44"/>
        <v>-209.24157431247403</v>
      </c>
      <c r="AI118" s="55">
        <f t="shared" ca="1" si="45"/>
        <v>242.20041104754864</v>
      </c>
      <c r="AJ118" s="55">
        <f t="shared" ca="1" si="46"/>
        <v>0</v>
      </c>
      <c r="AK118" s="55">
        <f t="shared" ca="1" si="40"/>
        <v>0</v>
      </c>
      <c r="AL118" s="55">
        <f t="shared" ca="1" si="41"/>
        <v>77.186369175913057</v>
      </c>
      <c r="AM118" s="55">
        <f t="shared" ca="1" si="42"/>
        <v>-62.081453203430172</v>
      </c>
    </row>
    <row r="119" spans="18:39">
      <c r="R119" s="83">
        <f ca="1"/>
        <v>45620</v>
      </c>
      <c r="S119" s="55">
        <f t="shared" ca="1" si="34"/>
        <v>45620</v>
      </c>
      <c r="T119" s="55">
        <f t="shared" ca="1" si="28"/>
        <v>43.566414799595464</v>
      </c>
      <c r="U119" s="55">
        <f t="shared" ca="1" si="29"/>
        <v>13.075145914513683</v>
      </c>
      <c r="V119" s="55">
        <f t="shared" ca="1" si="30"/>
        <v>0</v>
      </c>
      <c r="W119" s="55">
        <f t="shared" ca="1" si="35"/>
        <v>-29.070728591425024</v>
      </c>
      <c r="X119" s="55">
        <f t="shared" ca="1" si="36"/>
        <v>79.31881890611065</v>
      </c>
      <c r="Y119" s="55">
        <f t="shared" ca="1" si="37"/>
        <v>14.614925787083511</v>
      </c>
      <c r="Z119" s="55">
        <f t="shared" ca="1" si="38"/>
        <v>7.2521132507253583</v>
      </c>
      <c r="AB119">
        <f t="shared" ca="1" si="31"/>
        <v>95.572744825084584</v>
      </c>
      <c r="AC119">
        <f t="shared" ca="1" si="39"/>
        <v>83.290313889792031</v>
      </c>
      <c r="AD119">
        <f t="shared" ca="1" si="32"/>
        <v>0</v>
      </c>
      <c r="AE119">
        <f t="shared" ca="1" si="33"/>
        <v>0.34782246652723386</v>
      </c>
      <c r="AF119" s="83">
        <f ca="1"/>
        <v>45844</v>
      </c>
      <c r="AG119" s="55">
        <f t="shared" ca="1" si="43"/>
        <v>45844</v>
      </c>
      <c r="AH119" s="55">
        <f t="shared" ca="1" si="44"/>
        <v>-212.81395854255391</v>
      </c>
      <c r="AI119" s="55">
        <f t="shared" ca="1" si="45"/>
        <v>246.60363968893401</v>
      </c>
      <c r="AJ119" s="55">
        <f t="shared" ca="1" si="46"/>
        <v>0</v>
      </c>
      <c r="AK119" s="55">
        <f t="shared" ca="1" si="40"/>
        <v>0</v>
      </c>
      <c r="AL119" s="55">
        <f t="shared" ca="1" si="41"/>
        <v>77.833013931348077</v>
      </c>
      <c r="AM119" s="55">
        <f t="shared" ca="1" si="42"/>
        <v>-61.897253547559721</v>
      </c>
    </row>
    <row r="120" spans="18:39">
      <c r="R120" s="83">
        <f ca="1"/>
        <v>45621</v>
      </c>
      <c r="S120" s="55">
        <f t="shared" ca="1" si="34"/>
        <v>45621</v>
      </c>
      <c r="T120" s="55">
        <f t="shared" ca="1" si="28"/>
        <v>43.655262136803366</v>
      </c>
      <c r="U120" s="55">
        <f t="shared" ca="1" si="29"/>
        <v>13.843687838928098</v>
      </c>
      <c r="V120" s="55">
        <f t="shared" ca="1" si="30"/>
        <v>0</v>
      </c>
      <c r="W120" s="55">
        <f t="shared" ca="1" si="35"/>
        <v>-29.070728591425024</v>
      </c>
      <c r="X120" s="55">
        <f t="shared" ca="1" si="36"/>
        <v>80.131010968805001</v>
      </c>
      <c r="Y120" s="55">
        <f t="shared" ca="1" si="37"/>
        <v>14.660122986011476</v>
      </c>
      <c r="Z120" s="55">
        <f t="shared" ca="1" si="38"/>
        <v>7.6854192441441427</v>
      </c>
      <c r="AB120">
        <f t="shared" ca="1" si="31"/>
        <v>93.317237303622107</v>
      </c>
      <c r="AC120">
        <f t="shared" ca="1" si="39"/>
        <v>83.290313889792031</v>
      </c>
      <c r="AD120">
        <f t="shared" ca="1" si="32"/>
        <v>0</v>
      </c>
      <c r="AE120">
        <f t="shared" ca="1" si="33"/>
        <v>0.3822195120054781</v>
      </c>
      <c r="AF120" s="83">
        <f ca="1"/>
        <v>45845</v>
      </c>
      <c r="AG120" s="55">
        <f t="shared" ca="1" si="43"/>
        <v>45845</v>
      </c>
      <c r="AH120" s="55">
        <f t="shared" ca="1" si="44"/>
        <v>-216.30651358357716</v>
      </c>
      <c r="AI120" s="55">
        <f t="shared" ca="1" si="45"/>
        <v>250.92227971626039</v>
      </c>
      <c r="AJ120" s="55">
        <f t="shared" ca="1" si="46"/>
        <v>0</v>
      </c>
      <c r="AK120" s="55">
        <f t="shared" ca="1" si="40"/>
        <v>0</v>
      </c>
      <c r="AL120" s="55">
        <f t="shared" ca="1" si="41"/>
        <v>78.475935081755807</v>
      </c>
      <c r="AM120" s="55">
        <f t="shared" ca="1" si="42"/>
        <v>-61.714089711664343</v>
      </c>
    </row>
    <row r="121" spans="18:39">
      <c r="R121" s="83">
        <f ca="1"/>
        <v>45622</v>
      </c>
      <c r="S121" s="55">
        <f t="shared" ca="1" si="34"/>
        <v>45622</v>
      </c>
      <c r="T121" s="55">
        <f t="shared" ca="1" si="28"/>
        <v>43.692940665867845</v>
      </c>
      <c r="U121" s="55">
        <f t="shared" ca="1" si="29"/>
        <v>14.636546219771775</v>
      </c>
      <c r="V121" s="55">
        <f t="shared" ca="1" si="30"/>
        <v>0</v>
      </c>
      <c r="W121" s="55">
        <f t="shared" ca="1" si="35"/>
        <v>-29.070728591425024</v>
      </c>
      <c r="X121" s="55">
        <f t="shared" ca="1" si="36"/>
        <v>80.919073893954476</v>
      </c>
      <c r="Y121" s="55">
        <f t="shared" ca="1" si="37"/>
        <v>14.702596970770161</v>
      </c>
      <c r="Z121" s="55">
        <f t="shared" ca="1" si="38"/>
        <v>7.9285838084367732</v>
      </c>
      <c r="AB121">
        <f t="shared" ca="1" si="31"/>
        <v>93.225769160186104</v>
      </c>
      <c r="AC121">
        <f t="shared" ca="1" si="39"/>
        <v>83.290313889792031</v>
      </c>
      <c r="AD121">
        <f t="shared" ca="1" si="32"/>
        <v>0</v>
      </c>
      <c r="AE121">
        <f t="shared" ca="1" si="33"/>
        <v>0.41702021774393977</v>
      </c>
      <c r="AF121" s="83">
        <f ca="1"/>
        <v>45846</v>
      </c>
      <c r="AG121" s="55">
        <f t="shared" ca="1" si="43"/>
        <v>45846</v>
      </c>
      <c r="AH121" s="55">
        <f t="shared" ca="1" si="44"/>
        <v>-219.55119817070857</v>
      </c>
      <c r="AI121" s="55">
        <f t="shared" ca="1" si="45"/>
        <v>254.97055222607142</v>
      </c>
      <c r="AJ121" s="55">
        <f t="shared" ca="1" si="46"/>
        <v>0</v>
      </c>
      <c r="AK121" s="55">
        <f t="shared" ca="1" si="40"/>
        <v>0</v>
      </c>
      <c r="AL121" s="55">
        <f t="shared" ca="1" si="41"/>
        <v>79.100442038105854</v>
      </c>
      <c r="AM121" s="55">
        <f t="shared" ca="1" si="42"/>
        <v>-61.535008745334785</v>
      </c>
    </row>
    <row r="122" spans="18:39">
      <c r="R122" s="83">
        <f ca="1"/>
        <v>45623</v>
      </c>
      <c r="S122" s="55">
        <f t="shared" ca="1" si="34"/>
        <v>45623</v>
      </c>
      <c r="T122" s="55">
        <f t="shared" ca="1" si="28"/>
        <v>43.703804220211289</v>
      </c>
      <c r="U122" s="55">
        <f t="shared" ca="1" si="29"/>
        <v>15.468303182647606</v>
      </c>
      <c r="V122" s="55">
        <f t="shared" ca="1" si="30"/>
        <v>0</v>
      </c>
      <c r="W122" s="55">
        <f t="shared" ca="1" si="35"/>
        <v>-29.070728591425024</v>
      </c>
      <c r="X122" s="55">
        <f t="shared" ca="1" si="36"/>
        <v>81.72097346185528</v>
      </c>
      <c r="Y122" s="55">
        <f t="shared" ca="1" si="37"/>
        <v>14.74331792008863</v>
      </c>
      <c r="Z122" s="55">
        <f t="shared" ca="1" si="38"/>
        <v>8.3175696287583101</v>
      </c>
      <c r="AB122">
        <f t="shared" ca="1" si="31"/>
        <v>95.422276103681824</v>
      </c>
      <c r="AC122">
        <f t="shared" ca="1" si="39"/>
        <v>83.290313889792031</v>
      </c>
      <c r="AD122">
        <f t="shared" ca="1" si="32"/>
        <v>0</v>
      </c>
      <c r="AE122">
        <f t="shared" ca="1" si="33"/>
        <v>0.45248245119988795</v>
      </c>
      <c r="AF122" s="83">
        <f ca="1"/>
        <v>45847</v>
      </c>
      <c r="AG122" s="55">
        <f t="shared" ca="1" si="43"/>
        <v>45847</v>
      </c>
      <c r="AH122" s="55">
        <f t="shared" ca="1" si="44"/>
        <v>-222.85898212378436</v>
      </c>
      <c r="AI122" s="55">
        <f t="shared" ca="1" si="45"/>
        <v>259.09259664000672</v>
      </c>
      <c r="AJ122" s="55">
        <f t="shared" ca="1" si="46"/>
        <v>0</v>
      </c>
      <c r="AK122" s="55">
        <f t="shared" ca="1" si="40"/>
        <v>0</v>
      </c>
      <c r="AL122" s="55">
        <f t="shared" ca="1" si="41"/>
        <v>79.734113673192496</v>
      </c>
      <c r="AM122" s="55">
        <f t="shared" ca="1" si="42"/>
        <v>-61.354419919561913</v>
      </c>
    </row>
    <row r="123" spans="18:39">
      <c r="R123" s="83">
        <f ca="1"/>
        <v>45624</v>
      </c>
      <c r="S123" s="55">
        <f t="shared" ca="1" si="34"/>
        <v>45624</v>
      </c>
      <c r="T123" s="55">
        <f t="shared" ca="1" si="28"/>
        <v>43.656119130816116</v>
      </c>
      <c r="U123" s="55">
        <f t="shared" ca="1" si="29"/>
        <v>16.351440945801695</v>
      </c>
      <c r="V123" s="55">
        <f t="shared" ca="1" si="30"/>
        <v>0</v>
      </c>
      <c r="W123" s="55">
        <f t="shared" ca="1" si="35"/>
        <v>-29.070728591425024</v>
      </c>
      <c r="X123" s="55">
        <f t="shared" ca="1" si="36"/>
        <v>82.516868836742418</v>
      </c>
      <c r="Y123" s="55">
        <f t="shared" ca="1" si="37"/>
        <v>14.782875218960406</v>
      </c>
      <c r="Z123" s="55">
        <f t="shared" ca="1" si="38"/>
        <v>8.8313776315408887</v>
      </c>
      <c r="AB123">
        <f t="shared" ca="1" si="31"/>
        <v>93.908308805535071</v>
      </c>
      <c r="AC123">
        <f t="shared" ca="1" si="39"/>
        <v>83.290313889792031</v>
      </c>
      <c r="AD123">
        <f t="shared" ca="1" si="32"/>
        <v>0</v>
      </c>
      <c r="AE123">
        <f t="shared" ca="1" si="33"/>
        <v>0.4886907529050078</v>
      </c>
      <c r="AF123" s="83">
        <f ca="1"/>
        <v>45848</v>
      </c>
      <c r="AG123" s="55">
        <f t="shared" ca="1" si="43"/>
        <v>45848</v>
      </c>
      <c r="AH123" s="55">
        <f t="shared" ca="1" si="44"/>
        <v>-225.68268618942767</v>
      </c>
      <c r="AI123" s="55">
        <f t="shared" ca="1" si="45"/>
        <v>262.68311690504743</v>
      </c>
      <c r="AJ123" s="55">
        <f t="shared" ca="1" si="46"/>
        <v>0</v>
      </c>
      <c r="AK123" s="55">
        <f t="shared" ca="1" si="40"/>
        <v>0</v>
      </c>
      <c r="AL123" s="55">
        <f t="shared" ca="1" si="41"/>
        <v>80.328681777992941</v>
      </c>
      <c r="AM123" s="55">
        <f t="shared" ca="1" si="42"/>
        <v>-61.182171824964961</v>
      </c>
    </row>
    <row r="124" spans="18:39">
      <c r="R124" s="83">
        <f ca="1"/>
        <v>45625</v>
      </c>
      <c r="S124" s="55">
        <f t="shared" ca="1" si="34"/>
        <v>45625</v>
      </c>
      <c r="T124" s="55">
        <f t="shared" ca="1" si="28"/>
        <v>43.550723331004278</v>
      </c>
      <c r="U124" s="55">
        <f t="shared" ca="1" si="29"/>
        <v>17.299616792254064</v>
      </c>
      <c r="V124" s="55">
        <f t="shared" ca="1" si="30"/>
        <v>0</v>
      </c>
      <c r="W124" s="55">
        <f t="shared" ca="1" si="35"/>
        <v>-29.070728591425024</v>
      </c>
      <c r="X124" s="55">
        <f t="shared" ca="1" si="36"/>
        <v>83.320784735179529</v>
      </c>
      <c r="Y124" s="55">
        <f t="shared" ca="1" si="37"/>
        <v>14.821739367163824</v>
      </c>
      <c r="Z124" s="55">
        <f t="shared" ca="1" si="38"/>
        <v>9.4817584645236863</v>
      </c>
      <c r="AB124">
        <f t="shared" ca="1" si="31"/>
        <v>92.748362187640012</v>
      </c>
      <c r="AC124">
        <f t="shared" ca="1" si="39"/>
        <v>83.290313889792031</v>
      </c>
      <c r="AD124">
        <f t="shared" ca="1" si="32"/>
        <v>0</v>
      </c>
      <c r="AE124">
        <f t="shared" ca="1" si="33"/>
        <v>0.5256709763142785</v>
      </c>
      <c r="AF124" s="83">
        <f ca="1"/>
        <v>45849</v>
      </c>
      <c r="AG124" s="55">
        <f t="shared" ca="1" si="43"/>
        <v>45849</v>
      </c>
      <c r="AH124" s="55">
        <f t="shared" ca="1" si="44"/>
        <v>-228.22825197630345</v>
      </c>
      <c r="AI124" s="55">
        <f t="shared" ca="1" si="45"/>
        <v>265.96987526312842</v>
      </c>
      <c r="AJ124" s="55">
        <f t="shared" ca="1" si="46"/>
        <v>0</v>
      </c>
      <c r="AK124" s="55">
        <f t="shared" ca="1" si="40"/>
        <v>0</v>
      </c>
      <c r="AL124" s="55">
        <f t="shared" ca="1" si="41"/>
        <v>80.902271798219928</v>
      </c>
      <c r="AM124" s="55">
        <f t="shared" ca="1" si="42"/>
        <v>-61.014569273986744</v>
      </c>
    </row>
    <row r="125" spans="18:39">
      <c r="R125" s="83">
        <f ca="1"/>
        <v>45626</v>
      </c>
      <c r="S125" s="55">
        <f t="shared" ca="1" si="34"/>
        <v>45626</v>
      </c>
      <c r="T125" s="55">
        <f t="shared" ca="1" si="28"/>
        <v>43.363822852122411</v>
      </c>
      <c r="U125" s="55">
        <f t="shared" ca="1" si="29"/>
        <v>18.315991540497134</v>
      </c>
      <c r="V125" s="55">
        <f t="shared" ca="1" si="30"/>
        <v>0</v>
      </c>
      <c r="W125" s="55">
        <f t="shared" ca="1" si="35"/>
        <v>-29.070728591425024</v>
      </c>
      <c r="X125" s="55">
        <f t="shared" ca="1" si="36"/>
        <v>84.112179999843093</v>
      </c>
      <c r="Y125" s="55">
        <f t="shared" ca="1" si="37"/>
        <v>14.859818371861451</v>
      </c>
      <c r="Z125" s="55">
        <f t="shared" ca="1" si="38"/>
        <v>10.163747482430701</v>
      </c>
      <c r="AB125">
        <f t="shared" ca="1" si="31"/>
        <v>89.48223413403872</v>
      </c>
      <c r="AC125">
        <f t="shared" ca="1" si="39"/>
        <v>83.290313889792031</v>
      </c>
      <c r="AD125">
        <f t="shared" ca="1" si="32"/>
        <v>0</v>
      </c>
      <c r="AE125">
        <f t="shared" ca="1" si="33"/>
        <v>0.56294696778764863</v>
      </c>
      <c r="AF125" s="83">
        <f ca="1"/>
        <v>45850</v>
      </c>
      <c r="AG125" s="55">
        <f t="shared" ca="1" si="43"/>
        <v>45850</v>
      </c>
      <c r="AH125" s="55">
        <f t="shared" ca="1" si="44"/>
        <v>-230.93373031923181</v>
      </c>
      <c r="AI125" s="55">
        <f t="shared" ca="1" si="45"/>
        <v>269.43636633630376</v>
      </c>
      <c r="AJ125" s="55">
        <f t="shared" ca="1" si="46"/>
        <v>0</v>
      </c>
      <c r="AK125" s="55">
        <f t="shared" ca="1" si="40"/>
        <v>0</v>
      </c>
      <c r="AL125" s="55">
        <f t="shared" ca="1" si="41"/>
        <v>81.492723063829104</v>
      </c>
      <c r="AM125" s="55">
        <f t="shared" ca="1" si="42"/>
        <v>-60.844007809348938</v>
      </c>
    </row>
    <row r="126" spans="18:39">
      <c r="R126" s="83">
        <f ca="1"/>
        <v>45627</v>
      </c>
      <c r="S126" s="55">
        <f t="shared" ca="1" si="34"/>
        <v>45627</v>
      </c>
      <c r="T126" s="55">
        <f t="shared" ca="1" si="28"/>
        <v>43.149601158206437</v>
      </c>
      <c r="U126" s="55">
        <f t="shared" ca="1" si="29"/>
        <v>19.416715797623766</v>
      </c>
      <c r="V126" s="55">
        <f t="shared" ca="1" si="30"/>
        <v>0</v>
      </c>
      <c r="W126" s="55">
        <f t="shared" ca="1" si="35"/>
        <v>-29.070728591425024</v>
      </c>
      <c r="X126" s="55">
        <f t="shared" ca="1" si="36"/>
        <v>84.960988102686443</v>
      </c>
      <c r="Y126" s="55">
        <f t="shared" ca="1" si="37"/>
        <v>14.89751283222877</v>
      </c>
      <c r="Z126" s="55">
        <f t="shared" ca="1" si="38"/>
        <v>11.007242571266325</v>
      </c>
      <c r="AB126">
        <f t="shared" ca="1" si="31"/>
        <v>92.9007457261566</v>
      </c>
      <c r="AC126">
        <f t="shared" ca="1" si="39"/>
        <v>83.290313889792031</v>
      </c>
      <c r="AD126">
        <f t="shared" ca="1" si="32"/>
        <v>0</v>
      </c>
      <c r="AE126">
        <f t="shared" ca="1" si="33"/>
        <v>0.60044538325100549</v>
      </c>
      <c r="AF126" s="83">
        <f ca="1"/>
        <v>45851</v>
      </c>
      <c r="AG126" s="55">
        <f t="shared" ca="1" si="43"/>
        <v>45851</v>
      </c>
      <c r="AH126" s="55">
        <f t="shared" ca="1" si="44"/>
        <v>-233.71813368252896</v>
      </c>
      <c r="AI126" s="55">
        <f t="shared" ca="1" si="45"/>
        <v>272.99405368116834</v>
      </c>
      <c r="AJ126" s="55">
        <f t="shared" ca="1" si="46"/>
        <v>0</v>
      </c>
      <c r="AK126" s="55">
        <f t="shared" ca="1" si="40"/>
        <v>0</v>
      </c>
      <c r="AL126" s="55">
        <f t="shared" ca="1" si="41"/>
        <v>82.093797425283483</v>
      </c>
      <c r="AM126" s="55">
        <f t="shared" ca="1" si="42"/>
        <v>-60.671798189235879</v>
      </c>
    </row>
    <row r="127" spans="18:39">
      <c r="R127" s="83">
        <f ca="1"/>
        <v>45628</v>
      </c>
      <c r="S127" s="55">
        <f t="shared" ca="1" si="34"/>
        <v>45628</v>
      </c>
      <c r="T127" s="55">
        <f t="shared" ca="1" si="28"/>
        <v>42.841046459552857</v>
      </c>
      <c r="U127" s="55">
        <f t="shared" ca="1" si="29"/>
        <v>20.600517155263265</v>
      </c>
      <c r="V127" s="55">
        <f t="shared" ca="1" si="30"/>
        <v>0</v>
      </c>
      <c r="W127" s="55">
        <f t="shared" ca="1" si="35"/>
        <v>-29.070728591425024</v>
      </c>
      <c r="X127" s="55">
        <f t="shared" ca="1" si="36"/>
        <v>85.799263152258263</v>
      </c>
      <c r="Y127" s="55">
        <f t="shared" ca="1" si="37"/>
        <v>14.934484441642873</v>
      </c>
      <c r="Z127" s="55">
        <f t="shared" ca="1" si="38"/>
        <v>11.838013576394992</v>
      </c>
      <c r="AB127">
        <f t="shared" ca="1" si="31"/>
        <v>89.679333426340676</v>
      </c>
      <c r="AC127">
        <f t="shared" ca="1" si="39"/>
        <v>83.290313889792031</v>
      </c>
      <c r="AD127">
        <f t="shared" ca="1" si="32"/>
        <v>0</v>
      </c>
      <c r="AE127">
        <f t="shared" ca="1" si="33"/>
        <v>0.63742914385859428</v>
      </c>
      <c r="AF127" s="83">
        <f ca="1"/>
        <v>45852</v>
      </c>
      <c r="AG127" s="55">
        <f t="shared" ca="1" si="43"/>
        <v>45852</v>
      </c>
      <c r="AH127" s="55">
        <f t="shared" ca="1" si="44"/>
        <v>-236.19428683337296</v>
      </c>
      <c r="AI127" s="55">
        <f t="shared" ca="1" si="45"/>
        <v>276.21413527012265</v>
      </c>
      <c r="AJ127" s="55">
        <f t="shared" ca="1" si="46"/>
        <v>0</v>
      </c>
      <c r="AK127" s="55">
        <f t="shared" ca="1" si="40"/>
        <v>0</v>
      </c>
      <c r="AL127" s="55">
        <f t="shared" ca="1" si="41"/>
        <v>82.670850350252195</v>
      </c>
      <c r="AM127" s="55">
        <f t="shared" ca="1" si="42"/>
        <v>-60.504922676094267</v>
      </c>
    </row>
    <row r="128" spans="18:39">
      <c r="R128" s="83">
        <f ca="1"/>
        <v>45629</v>
      </c>
      <c r="S128" s="55">
        <f t="shared" ca="1" si="34"/>
        <v>45629</v>
      </c>
      <c r="T128" s="55">
        <f t="shared" ca="1" si="28"/>
        <v>42.507728229235767</v>
      </c>
      <c r="U128" s="55">
        <f t="shared" ca="1" si="29"/>
        <v>21.855565382869564</v>
      </c>
      <c r="V128" s="55">
        <f t="shared" ca="1" si="30"/>
        <v>0</v>
      </c>
      <c r="W128" s="55">
        <f t="shared" ca="1" si="35"/>
        <v>-29.070728591425024</v>
      </c>
      <c r="X128" s="55">
        <f t="shared" ca="1" si="36"/>
        <v>86.685343384978523</v>
      </c>
      <c r="Y128" s="55">
        <f t="shared" ca="1" si="37"/>
        <v>14.970134206211823</v>
      </c>
      <c r="Z128" s="55">
        <f t="shared" ca="1" si="38"/>
        <v>12.550482276062986</v>
      </c>
      <c r="AB128">
        <f t="shared" ca="1" si="31"/>
        <v>94.392313076821907</v>
      </c>
      <c r="AC128">
        <f t="shared" ca="1" si="39"/>
        <v>83.290313889792031</v>
      </c>
      <c r="AD128">
        <f t="shared" ca="1" si="32"/>
        <v>0</v>
      </c>
      <c r="AE128">
        <f t="shared" ca="1" si="33"/>
        <v>0.67295764779789258</v>
      </c>
      <c r="AF128" s="83">
        <f ca="1"/>
        <v>45853</v>
      </c>
      <c r="AG128" s="55">
        <f t="shared" ca="1" si="43"/>
        <v>45853</v>
      </c>
      <c r="AH128" s="55">
        <f t="shared" ca="1" si="44"/>
        <v>-239.2042133880968</v>
      </c>
      <c r="AI128" s="55">
        <f t="shared" ca="1" si="45"/>
        <v>280.03170018345253</v>
      </c>
      <c r="AJ128" s="55">
        <f t="shared" ca="1" si="46"/>
        <v>0</v>
      </c>
      <c r="AK128" s="55">
        <f t="shared" ca="1" si="40"/>
        <v>0</v>
      </c>
      <c r="AL128" s="55">
        <f t="shared" ca="1" si="41"/>
        <v>83.301457676067074</v>
      </c>
      <c r="AM128" s="55">
        <f t="shared" ca="1" si="42"/>
        <v>-60.327891643303126</v>
      </c>
    </row>
    <row r="129" spans="18:39">
      <c r="R129" s="83">
        <f ca="1"/>
        <v>45630</v>
      </c>
      <c r="S129" s="55">
        <f t="shared" ca="1" si="34"/>
        <v>45630</v>
      </c>
      <c r="T129" s="55">
        <f t="shared" ca="1" si="28"/>
        <v>42.125739443122797</v>
      </c>
      <c r="U129" s="55">
        <f t="shared" ca="1" si="29"/>
        <v>23.167135567541163</v>
      </c>
      <c r="V129" s="55">
        <f t="shared" ca="1" si="30"/>
        <v>0</v>
      </c>
      <c r="W129" s="55">
        <f t="shared" ca="1" si="35"/>
        <v>-29.070728591425024</v>
      </c>
      <c r="X129" s="55">
        <f t="shared" ca="1" si="36"/>
        <v>87.5810851244253</v>
      </c>
      <c r="Y129" s="55">
        <f t="shared" ca="1" si="37"/>
        <v>15.003973865323685</v>
      </c>
      <c r="Z129" s="55">
        <f t="shared" ca="1" si="38"/>
        <v>13.115701846715986</v>
      </c>
      <c r="AB129">
        <f t="shared" ca="1" si="31"/>
        <v>96.687012147807565</v>
      </c>
      <c r="AC129">
        <f t="shared" ca="1" si="39"/>
        <v>83.290313889792031</v>
      </c>
      <c r="AD129">
        <f t="shared" ca="1" si="32"/>
        <v>0</v>
      </c>
      <c r="AE129">
        <f t="shared" ca="1" si="33"/>
        <v>0.70625807380542782</v>
      </c>
      <c r="AF129" s="83">
        <f ca="1"/>
        <v>45854</v>
      </c>
      <c r="AG129" s="55">
        <f t="shared" ca="1" si="43"/>
        <v>45854</v>
      </c>
      <c r="AH129" s="55">
        <f t="shared" ca="1" si="44"/>
        <v>-242.51030695760909</v>
      </c>
      <c r="AI129" s="55">
        <f t="shared" ca="1" si="45"/>
        <v>284.18738060964733</v>
      </c>
      <c r="AJ129" s="55">
        <f t="shared" ca="1" si="46"/>
        <v>0</v>
      </c>
      <c r="AK129" s="55">
        <f t="shared" ca="1" si="40"/>
        <v>0</v>
      </c>
      <c r="AL129" s="55">
        <f t="shared" ca="1" si="41"/>
        <v>83.967558277450195</v>
      </c>
      <c r="AM129" s="55">
        <f t="shared" ca="1" si="42"/>
        <v>-60.144405388003698</v>
      </c>
    </row>
    <row r="130" spans="18:39">
      <c r="R130" s="83">
        <f ca="1"/>
        <v>45631</v>
      </c>
      <c r="S130" s="55">
        <f t="shared" ca="1" si="34"/>
        <v>45631</v>
      </c>
      <c r="T130" s="55">
        <f t="shared" ca="1" si="28"/>
        <v>41.668432729759793</v>
      </c>
      <c r="U130" s="55">
        <f t="shared" ca="1" si="29"/>
        <v>24.554101290751586</v>
      </c>
      <c r="V130" s="55">
        <f t="shared" ca="1" si="30"/>
        <v>0</v>
      </c>
      <c r="W130" s="55">
        <f t="shared" ca="1" si="35"/>
        <v>-29.070728591425024</v>
      </c>
      <c r="X130" s="55">
        <f t="shared" ca="1" si="36"/>
        <v>88.4781426222075</v>
      </c>
      <c r="Y130" s="55">
        <f t="shared" ca="1" si="37"/>
        <v>15.036575377388905</v>
      </c>
      <c r="Z130" s="55">
        <f t="shared" ca="1" si="38"/>
        <v>13.869657232104231</v>
      </c>
      <c r="AB130">
        <f t="shared" ca="1" si="31"/>
        <v>96.605158434575131</v>
      </c>
      <c r="AC130">
        <f t="shared" ca="1" si="39"/>
        <v>83.290313889792031</v>
      </c>
      <c r="AD130">
        <f t="shared" ca="1" si="32"/>
        <v>0</v>
      </c>
      <c r="AE130">
        <f t="shared" ca="1" si="33"/>
        <v>0.73754472965110884</v>
      </c>
      <c r="AF130" s="83">
        <f ca="1"/>
        <v>45855</v>
      </c>
      <c r="AG130" s="55">
        <f t="shared" ca="1" si="43"/>
        <v>45855</v>
      </c>
      <c r="AH130" s="55">
        <f t="shared" ca="1" si="44"/>
        <v>-245.59259207479076</v>
      </c>
      <c r="AI130" s="55">
        <f t="shared" ca="1" si="45"/>
        <v>288.09967035057537</v>
      </c>
      <c r="AJ130" s="55">
        <f t="shared" ca="1" si="46"/>
        <v>0</v>
      </c>
      <c r="AK130" s="55">
        <f t="shared" ca="1" si="40"/>
        <v>0</v>
      </c>
      <c r="AL130" s="55">
        <f t="shared" ca="1" si="41"/>
        <v>84.617940256160892</v>
      </c>
      <c r="AM130" s="55">
        <f t="shared" ca="1" si="42"/>
        <v>-59.964782742968026</v>
      </c>
    </row>
    <row r="131" spans="18:39">
      <c r="R131" s="83">
        <f ca="1"/>
        <v>45632</v>
      </c>
      <c r="S131" s="55">
        <f t="shared" ca="1" si="34"/>
        <v>45632</v>
      </c>
      <c r="T131" s="55">
        <f t="shared" ca="1" si="28"/>
        <v>41.145463575774642</v>
      </c>
      <c r="U131" s="55">
        <f t="shared" ca="1" si="29"/>
        <v>25.970697551406133</v>
      </c>
      <c r="V131" s="55">
        <f t="shared" ca="1" si="30"/>
        <v>0</v>
      </c>
      <c r="W131" s="55">
        <f t="shared" ca="1" si="35"/>
        <v>-29.070728591425024</v>
      </c>
      <c r="X131" s="55">
        <f t="shared" ca="1" si="36"/>
        <v>89.341513990277079</v>
      </c>
      <c r="Y131" s="55">
        <f t="shared" ca="1" si="37"/>
        <v>15.066831115988712</v>
      </c>
      <c r="Z131" s="55">
        <f t="shared" ca="1" si="38"/>
        <v>14.16596260654547</v>
      </c>
      <c r="AB131">
        <f t="shared" ca="1" si="31"/>
        <v>96.870707934427756</v>
      </c>
      <c r="AC131">
        <f t="shared" ca="1" si="39"/>
        <v>83.290313889792031</v>
      </c>
      <c r="AD131">
        <f t="shared" ca="1" si="32"/>
        <v>0</v>
      </c>
      <c r="AE131">
        <f t="shared" ca="1" si="33"/>
        <v>0.76572917336794921</v>
      </c>
      <c r="AF131" s="83">
        <f ca="1"/>
        <v>45856</v>
      </c>
      <c r="AG131" s="55">
        <f t="shared" ca="1" si="43"/>
        <v>45856</v>
      </c>
      <c r="AH131" s="55">
        <f t="shared" ca="1" si="44"/>
        <v>-248.38601729866042</v>
      </c>
      <c r="AI131" s="55">
        <f t="shared" ca="1" si="45"/>
        <v>291.69501065147386</v>
      </c>
      <c r="AJ131" s="55">
        <f t="shared" ca="1" si="46"/>
        <v>0</v>
      </c>
      <c r="AK131" s="55">
        <f t="shared" ca="1" si="40"/>
        <v>0</v>
      </c>
      <c r="AL131" s="55">
        <f t="shared" ca="1" si="41"/>
        <v>85.245492691565431</v>
      </c>
      <c r="AM131" s="55">
        <f t="shared" ca="1" si="42"/>
        <v>-59.790420101343742</v>
      </c>
    </row>
    <row r="132" spans="18:39">
      <c r="R132" s="83">
        <f ca="1"/>
        <v>45633</v>
      </c>
      <c r="S132" s="55">
        <f t="shared" ca="1" si="34"/>
        <v>45633</v>
      </c>
      <c r="T132" s="55">
        <f t="shared" ca="1" si="28"/>
        <v>40.524044772893603</v>
      </c>
      <c r="U132" s="55">
        <f t="shared" ca="1" si="29"/>
        <v>27.457408031693305</v>
      </c>
      <c r="V132" s="55">
        <f t="shared" ca="1" si="30"/>
        <v>0</v>
      </c>
      <c r="W132" s="55">
        <f t="shared" ca="1" si="35"/>
        <v>-29.070728591425024</v>
      </c>
      <c r="X132" s="55">
        <f t="shared" ca="1" si="36"/>
        <v>90.177772671004348</v>
      </c>
      <c r="Y132" s="55">
        <f t="shared" ca="1" si="37"/>
        <v>15.095864112667588</v>
      </c>
      <c r="Z132" s="55">
        <f t="shared" ca="1" si="38"/>
        <v>14.867104802871722</v>
      </c>
      <c r="AB132">
        <f t="shared" ca="1" si="31"/>
        <v>94.302764708634754</v>
      </c>
      <c r="AC132">
        <f t="shared" ca="1" si="39"/>
        <v>83.290313889792031</v>
      </c>
      <c r="AD132">
        <f t="shared" ca="1" si="32"/>
        <v>0</v>
      </c>
      <c r="AE132">
        <f t="shared" ca="1" si="33"/>
        <v>0.79166448695638558</v>
      </c>
      <c r="AF132" s="83">
        <f ca="1"/>
        <v>45857</v>
      </c>
      <c r="AG132" s="55">
        <f t="shared" ca="1" si="43"/>
        <v>45857</v>
      </c>
      <c r="AH132" s="55">
        <f t="shared" ca="1" si="44"/>
        <v>-251.04197437738486</v>
      </c>
      <c r="AI132" s="55">
        <f t="shared" ca="1" si="45"/>
        <v>295.14269644505504</v>
      </c>
      <c r="AJ132" s="55">
        <f t="shared" ca="1" si="46"/>
        <v>0</v>
      </c>
      <c r="AK132" s="55">
        <f t="shared" ca="1" si="40"/>
        <v>0</v>
      </c>
      <c r="AL132" s="55">
        <f t="shared" ca="1" si="41"/>
        <v>85.865146438176751</v>
      </c>
      <c r="AM132" s="55">
        <f t="shared" ca="1" si="42"/>
        <v>-59.618345133098352</v>
      </c>
    </row>
    <row r="133" spans="18:39">
      <c r="R133" s="83">
        <f ca="1"/>
        <v>45634</v>
      </c>
      <c r="S133" s="55">
        <f t="shared" ca="1" si="34"/>
        <v>45634</v>
      </c>
      <c r="T133" s="55">
        <f t="shared" ca="1" si="28"/>
        <v>39.768660684252175</v>
      </c>
      <c r="U133" s="55">
        <f t="shared" ca="1" si="29"/>
        <v>29.067455290341606</v>
      </c>
      <c r="V133" s="55">
        <f t="shared" ca="1" si="30"/>
        <v>0</v>
      </c>
      <c r="W133" s="55">
        <f t="shared" ca="1" si="35"/>
        <v>-29.070728591425024</v>
      </c>
      <c r="X133" s="55">
        <f t="shared" ca="1" si="36"/>
        <v>91.00358694441762</v>
      </c>
      <c r="Y133" s="55">
        <f t="shared" ca="1" si="37"/>
        <v>15.124713009261196</v>
      </c>
      <c r="Z133" s="55">
        <f t="shared" ca="1" si="38"/>
        <v>16.100472586483008</v>
      </c>
      <c r="AB133">
        <f t="shared" ca="1" si="31"/>
        <v>89.816765058168315</v>
      </c>
      <c r="AC133">
        <f t="shared" ca="1" si="39"/>
        <v>83.290313889792031</v>
      </c>
      <c r="AD133">
        <f t="shared" ca="1" si="32"/>
        <v>0</v>
      </c>
      <c r="AE133">
        <f t="shared" ca="1" si="33"/>
        <v>0.81606719914427406</v>
      </c>
      <c r="AF133" s="83">
        <f ca="1"/>
        <v>45858</v>
      </c>
      <c r="AG133" s="55">
        <f t="shared" ca="1" si="43"/>
        <v>45858</v>
      </c>
      <c r="AH133" s="55">
        <f t="shared" ca="1" si="44"/>
        <v>-253.91320727819317</v>
      </c>
      <c r="AI133" s="55">
        <f t="shared" ca="1" si="45"/>
        <v>298.8401731170095</v>
      </c>
      <c r="AJ133" s="55">
        <f t="shared" ca="1" si="46"/>
        <v>0</v>
      </c>
      <c r="AK133" s="55">
        <f t="shared" ca="1" si="40"/>
        <v>0</v>
      </c>
      <c r="AL133" s="55">
        <f t="shared" ca="1" si="41"/>
        <v>86.514281161886359</v>
      </c>
      <c r="AM133" s="55">
        <f t="shared" ca="1" si="42"/>
        <v>-59.441236085661799</v>
      </c>
    </row>
    <row r="134" spans="18:39">
      <c r="R134" s="83">
        <f ca="1"/>
        <v>45635</v>
      </c>
      <c r="S134" s="55">
        <f t="shared" ca="1" si="34"/>
        <v>45635</v>
      </c>
      <c r="T134" s="55">
        <f t="shared" ca="1" si="28"/>
        <v>38.915970485666733</v>
      </c>
      <c r="U134" s="55">
        <f t="shared" ca="1" si="29"/>
        <v>30.753483726611314</v>
      </c>
      <c r="V134" s="55">
        <f t="shared" ca="1" si="30"/>
        <v>0</v>
      </c>
      <c r="W134" s="55">
        <f t="shared" ca="1" si="35"/>
        <v>-29.070728591425024</v>
      </c>
      <c r="X134" s="55">
        <f t="shared" ca="1" si="36"/>
        <v>91.809342639250659</v>
      </c>
      <c r="Y134" s="55">
        <f t="shared" ca="1" si="37"/>
        <v>15.15229555211242</v>
      </c>
      <c r="Z134" s="55">
        <f t="shared" ca="1" si="38"/>
        <v>16.860284362697087</v>
      </c>
      <c r="AB134">
        <f t="shared" ca="1" si="31"/>
        <v>88.225362798279249</v>
      </c>
      <c r="AC134">
        <f t="shared" ca="1" si="39"/>
        <v>83.290313889792031</v>
      </c>
      <c r="AD134">
        <f t="shared" ca="1" si="32"/>
        <v>0</v>
      </c>
      <c r="AE134">
        <f t="shared" ca="1" si="33"/>
        <v>0.83808161163427952</v>
      </c>
      <c r="AF134" s="83">
        <f ca="1"/>
        <v>45859</v>
      </c>
      <c r="AG134" s="55">
        <f t="shared" ca="1" si="43"/>
        <v>45859</v>
      </c>
      <c r="AH134" s="55">
        <f t="shared" ca="1" si="44"/>
        <v>-256.43739393082751</v>
      </c>
      <c r="AI134" s="55">
        <f t="shared" ca="1" si="45"/>
        <v>302.15381490938796</v>
      </c>
      <c r="AJ134" s="55">
        <f t="shared" ca="1" si="46"/>
        <v>0</v>
      </c>
      <c r="AK134" s="55">
        <f t="shared" ca="1" si="40"/>
        <v>0</v>
      </c>
      <c r="AL134" s="55">
        <f t="shared" ca="1" si="41"/>
        <v>87.13332994841339</v>
      </c>
      <c r="AM134" s="55">
        <f t="shared" ca="1" si="42"/>
        <v>-59.270829732444689</v>
      </c>
    </row>
    <row r="135" spans="18:39">
      <c r="R135" s="83">
        <f ca="1"/>
        <v>45636</v>
      </c>
      <c r="S135" s="55">
        <f t="shared" ca="1" si="34"/>
        <v>45636</v>
      </c>
      <c r="T135" s="55">
        <f t="shared" ca="1" si="28"/>
        <v>37.905505142687382</v>
      </c>
      <c r="U135" s="55">
        <f t="shared" ca="1" si="29"/>
        <v>32.58707374727669</v>
      </c>
      <c r="V135" s="55">
        <f t="shared" ca="1" si="30"/>
        <v>0</v>
      </c>
      <c r="W135" s="55">
        <f t="shared" ca="1" si="35"/>
        <v>-29.070728591425024</v>
      </c>
      <c r="X135" s="55">
        <f t="shared" ca="1" si="36"/>
        <v>92.604932480331414</v>
      </c>
      <c r="Y135" s="55">
        <f t="shared" ca="1" si="37"/>
        <v>15.179830388717694</v>
      </c>
      <c r="Z135" s="55">
        <f t="shared" ca="1" si="38"/>
        <v>18.335900206653761</v>
      </c>
      <c r="AB135">
        <f t="shared" ca="1" si="31"/>
        <v>83.243541657263549</v>
      </c>
      <c r="AC135">
        <f t="shared" ca="1" si="39"/>
        <v>83.290313889792031</v>
      </c>
      <c r="AD135">
        <f t="shared" ca="1" si="32"/>
        <v>0</v>
      </c>
      <c r="AE135">
        <f t="shared" ca="1" si="33"/>
        <v>0.85853427800876092</v>
      </c>
      <c r="AF135" s="83">
        <f ca="1"/>
        <v>45860</v>
      </c>
      <c r="AG135" s="55">
        <f t="shared" ca="1" si="43"/>
        <v>45860</v>
      </c>
      <c r="AH135" s="55">
        <f t="shared" ca="1" si="44"/>
        <v>-259.21739180498332</v>
      </c>
      <c r="AI135" s="55">
        <f t="shared" ca="1" si="45"/>
        <v>305.76511782388434</v>
      </c>
      <c r="AJ135" s="55">
        <f t="shared" ca="1" si="46"/>
        <v>0</v>
      </c>
      <c r="AK135" s="55">
        <f t="shared" ca="1" si="40"/>
        <v>0</v>
      </c>
      <c r="AL135" s="55">
        <f t="shared" ca="1" si="41"/>
        <v>87.78808924950124</v>
      </c>
      <c r="AM135" s="55">
        <f t="shared" ca="1" si="42"/>
        <v>-59.094283993191986</v>
      </c>
    </row>
    <row r="136" spans="18:39">
      <c r="R136" s="83">
        <f ca="1"/>
        <v>45637</v>
      </c>
      <c r="S136" s="55">
        <f t="shared" ca="1" si="34"/>
        <v>45637</v>
      </c>
      <c r="T136" s="55">
        <f t="shared" ca="1" si="28"/>
        <v>36.743934816573386</v>
      </c>
      <c r="U136" s="55">
        <f t="shared" ca="1" si="29"/>
        <v>34.571776103187339</v>
      </c>
      <c r="V136" s="55">
        <f t="shared" ca="1" si="30"/>
        <v>0</v>
      </c>
      <c r="W136" s="55">
        <f t="shared" ca="1" si="35"/>
        <v>-29.070728591425024</v>
      </c>
      <c r="X136" s="55">
        <f t="shared" ca="1" si="36"/>
        <v>93.400764001906481</v>
      </c>
      <c r="Y136" s="55">
        <f t="shared" ca="1" si="37"/>
        <v>15.207130896939278</v>
      </c>
      <c r="Z136" s="55">
        <f t="shared" ca="1" si="38"/>
        <v>19.847023559106489</v>
      </c>
      <c r="AB136">
        <f t="shared" ca="1" si="31"/>
        <v>80.071824453769977</v>
      </c>
      <c r="AC136">
        <f t="shared" ca="1" si="39"/>
        <v>83.290313889792031</v>
      </c>
      <c r="AD136">
        <f t="shared" ca="1" si="32"/>
        <v>0</v>
      </c>
      <c r="AE136">
        <f t="shared" ca="1" si="33"/>
        <v>0.87724723049260167</v>
      </c>
      <c r="AF136" s="83">
        <f ca="1"/>
        <v>45861</v>
      </c>
      <c r="AG136" s="55">
        <f t="shared" ca="1" si="43"/>
        <v>45861</v>
      </c>
      <c r="AH136" s="55">
        <f t="shared" ca="1" si="44"/>
        <v>-261.84538065918213</v>
      </c>
      <c r="AI136" s="55">
        <f t="shared" ca="1" si="45"/>
        <v>309.21308882505662</v>
      </c>
      <c r="AJ136" s="55">
        <f t="shared" ca="1" si="46"/>
        <v>0</v>
      </c>
      <c r="AK136" s="55">
        <f t="shared" ca="1" si="40"/>
        <v>0</v>
      </c>
      <c r="AL136" s="55">
        <f t="shared" ca="1" si="41"/>
        <v>88.434112458724329</v>
      </c>
      <c r="AM136" s="55">
        <f t="shared" ca="1" si="42"/>
        <v>-58.920325055441609</v>
      </c>
    </row>
    <row r="137" spans="18:39">
      <c r="R137" s="83">
        <f ca="1"/>
        <v>45638</v>
      </c>
      <c r="S137" s="55">
        <f t="shared" ca="1" si="34"/>
        <v>45638</v>
      </c>
      <c r="T137" s="55">
        <f t="shared" ca="1" si="28"/>
        <v>35.454303136052424</v>
      </c>
      <c r="U137" s="55">
        <f t="shared" ca="1" si="29"/>
        <v>36.635194299073042</v>
      </c>
      <c r="V137" s="55">
        <f t="shared" ca="1" si="30"/>
        <v>0</v>
      </c>
      <c r="W137" s="55">
        <f t="shared" ca="1" si="35"/>
        <v>-29.070728591425024</v>
      </c>
      <c r="X137" s="55">
        <f t="shared" ca="1" si="36"/>
        <v>94.148751843059301</v>
      </c>
      <c r="Y137" s="55">
        <f t="shared" ca="1" si="37"/>
        <v>15.232929571151191</v>
      </c>
      <c r="Z137" s="55">
        <f t="shared" ca="1" si="38"/>
        <v>20.634181958857027</v>
      </c>
      <c r="AB137">
        <f t="shared" ca="1" si="31"/>
        <v>76.080666854117638</v>
      </c>
      <c r="AC137">
        <f t="shared" ca="1" si="39"/>
        <v>83.290313889792031</v>
      </c>
      <c r="AD137">
        <f t="shared" ca="1" si="32"/>
        <v>0</v>
      </c>
      <c r="AE137">
        <f t="shared" ca="1" si="33"/>
        <v>0.89358674493291612</v>
      </c>
      <c r="AF137" s="83">
        <f ca="1"/>
        <v>45862</v>
      </c>
      <c r="AG137" s="55">
        <f t="shared" ca="1" si="43"/>
        <v>45862</v>
      </c>
      <c r="AH137" s="55">
        <f t="shared" ca="1" si="44"/>
        <v>-264.41948298358881</v>
      </c>
      <c r="AI137" s="55">
        <f t="shared" ca="1" si="45"/>
        <v>312.60923825723438</v>
      </c>
      <c r="AJ137" s="55">
        <f t="shared" ca="1" si="46"/>
        <v>0</v>
      </c>
      <c r="AK137" s="55">
        <f t="shared" ca="1" si="40"/>
        <v>0</v>
      </c>
      <c r="AL137" s="55">
        <f t="shared" ca="1" si="41"/>
        <v>89.082624122735766</v>
      </c>
      <c r="AM137" s="55">
        <f t="shared" ca="1" si="42"/>
        <v>-58.746789611681969</v>
      </c>
    </row>
    <row r="138" spans="18:39">
      <c r="R138" s="83">
        <f ca="1"/>
        <v>45639</v>
      </c>
      <c r="S138" s="55">
        <f t="shared" ca="1" si="34"/>
        <v>45639</v>
      </c>
      <c r="T138" s="55">
        <f t="shared" ca="1" si="28"/>
        <v>34.064454328070887</v>
      </c>
      <c r="U138" s="55">
        <f t="shared" ca="1" si="29"/>
        <v>38.796327527359075</v>
      </c>
      <c r="V138" s="55">
        <f t="shared" ca="1" si="30"/>
        <v>0</v>
      </c>
      <c r="W138" s="55">
        <f t="shared" ca="1" si="35"/>
        <v>-29.070728591425024</v>
      </c>
      <c r="X138" s="55">
        <f t="shared" ca="1" si="36"/>
        <v>94.895388216493984</v>
      </c>
      <c r="Y138" s="55">
        <f t="shared" ca="1" si="37"/>
        <v>15.25757761802101</v>
      </c>
      <c r="Z138" s="55">
        <f t="shared" ca="1" si="38"/>
        <v>21.611332282860332</v>
      </c>
      <c r="AB138">
        <f t="shared" ca="1" si="31"/>
        <v>76.473394857888451</v>
      </c>
      <c r="AC138">
        <f t="shared" ca="1" si="39"/>
        <v>83.290313889792031</v>
      </c>
      <c r="AD138">
        <f t="shared" ca="1" si="32"/>
        <v>0</v>
      </c>
      <c r="AE138">
        <f t="shared" ca="1" si="33"/>
        <v>0.90791694505336695</v>
      </c>
      <c r="AF138" s="83">
        <f ca="1"/>
        <v>45863</v>
      </c>
      <c r="AG138" s="55">
        <f t="shared" ca="1" si="43"/>
        <v>45863</v>
      </c>
      <c r="AH138" s="55">
        <f t="shared" ca="1" si="44"/>
        <v>-266.62799770879184</v>
      </c>
      <c r="AI138" s="55">
        <f t="shared" ca="1" si="45"/>
        <v>315.59730900186992</v>
      </c>
      <c r="AJ138" s="55">
        <f t="shared" ca="1" si="46"/>
        <v>0</v>
      </c>
      <c r="AK138" s="55">
        <f t="shared" ca="1" si="40"/>
        <v>0</v>
      </c>
      <c r="AL138" s="55">
        <f t="shared" ca="1" si="41"/>
        <v>89.69624516328561</v>
      </c>
      <c r="AM138" s="55">
        <f t="shared" ca="1" si="42"/>
        <v>-58.580854632799308</v>
      </c>
    </row>
    <row r="139" spans="18:39">
      <c r="R139" s="83">
        <f ca="1"/>
        <v>45640</v>
      </c>
      <c r="S139" s="55">
        <f t="shared" ca="1" si="34"/>
        <v>45640</v>
      </c>
      <c r="T139" s="55">
        <f t="shared" ca="1" si="28"/>
        <v>32.554268029497862</v>
      </c>
      <c r="U139" s="55">
        <f t="shared" ca="1" si="29"/>
        <v>41.046586518263638</v>
      </c>
      <c r="V139" s="55">
        <f t="shared" ca="1" si="30"/>
        <v>0</v>
      </c>
      <c r="W139" s="55">
        <f t="shared" ca="1" si="35"/>
        <v>-29.070728591425024</v>
      </c>
      <c r="X139" s="55">
        <f t="shared" ca="1" si="36"/>
        <v>95.612031694069685</v>
      </c>
      <c r="Y139" s="55">
        <f t="shared" ca="1" si="37"/>
        <v>15.281006832776848</v>
      </c>
      <c r="Z139" s="55">
        <f t="shared" ca="1" si="38"/>
        <v>22.502589909045625</v>
      </c>
      <c r="AB139">
        <f t="shared" ca="1" si="31"/>
        <v>73.900731798862637</v>
      </c>
      <c r="AC139">
        <f t="shared" ca="1" si="39"/>
        <v>83.290313889792031</v>
      </c>
      <c r="AD139">
        <f t="shared" ca="1" si="32"/>
        <v>0</v>
      </c>
      <c r="AE139">
        <f t="shared" ca="1" si="33"/>
        <v>0.92037950628389154</v>
      </c>
      <c r="AF139" s="83">
        <f ca="1"/>
        <v>45864</v>
      </c>
      <c r="AG139" s="55">
        <f t="shared" ca="1" si="43"/>
        <v>45864</v>
      </c>
      <c r="AH139" s="55">
        <f t="shared" ca="1" si="44"/>
        <v>-268.72467150853595</v>
      </c>
      <c r="AI139" s="55">
        <f t="shared" ca="1" si="45"/>
        <v>318.46552571959717</v>
      </c>
      <c r="AJ139" s="55">
        <f t="shared" ca="1" si="46"/>
        <v>0</v>
      </c>
      <c r="AK139" s="55">
        <f t="shared" ca="1" si="40"/>
        <v>0</v>
      </c>
      <c r="AL139" s="55">
        <f t="shared" ca="1" si="41"/>
        <v>90.303871002572563</v>
      </c>
      <c r="AM139" s="55">
        <f t="shared" ca="1" si="42"/>
        <v>-58.416937554103079</v>
      </c>
    </row>
    <row r="140" spans="18:39">
      <c r="R140" s="83">
        <f ca="1"/>
        <v>45641</v>
      </c>
      <c r="S140" s="55">
        <f t="shared" ca="1" si="34"/>
        <v>45641</v>
      </c>
      <c r="T140" s="55">
        <f t="shared" ca="1" si="28"/>
        <v>30.943083518086958</v>
      </c>
      <c r="U140" s="55">
        <f t="shared" ca="1" si="29"/>
        <v>43.423432914852</v>
      </c>
      <c r="V140" s="55">
        <f t="shared" ca="1" si="30"/>
        <v>0</v>
      </c>
      <c r="W140" s="55">
        <f t="shared" ca="1" si="35"/>
        <v>-29.070728591425024</v>
      </c>
      <c r="X140" s="55">
        <f t="shared" ca="1" si="36"/>
        <v>96.355013042261888</v>
      </c>
      <c r="Y140" s="55">
        <f t="shared" ca="1" si="37"/>
        <v>15.303687369762111</v>
      </c>
      <c r="Z140" s="55">
        <f t="shared" ca="1" si="38"/>
        <v>23.768463965883626</v>
      </c>
      <c r="AB140">
        <f t="shared" ca="1" si="31"/>
        <v>76.449430015473766</v>
      </c>
      <c r="AC140">
        <f t="shared" ca="1" si="39"/>
        <v>83.290313889792031</v>
      </c>
      <c r="AD140">
        <f t="shared" ca="1" si="32"/>
        <v>0</v>
      </c>
      <c r="AE140">
        <f t="shared" ca="1" si="33"/>
        <v>0.93134285293353636</v>
      </c>
      <c r="AF140" s="83">
        <f ca="1"/>
        <v>45865</v>
      </c>
      <c r="AG140" s="55">
        <f t="shared" ca="1" si="43"/>
        <v>45865</v>
      </c>
      <c r="AH140" s="55">
        <f t="shared" ca="1" si="44"/>
        <v>-270.96468100859533</v>
      </c>
      <c r="AI140" s="55">
        <f t="shared" ca="1" si="45"/>
        <v>321.50642524896284</v>
      </c>
      <c r="AJ140" s="55">
        <f t="shared" ca="1" si="46"/>
        <v>0</v>
      </c>
      <c r="AK140" s="55">
        <f t="shared" ca="1" si="40"/>
        <v>0</v>
      </c>
      <c r="AL140" s="55">
        <f t="shared" ca="1" si="41"/>
        <v>90.936929021937289</v>
      </c>
      <c r="AM140" s="55">
        <f t="shared" ca="1" si="42"/>
        <v>-58.249105544161544</v>
      </c>
    </row>
    <row r="141" spans="18:39">
      <c r="R141" s="83">
        <f ca="1"/>
        <v>45642</v>
      </c>
      <c r="S141" s="55">
        <f t="shared" ca="1" si="34"/>
        <v>45642</v>
      </c>
      <c r="T141" s="55">
        <f t="shared" ca="1" si="28"/>
        <v>29.221154598849331</v>
      </c>
      <c r="U141" s="55">
        <f t="shared" ca="1" si="29"/>
        <v>45.923479654789055</v>
      </c>
      <c r="V141" s="55">
        <f t="shared" ca="1" si="30"/>
        <v>0</v>
      </c>
      <c r="W141" s="55">
        <f t="shared" ca="1" si="35"/>
        <v>-29.070728591425024</v>
      </c>
      <c r="X141" s="55">
        <f t="shared" ca="1" si="36"/>
        <v>97.111267420941672</v>
      </c>
      <c r="Y141" s="55">
        <f t="shared" ca="1" si="37"/>
        <v>15.325550811781753</v>
      </c>
      <c r="Z141" s="55">
        <f t="shared" ca="1" si="38"/>
        <v>25.00046739937055</v>
      </c>
      <c r="AB141">
        <f t="shared" ca="1" si="31"/>
        <v>77.76419216211255</v>
      </c>
      <c r="AC141">
        <f t="shared" ca="1" si="39"/>
        <v>83.290313889792031</v>
      </c>
      <c r="AD141">
        <f t="shared" ca="1" si="32"/>
        <v>0</v>
      </c>
      <c r="AE141">
        <f t="shared" ca="1" si="33"/>
        <v>0.94091434404998298</v>
      </c>
      <c r="AF141" s="83">
        <f ca="1"/>
        <v>45866</v>
      </c>
      <c r="AG141" s="55">
        <f t="shared" ca="1" si="43"/>
        <v>45866</v>
      </c>
      <c r="AH141" s="55">
        <f t="shared" ca="1" si="44"/>
        <v>-273.17613925472409</v>
      </c>
      <c r="AI141" s="55">
        <f t="shared" ca="1" si="45"/>
        <v>324.52439119868478</v>
      </c>
      <c r="AJ141" s="55">
        <f t="shared" ca="1" si="46"/>
        <v>0</v>
      </c>
      <c r="AK141" s="55">
        <f t="shared" ca="1" si="40"/>
        <v>0</v>
      </c>
      <c r="AL141" s="55">
        <f t="shared" ca="1" si="41"/>
        <v>91.575523161686931</v>
      </c>
      <c r="AM141" s="55">
        <f t="shared" ca="1" si="42"/>
        <v>-58.081191980318039</v>
      </c>
    </row>
    <row r="142" spans="18:39">
      <c r="R142" s="83">
        <f ca="1"/>
        <v>45643</v>
      </c>
      <c r="S142" s="55">
        <f t="shared" ca="1" si="34"/>
        <v>45643</v>
      </c>
      <c r="T142" s="55">
        <f t="shared" ca="1" si="28"/>
        <v>27.415134924589371</v>
      </c>
      <c r="U142" s="55">
        <f t="shared" ca="1" si="29"/>
        <v>48.497816257620819</v>
      </c>
      <c r="V142" s="55">
        <f t="shared" ca="1" si="30"/>
        <v>0</v>
      </c>
      <c r="W142" s="55">
        <f t="shared" ca="1" si="35"/>
        <v>-29.070728591425024</v>
      </c>
      <c r="X142" s="55">
        <f t="shared" ca="1" si="36"/>
        <v>97.85898939367766</v>
      </c>
      <c r="Y142" s="55">
        <f t="shared" ca="1" si="37"/>
        <v>15.346145767617571</v>
      </c>
      <c r="Z142" s="55">
        <f t="shared" ca="1" si="38"/>
        <v>25.743366028317638</v>
      </c>
      <c r="AB142">
        <f t="shared" ca="1" si="31"/>
        <v>78.841004568235846</v>
      </c>
      <c r="AC142">
        <f t="shared" ca="1" si="39"/>
        <v>83.290313889792031</v>
      </c>
      <c r="AD142">
        <f t="shared" ca="1" si="32"/>
        <v>0</v>
      </c>
      <c r="AE142">
        <f t="shared" ca="1" si="33"/>
        <v>0.94908884922448833</v>
      </c>
      <c r="AF142" s="83">
        <f ca="1"/>
        <v>45867</v>
      </c>
      <c r="AG142" s="55">
        <f t="shared" ca="1" si="43"/>
        <v>45867</v>
      </c>
      <c r="AH142" s="55">
        <f t="shared" ca="1" si="44"/>
        <v>-275.40074389002723</v>
      </c>
      <c r="AI142" s="55">
        <f t="shared" ca="1" si="45"/>
        <v>327.56850746517893</v>
      </c>
      <c r="AJ142" s="55">
        <f t="shared" ca="1" si="46"/>
        <v>0</v>
      </c>
      <c r="AK142" s="55">
        <f t="shared" ca="1" si="40"/>
        <v>0</v>
      </c>
      <c r="AL142" s="55">
        <f t="shared" ca="1" si="41"/>
        <v>92.225905140397629</v>
      </c>
      <c r="AM142" s="55">
        <f t="shared" ca="1" si="42"/>
        <v>-57.912062327837702</v>
      </c>
    </row>
    <row r="143" spans="18:39">
      <c r="R143" s="83">
        <f ca="1"/>
        <v>45644</v>
      </c>
      <c r="S143" s="55">
        <f t="shared" ca="1" si="34"/>
        <v>45644</v>
      </c>
      <c r="T143" s="55">
        <f t="shared" ca="1" si="28"/>
        <v>100.94891813164588</v>
      </c>
      <c r="U143" s="55">
        <f t="shared" ca="1" si="29"/>
        <v>51.22167143462557</v>
      </c>
      <c r="V143" s="55">
        <f t="shared" ca="1" si="30"/>
        <v>75.476037240937032</v>
      </c>
      <c r="W143" s="55">
        <f t="shared" ca="1" si="35"/>
        <v>-29.070728591425024</v>
      </c>
      <c r="X143" s="55">
        <f t="shared" ca="1" si="36"/>
        <v>98.620527918015682</v>
      </c>
      <c r="Y143" s="55">
        <f t="shared" ca="1" si="37"/>
        <v>15.366208386403775</v>
      </c>
      <c r="Z143" s="55">
        <f t="shared" ca="1" si="38"/>
        <v>27.238551770047508</v>
      </c>
      <c r="AB143">
        <f t="shared" ca="1" si="31"/>
        <v>79.228076950146786</v>
      </c>
      <c r="AC143">
        <f t="shared" ca="1" si="39"/>
        <v>83.290313889792031</v>
      </c>
      <c r="AD143">
        <f t="shared" ca="1" si="32"/>
        <v>0</v>
      </c>
      <c r="AE143">
        <f t="shared" ca="1" si="33"/>
        <v>0.95625553435042421</v>
      </c>
      <c r="AF143" s="83">
        <f ca="1"/>
        <v>45868</v>
      </c>
      <c r="AG143" s="55">
        <f t="shared" ca="1" si="43"/>
        <v>45868</v>
      </c>
      <c r="AH143" s="55">
        <f t="shared" ca="1" si="44"/>
        <v>-277.54260767543531</v>
      </c>
      <c r="AI143" s="55">
        <f t="shared" ca="1" si="45"/>
        <v>330.52810848330159</v>
      </c>
      <c r="AJ143" s="55">
        <f t="shared" ca="1" si="46"/>
        <v>0</v>
      </c>
      <c r="AK143" s="55">
        <f t="shared" ca="1" si="40"/>
        <v>0</v>
      </c>
      <c r="AL143" s="55">
        <f t="shared" ca="1" si="41"/>
        <v>92.875663302321158</v>
      </c>
      <c r="AM143" s="55">
        <f t="shared" ca="1" si="42"/>
        <v>-57.744083257046633</v>
      </c>
    </row>
    <row r="144" spans="18:39">
      <c r="R144" s="83">
        <f ca="1"/>
        <v>45645</v>
      </c>
      <c r="S144" s="55">
        <f t="shared" ca="1" si="34"/>
        <v>45645</v>
      </c>
      <c r="T144" s="55">
        <f t="shared" ca="1" si="28"/>
        <v>98.808315611903438</v>
      </c>
      <c r="U144" s="55">
        <f t="shared" ca="1" si="29"/>
        <v>54.119060147203392</v>
      </c>
      <c r="V144" s="55">
        <f t="shared" ca="1" si="30"/>
        <v>0</v>
      </c>
      <c r="W144" s="55">
        <f t="shared" ca="1" si="35"/>
        <v>-29.070728591425024</v>
      </c>
      <c r="X144" s="55">
        <f t="shared" ca="1" si="36"/>
        <v>99.357643383296306</v>
      </c>
      <c r="Y144" s="55">
        <f t="shared" ca="1" si="37"/>
        <v>15.385879113958529</v>
      </c>
      <c r="Z144" s="55">
        <f t="shared" ca="1" si="38"/>
        <v>28.973887125778219</v>
      </c>
      <c r="AB144">
        <f t="shared" ca="1" si="31"/>
        <v>74.348218184105122</v>
      </c>
      <c r="AC144">
        <f t="shared" ca="1" si="39"/>
        <v>83.290313889792031</v>
      </c>
      <c r="AD144">
        <f t="shared" ca="1" si="32"/>
        <v>0</v>
      </c>
      <c r="AE144">
        <f t="shared" ca="1" si="33"/>
        <v>0.96254778428432752</v>
      </c>
      <c r="AF144" s="83">
        <f ca="1"/>
        <v>45869</v>
      </c>
      <c r="AG144" s="55">
        <f t="shared" ca="1" si="43"/>
        <v>45869</v>
      </c>
      <c r="AH144" s="55">
        <f t="shared" ca="1" si="44"/>
        <v>-279.6449769312697</v>
      </c>
      <c r="AI144" s="55">
        <f t="shared" ca="1" si="45"/>
        <v>333.45383436451976</v>
      </c>
      <c r="AJ144" s="55">
        <f t="shared" ca="1" si="46"/>
        <v>0</v>
      </c>
      <c r="AK144" s="55">
        <f t="shared" ca="1" si="40"/>
        <v>0</v>
      </c>
      <c r="AL144" s="55">
        <f t="shared" ca="1" si="41"/>
        <v>93.531049450843824</v>
      </c>
      <c r="AM144" s="55">
        <f t="shared" ca="1" si="42"/>
        <v>-57.576112780185547</v>
      </c>
    </row>
    <row r="145" spans="18:39">
      <c r="R145" s="83">
        <f ca="1"/>
        <v>45646</v>
      </c>
      <c r="S145" s="55">
        <f t="shared" ca="1" si="34"/>
        <v>45646</v>
      </c>
      <c r="T145" s="55">
        <f t="shared" ca="1" si="28"/>
        <v>96.531449798814776</v>
      </c>
      <c r="U145" s="55">
        <f t="shared" ca="1" si="29"/>
        <v>57.14907419884662</v>
      </c>
      <c r="V145" s="55">
        <f t="shared" ca="1" si="30"/>
        <v>0</v>
      </c>
      <c r="W145" s="55">
        <f t="shared" ca="1" si="35"/>
        <v>-29.070728591425024</v>
      </c>
      <c r="X145" s="55">
        <f t="shared" ca="1" si="36"/>
        <v>100.09188005598725</v>
      </c>
      <c r="Y145" s="55">
        <f t="shared" ca="1" si="37"/>
        <v>15.404790679822169</v>
      </c>
      <c r="Z145" s="55">
        <f t="shared" ca="1" si="38"/>
        <v>30.300140516432279</v>
      </c>
      <c r="AB145">
        <f t="shared" ca="1" si="31"/>
        <v>73.996307315156628</v>
      </c>
      <c r="AC145">
        <f t="shared" ca="1" si="39"/>
        <v>83.290313889792031</v>
      </c>
      <c r="AD145">
        <f t="shared" ca="1" si="32"/>
        <v>0</v>
      </c>
      <c r="AE145">
        <f t="shared" ca="1" si="33"/>
        <v>0.96796527084037176</v>
      </c>
      <c r="AF145" s="83">
        <f ca="1"/>
        <v>45870</v>
      </c>
      <c r="AG145" s="55">
        <f t="shared" ca="1" si="43"/>
        <v>45870</v>
      </c>
      <c r="AH145" s="55">
        <f t="shared" ca="1" si="44"/>
        <v>-281.68796824873817</v>
      </c>
      <c r="AI145" s="55">
        <f t="shared" ca="1" si="45"/>
        <v>336.32282063277779</v>
      </c>
      <c r="AJ145" s="55">
        <f t="shared" ca="1" si="46"/>
        <v>0</v>
      </c>
      <c r="AK145" s="55">
        <f t="shared" ca="1" si="40"/>
        <v>0</v>
      </c>
      <c r="AL145" s="55">
        <f t="shared" ca="1" si="41"/>
        <v>94.189575523987088</v>
      </c>
      <c r="AM145" s="55">
        <f t="shared" ca="1" si="42"/>
        <v>-57.408643902539268</v>
      </c>
    </row>
    <row r="146" spans="18:39">
      <c r="R146" s="83">
        <f ca="1"/>
        <v>45647</v>
      </c>
      <c r="S146" s="55">
        <f t="shared" ca="1" si="34"/>
        <v>45647</v>
      </c>
      <c r="T146" s="55">
        <f t="shared" ref="T146:T209" ca="1" si="47">VLOOKUP(S146,ModelOutputs,2,FALSE)</f>
        <v>94.063228253787585</v>
      </c>
      <c r="U146" s="55">
        <f t="shared" ref="U146:U209" ca="1" si="48">VLOOKUP(S146,ModelOutputs,7,FALSE)</f>
        <v>60.344135454926587</v>
      </c>
      <c r="V146" s="55">
        <f t="shared" ref="V146:V209" ca="1" si="49">VLOOKUP(S146,ModelOutputs,6,FALSE)</f>
        <v>0</v>
      </c>
      <c r="W146" s="55">
        <f t="shared" ca="1" si="35"/>
        <v>-29.070728591425024</v>
      </c>
      <c r="X146" s="55">
        <f t="shared" ca="1" si="36"/>
        <v>100.80033624774715</v>
      </c>
      <c r="Y146" s="55">
        <f t="shared" ca="1" si="37"/>
        <v>15.423174199115039</v>
      </c>
      <c r="Z146" s="55">
        <f t="shared" ca="1" si="38"/>
        <v>31.950612560799669</v>
      </c>
      <c r="AB146">
        <f t="shared" ref="AB146:AB209" ca="1" si="50">VLOOKUP(S146,ModelOutputs,10,FALSE)*AWC</f>
        <v>69.675778427790718</v>
      </c>
      <c r="AC146">
        <f t="shared" ca="1" si="39"/>
        <v>83.290313889792031</v>
      </c>
      <c r="AD146">
        <f t="shared" ref="AD146:AD209" ca="1" si="51">VLOOKUP(S146,ModelOutputs,12,FALSE)</f>
        <v>0</v>
      </c>
      <c r="AE146">
        <f t="shared" ref="AE146:AE209" ca="1" si="52">VLOOKUP(S146,ModelOutputs,13,FALSE)</f>
        <v>0.97266121552439966</v>
      </c>
      <c r="AF146" s="83">
        <f ca="1"/>
        <v>45871</v>
      </c>
      <c r="AG146" s="55">
        <f t="shared" ca="1" si="43"/>
        <v>45871</v>
      </c>
      <c r="AH146" s="55">
        <f t="shared" ca="1" si="44"/>
        <v>-283.78488019333867</v>
      </c>
      <c r="AI146" s="55">
        <f t="shared" ca="1" si="45"/>
        <v>339.27018289604894</v>
      </c>
      <c r="AJ146" s="55">
        <f t="shared" ca="1" si="46"/>
        <v>0</v>
      </c>
      <c r="AK146" s="55">
        <f t="shared" ca="1" si="40"/>
        <v>0</v>
      </c>
      <c r="AL146" s="55">
        <f t="shared" ca="1" si="41"/>
        <v>94.869704964525368</v>
      </c>
      <c r="AM146" s="55">
        <f t="shared" ca="1" si="42"/>
        <v>-57.238323024406895</v>
      </c>
    </row>
    <row r="147" spans="18:39">
      <c r="R147" s="83">
        <f ca="1"/>
        <v>45648</v>
      </c>
      <c r="S147" s="55">
        <f t="shared" ref="S147:S210" ca="1" si="53">IF(R147&gt;1,R147,"")</f>
        <v>45648</v>
      </c>
      <c r="T147" s="55">
        <f t="shared" ca="1" si="47"/>
        <v>91.48354127867276</v>
      </c>
      <c r="U147" s="55">
        <f t="shared" ca="1" si="48"/>
        <v>63.605043347886195</v>
      </c>
      <c r="V147" s="55">
        <f t="shared" ca="1" si="49"/>
        <v>0</v>
      </c>
      <c r="W147" s="55">
        <f t="shared" ref="W147:W210" ca="1" si="54">-VLOOKUP(S147,ModelOutputs,9,FALSE)+W146</f>
        <v>-29.070728591425024</v>
      </c>
      <c r="X147" s="55">
        <f t="shared" ref="X147:X210" ca="1" si="55">VLOOKUP(S147,ModelOutputs,5,FALSE)+X146</f>
        <v>101.46433553180685</v>
      </c>
      <c r="Y147" s="55">
        <f t="shared" ref="Y147:Y210" ca="1" si="56">VLOOKUP(S147,ModelOutputs,4,FALSE)+Y146</f>
        <v>15.440395832900125</v>
      </c>
      <c r="Z147" s="55">
        <f t="shared" ref="Z147:Z210" ca="1" si="57">VLOOKUP(S147,ModelOutputs,3,FALSE)*10</f>
        <v>32.60907892959608</v>
      </c>
      <c r="AB147">
        <f t="shared" ca="1" si="50"/>
        <v>66.47126341088601</v>
      </c>
      <c r="AC147">
        <f t="shared" ref="AC147:AC210" ca="1" si="58">VLOOKUP(S147,ModelOutputs,11,FALSE)+AC146</f>
        <v>83.290313889792031</v>
      </c>
      <c r="AD147">
        <f t="shared" ca="1" si="51"/>
        <v>0</v>
      </c>
      <c r="AE147">
        <f t="shared" ca="1" si="52"/>
        <v>0.97660431847097307</v>
      </c>
      <c r="AF147" s="83">
        <f ca="1"/>
        <v>45872</v>
      </c>
      <c r="AG147" s="55">
        <f t="shared" ca="1" si="43"/>
        <v>45872</v>
      </c>
      <c r="AH147" s="55">
        <f t="shared" ca="1" si="44"/>
        <v>-285.76532775078516</v>
      </c>
      <c r="AI147" s="55">
        <f t="shared" ca="1" si="45"/>
        <v>342.09461107532667</v>
      </c>
      <c r="AJ147" s="55">
        <f t="shared" ca="1" si="46"/>
        <v>0</v>
      </c>
      <c r="AK147" s="55">
        <f t="shared" ref="AK147:AK210" ca="1" si="59">-VLOOKUP(AG147,ModelOutputs,9,FALSE)+AK146</f>
        <v>0</v>
      </c>
      <c r="AL147" s="55">
        <f t="shared" ref="AL147:AL210" ca="1" si="60">VLOOKUP(AG147,ModelOutputs,5,FALSE)+AL146</f>
        <v>95.545350695715527</v>
      </c>
      <c r="AM147" s="55">
        <f t="shared" ref="AM147:AM210" ca="1" si="61">VLOOKUP(AG147,ModelOutputs,4,FALSE)+AM146</f>
        <v>-57.069988133765861</v>
      </c>
    </row>
    <row r="148" spans="18:39">
      <c r="R148" s="83">
        <f ca="1"/>
        <v>45649</v>
      </c>
      <c r="S148" s="55">
        <f t="shared" ca="1" si="53"/>
        <v>45649</v>
      </c>
      <c r="T148" s="55">
        <f t="shared" ca="1" si="47"/>
        <v>88.737959750025823</v>
      </c>
      <c r="U148" s="55">
        <f t="shared" ca="1" si="48"/>
        <v>67.029901201382629</v>
      </c>
      <c r="V148" s="55">
        <f t="shared" ca="1" si="49"/>
        <v>0</v>
      </c>
      <c r="W148" s="55">
        <f t="shared" ca="1" si="54"/>
        <v>-29.070728591425024</v>
      </c>
      <c r="X148" s="55">
        <f t="shared" ca="1" si="55"/>
        <v>102.12687817365932</v>
      </c>
      <c r="Y148" s="55">
        <f t="shared" ca="1" si="56"/>
        <v>15.457129515897156</v>
      </c>
      <c r="Z148" s="55">
        <f t="shared" ca="1" si="57"/>
        <v>34.248578534964338</v>
      </c>
      <c r="AB148">
        <f t="shared" ca="1" si="50"/>
        <v>65.295082593063228</v>
      </c>
      <c r="AC148">
        <f t="shared" ca="1" si="58"/>
        <v>83.290313889792031</v>
      </c>
      <c r="AD148">
        <f t="shared" ca="1" si="51"/>
        <v>0</v>
      </c>
      <c r="AE148">
        <f t="shared" ca="1" si="52"/>
        <v>0.98001605682513426</v>
      </c>
      <c r="AF148" s="83">
        <f ca="1"/>
        <v>45873</v>
      </c>
      <c r="AG148" s="55">
        <f t="shared" ca="1" si="43"/>
        <v>45873</v>
      </c>
      <c r="AH148" s="55">
        <f t="shared" ca="1" si="44"/>
        <v>-287.62590613489755</v>
      </c>
      <c r="AI148" s="55">
        <f t="shared" ca="1" si="45"/>
        <v>344.79122416242399</v>
      </c>
      <c r="AJ148" s="55">
        <f t="shared" ca="1" si="46"/>
        <v>0</v>
      </c>
      <c r="AK148" s="55">
        <f t="shared" ca="1" si="59"/>
        <v>0</v>
      </c>
      <c r="AL148" s="55">
        <f t="shared" ca="1" si="60"/>
        <v>96.215259077456892</v>
      </c>
      <c r="AM148" s="55">
        <f t="shared" ca="1" si="61"/>
        <v>-56.90386181252228</v>
      </c>
    </row>
    <row r="149" spans="18:39">
      <c r="R149" s="83">
        <f ca="1"/>
        <v>45650</v>
      </c>
      <c r="S149" s="55">
        <f t="shared" ca="1" si="53"/>
        <v>45650</v>
      </c>
      <c r="T149" s="55">
        <f t="shared" ca="1" si="47"/>
        <v>85.821951614609247</v>
      </c>
      <c r="U149" s="55">
        <f t="shared" ca="1" si="48"/>
        <v>70.646578921253877</v>
      </c>
      <c r="V149" s="55">
        <f t="shared" ca="1" si="49"/>
        <v>0</v>
      </c>
      <c r="W149" s="55">
        <f t="shared" ca="1" si="54"/>
        <v>-29.070728591425024</v>
      </c>
      <c r="X149" s="55">
        <f t="shared" ca="1" si="55"/>
        <v>102.81116940007453</v>
      </c>
      <c r="Y149" s="55">
        <f t="shared" ca="1" si="56"/>
        <v>15.473507873936615</v>
      </c>
      <c r="Z149" s="55">
        <f t="shared" ca="1" si="57"/>
        <v>36.166777198712481</v>
      </c>
      <c r="AB149">
        <f t="shared" ca="1" si="50"/>
        <v>66.47795519669512</v>
      </c>
      <c r="AC149">
        <f t="shared" ca="1" si="58"/>
        <v>83.290313889792031</v>
      </c>
      <c r="AD149">
        <f t="shared" ca="1" si="51"/>
        <v>0</v>
      </c>
      <c r="AE149">
        <f t="shared" ca="1" si="52"/>
        <v>0.98297811869223006</v>
      </c>
      <c r="AF149" s="83">
        <f ca="1"/>
        <v>45874</v>
      </c>
      <c r="AG149" s="55">
        <f t="shared" ref="AG149:AG212" ca="1" si="62">IF(AF149&gt;1,AF149,"")</f>
        <v>45874</v>
      </c>
      <c r="AH149" s="55">
        <f t="shared" ref="AH149:AH212" ca="1" si="63">VLOOKUP(AG149,ModelOutputs,2,FALSE)</f>
        <v>-289.30045222230569</v>
      </c>
      <c r="AI149" s="55">
        <f t="shared" ref="AI149:AI212" ca="1" si="64">VLOOKUP(AG149,ModelOutputs,7,FALSE)</f>
        <v>347.27908538765587</v>
      </c>
      <c r="AJ149" s="55">
        <f t="shared" ref="AJ149:AJ212" ca="1" si="65">VLOOKUP(AG149,ModelOutputs,6,FALSE)</f>
        <v>0</v>
      </c>
      <c r="AK149" s="55">
        <f t="shared" ca="1" si="59"/>
        <v>0</v>
      </c>
      <c r="AL149" s="55">
        <f t="shared" ca="1" si="60"/>
        <v>96.866889825691416</v>
      </c>
      <c r="AM149" s="55">
        <f t="shared" ca="1" si="61"/>
        <v>-56.742177422933054</v>
      </c>
    </row>
    <row r="150" spans="18:39">
      <c r="R150" s="83">
        <f ca="1"/>
        <v>45651</v>
      </c>
      <c r="S150" s="55">
        <f t="shared" ca="1" si="53"/>
        <v>45651</v>
      </c>
      <c r="T150" s="55">
        <f t="shared" ca="1" si="47"/>
        <v>82.776214848097879</v>
      </c>
      <c r="U150" s="55">
        <f t="shared" ca="1" si="48"/>
        <v>74.343659232565912</v>
      </c>
      <c r="V150" s="55">
        <f t="shared" ca="1" si="49"/>
        <v>0</v>
      </c>
      <c r="W150" s="55">
        <f t="shared" ca="1" si="54"/>
        <v>-29.070728591425024</v>
      </c>
      <c r="X150" s="55">
        <f t="shared" ca="1" si="55"/>
        <v>103.44706772405979</v>
      </c>
      <c r="Y150" s="55">
        <f t="shared" ca="1" si="56"/>
        <v>15.488953094752029</v>
      </c>
      <c r="Z150" s="55">
        <f t="shared" ca="1" si="57"/>
        <v>36.970803113120354</v>
      </c>
      <c r="AB150">
        <f t="shared" ca="1" si="50"/>
        <v>61.854396125934329</v>
      </c>
      <c r="AC150">
        <f t="shared" ca="1" si="58"/>
        <v>83.290313889792031</v>
      </c>
      <c r="AD150">
        <f t="shared" ca="1" si="51"/>
        <v>0</v>
      </c>
      <c r="AE150">
        <f t="shared" ca="1" si="52"/>
        <v>0.98546885025479058</v>
      </c>
      <c r="AF150" s="83">
        <f ca="1"/>
        <v>45875</v>
      </c>
      <c r="AG150" s="55">
        <f t="shared" ca="1" si="62"/>
        <v>45875</v>
      </c>
      <c r="AH150" s="55">
        <f t="shared" ca="1" si="63"/>
        <v>-290.87323451887636</v>
      </c>
      <c r="AI150" s="55">
        <f t="shared" ca="1" si="64"/>
        <v>349.65817661928929</v>
      </c>
      <c r="AJ150" s="55">
        <f t="shared" ca="1" si="65"/>
        <v>0</v>
      </c>
      <c r="AK150" s="55">
        <f t="shared" ca="1" si="59"/>
        <v>0</v>
      </c>
      <c r="AL150" s="55">
        <f t="shared" ca="1" si="60"/>
        <v>97.513534581126436</v>
      </c>
      <c r="AM150" s="55">
        <f t="shared" ca="1" si="61"/>
        <v>-56.582513243305335</v>
      </c>
    </row>
    <row r="151" spans="18:39">
      <c r="R151" s="83">
        <f ca="1"/>
        <v>45652</v>
      </c>
      <c r="S151" s="55">
        <f t="shared" ca="1" si="53"/>
        <v>45652</v>
      </c>
      <c r="T151" s="55">
        <f t="shared" ca="1" si="47"/>
        <v>79.558044376263595</v>
      </c>
      <c r="U151" s="55">
        <f t="shared" ca="1" si="48"/>
        <v>78.196126990635491</v>
      </c>
      <c r="V151" s="55">
        <f t="shared" ca="1" si="49"/>
        <v>0</v>
      </c>
      <c r="W151" s="55">
        <f t="shared" ca="1" si="54"/>
        <v>-29.070728591425024</v>
      </c>
      <c r="X151" s="55">
        <f t="shared" ca="1" si="55"/>
        <v>104.06667006552749</v>
      </c>
      <c r="Y151" s="55">
        <f t="shared" ca="1" si="56"/>
        <v>15.503648039519621</v>
      </c>
      <c r="Z151" s="55">
        <f t="shared" ca="1" si="57"/>
        <v>38.524677580695794</v>
      </c>
      <c r="AB151">
        <f t="shared" ca="1" si="50"/>
        <v>58.99521225611231</v>
      </c>
      <c r="AC151">
        <f t="shared" ca="1" si="58"/>
        <v>83.290313889792031</v>
      </c>
      <c r="AD151">
        <f t="shared" ca="1" si="51"/>
        <v>0</v>
      </c>
      <c r="AE151">
        <f t="shared" ca="1" si="52"/>
        <v>0.98760773569279736</v>
      </c>
      <c r="AF151" s="83">
        <f ca="1"/>
        <v>45876</v>
      </c>
      <c r="AG151" s="55">
        <f t="shared" ca="1" si="62"/>
        <v>45876</v>
      </c>
      <c r="AH151" s="55">
        <f t="shared" ca="1" si="63"/>
        <v>-292.41106202009371</v>
      </c>
      <c r="AI151" s="55">
        <f t="shared" ca="1" si="64"/>
        <v>352.00925105280027</v>
      </c>
      <c r="AJ151" s="55">
        <f t="shared" ca="1" si="65"/>
        <v>0</v>
      </c>
      <c r="AK151" s="55">
        <f t="shared" ca="1" si="59"/>
        <v>0</v>
      </c>
      <c r="AL151" s="55">
        <f t="shared" ca="1" si="60"/>
        <v>98.167041324379767</v>
      </c>
      <c r="AM151" s="55">
        <f t="shared" ca="1" si="61"/>
        <v>-56.422773054265058</v>
      </c>
    </row>
    <row r="152" spans="18:39">
      <c r="R152" s="83">
        <f ca="1"/>
        <v>45653</v>
      </c>
      <c r="S152" s="55">
        <f t="shared" ca="1" si="53"/>
        <v>45653</v>
      </c>
      <c r="T152" s="55">
        <f t="shared" ca="1" si="47"/>
        <v>76.017539005090399</v>
      </c>
      <c r="U152" s="55">
        <f t="shared" ca="1" si="48"/>
        <v>82.377325381983724</v>
      </c>
      <c r="V152" s="55">
        <f t="shared" ca="1" si="49"/>
        <v>0</v>
      </c>
      <c r="W152" s="55">
        <f t="shared" ca="1" si="54"/>
        <v>-29.070728591425024</v>
      </c>
      <c r="X152" s="55">
        <f t="shared" ca="1" si="55"/>
        <v>104.69354228164067</v>
      </c>
      <c r="Y152" s="55">
        <f t="shared" ca="1" si="56"/>
        <v>15.517468843581467</v>
      </c>
      <c r="Z152" s="55">
        <f t="shared" ca="1" si="57"/>
        <v>41.811983913482322</v>
      </c>
      <c r="AB152">
        <f t="shared" ca="1" si="50"/>
        <v>54.466010694880843</v>
      </c>
      <c r="AC152">
        <f t="shared" ca="1" si="58"/>
        <v>83.290313889792031</v>
      </c>
      <c r="AD152">
        <f t="shared" ca="1" si="51"/>
        <v>0</v>
      </c>
      <c r="AE152">
        <f t="shared" ca="1" si="52"/>
        <v>0.98951307598978655</v>
      </c>
      <c r="AF152" s="83">
        <f ca="1"/>
        <v>45877</v>
      </c>
      <c r="AG152" s="55">
        <f t="shared" ca="1" si="62"/>
        <v>45877</v>
      </c>
      <c r="AH152" s="55">
        <f t="shared" ca="1" si="63"/>
        <v>-293.87281186844189</v>
      </c>
      <c r="AI152" s="55">
        <f t="shared" ca="1" si="64"/>
        <v>354.28235294117644</v>
      </c>
      <c r="AJ152" s="55">
        <f t="shared" ca="1" si="65"/>
        <v>0</v>
      </c>
      <c r="AK152" s="55">
        <f t="shared" ca="1" si="59"/>
        <v>0</v>
      </c>
      <c r="AL152" s="55">
        <f t="shared" ca="1" si="60"/>
        <v>98.819922357119495</v>
      </c>
      <c r="AM152" s="55">
        <f t="shared" ca="1" si="61"/>
        <v>-56.264302046976788</v>
      </c>
    </row>
    <row r="153" spans="18:39">
      <c r="R153" s="83">
        <f ca="1"/>
        <v>45654</v>
      </c>
      <c r="S153" s="55">
        <f t="shared" ca="1" si="53"/>
        <v>45654</v>
      </c>
      <c r="T153" s="55">
        <f t="shared" ca="1" si="47"/>
        <v>72.25772601155056</v>
      </c>
      <c r="U153" s="55">
        <f t="shared" ca="1" si="48"/>
        <v>86.791568380242808</v>
      </c>
      <c r="V153" s="55">
        <f t="shared" ca="1" si="49"/>
        <v>0</v>
      </c>
      <c r="W153" s="55">
        <f t="shared" ca="1" si="54"/>
        <v>-29.070728591425024</v>
      </c>
      <c r="X153" s="55">
        <f t="shared" ca="1" si="55"/>
        <v>105.33440038430757</v>
      </c>
      <c r="Y153" s="55">
        <f t="shared" ca="1" si="56"/>
        <v>15.53104074563382</v>
      </c>
      <c r="Z153" s="55">
        <f t="shared" ca="1" si="57"/>
        <v>44.142429982590841</v>
      </c>
      <c r="AB153">
        <f t="shared" ca="1" si="50"/>
        <v>54.224449928992762</v>
      </c>
      <c r="AC153">
        <f t="shared" ca="1" si="58"/>
        <v>83.290313889792031</v>
      </c>
      <c r="AD153">
        <f t="shared" ca="1" si="51"/>
        <v>0</v>
      </c>
      <c r="AE153">
        <f t="shared" ca="1" si="52"/>
        <v>0.99115518916729251</v>
      </c>
      <c r="AF153" s="83" t="e">
        <f ca="1"/>
        <v>#N/A</v>
      </c>
      <c r="AG153" s="55" t="e">
        <f t="shared" ca="1" si="62"/>
        <v>#N/A</v>
      </c>
      <c r="AH153" s="55" t="e">
        <f t="shared" ca="1" si="63"/>
        <v>#N/A</v>
      </c>
      <c r="AI153" s="55" t="e">
        <f t="shared" ca="1" si="64"/>
        <v>#N/A</v>
      </c>
      <c r="AJ153" s="55" t="e">
        <f t="shared" ca="1" si="65"/>
        <v>#N/A</v>
      </c>
      <c r="AK153" s="55" t="e">
        <f t="shared" ca="1" si="59"/>
        <v>#N/A</v>
      </c>
      <c r="AL153" s="55" t="e">
        <f t="shared" ca="1" si="60"/>
        <v>#N/A</v>
      </c>
      <c r="AM153" s="55" t="e">
        <f t="shared" ca="1" si="61"/>
        <v>#N/A</v>
      </c>
    </row>
    <row r="154" spans="18:39">
      <c r="R154" s="83">
        <f ca="1"/>
        <v>45655</v>
      </c>
      <c r="S154" s="55">
        <f t="shared" ca="1" si="53"/>
        <v>45655</v>
      </c>
      <c r="T154" s="55">
        <f t="shared" ca="1" si="47"/>
        <v>68.404393473130554</v>
      </c>
      <c r="U154" s="55">
        <f t="shared" ca="1" si="48"/>
        <v>91.303722708218785</v>
      </c>
      <c r="V154" s="55">
        <f t="shared" ca="1" si="49"/>
        <v>0</v>
      </c>
      <c r="W154" s="55">
        <f t="shared" ca="1" si="54"/>
        <v>-29.070728591425024</v>
      </c>
      <c r="X154" s="55">
        <f t="shared" ca="1" si="55"/>
        <v>105.97982063294674</v>
      </c>
      <c r="Y154" s="55">
        <f t="shared" ca="1" si="56"/>
        <v>15.544442286550618</v>
      </c>
      <c r="Z154" s="55">
        <f t="shared" ca="1" si="57"/>
        <v>45.121543279759777</v>
      </c>
      <c r="AB154">
        <f t="shared" ca="1" si="50"/>
        <v>56.466642555688743</v>
      </c>
      <c r="AC154">
        <f t="shared" ca="1" si="58"/>
        <v>83.290313889792031</v>
      </c>
      <c r="AD154">
        <f t="shared" ca="1" si="51"/>
        <v>0</v>
      </c>
      <c r="AE154">
        <f t="shared" ca="1" si="52"/>
        <v>0.9925261708269838</v>
      </c>
      <c r="AF154" s="83" t="e">
        <f ca="1"/>
        <v>#N/A</v>
      </c>
      <c r="AG154" s="55" t="e">
        <f t="shared" ca="1" si="62"/>
        <v>#N/A</v>
      </c>
      <c r="AH154" s="55" t="e">
        <f t="shared" ca="1" si="63"/>
        <v>#N/A</v>
      </c>
      <c r="AI154" s="55" t="e">
        <f t="shared" ca="1" si="64"/>
        <v>#N/A</v>
      </c>
      <c r="AJ154" s="55" t="e">
        <f t="shared" ca="1" si="65"/>
        <v>#N/A</v>
      </c>
      <c r="AK154" s="55" t="e">
        <f t="shared" ca="1" si="59"/>
        <v>#N/A</v>
      </c>
      <c r="AL154" s="55" t="e">
        <f t="shared" ca="1" si="60"/>
        <v>#N/A</v>
      </c>
      <c r="AM154" s="55" t="e">
        <f t="shared" ca="1" si="61"/>
        <v>#N/A</v>
      </c>
    </row>
    <row r="155" spans="18:39">
      <c r="R155" s="83">
        <f ca="1"/>
        <v>45656</v>
      </c>
      <c r="S155" s="55">
        <f t="shared" ca="1" si="53"/>
        <v>45656</v>
      </c>
      <c r="T155" s="55">
        <f t="shared" ca="1" si="47"/>
        <v>64.546212682609863</v>
      </c>
      <c r="U155" s="55">
        <f t="shared" ca="1" si="48"/>
        <v>95.873951157373583</v>
      </c>
      <c r="V155" s="55">
        <f t="shared" ca="1" si="49"/>
        <v>0</v>
      </c>
      <c r="W155" s="55">
        <f t="shared" ca="1" si="54"/>
        <v>-29.070728591425024</v>
      </c>
      <c r="X155" s="55">
        <f t="shared" ca="1" si="55"/>
        <v>106.67848981388258</v>
      </c>
      <c r="Y155" s="55">
        <f t="shared" ca="1" si="56"/>
        <v>15.557820764248884</v>
      </c>
      <c r="Z155" s="55">
        <f t="shared" ca="1" si="57"/>
        <v>45.702284491547971</v>
      </c>
      <c r="AB155">
        <f t="shared" ca="1" si="50"/>
        <v>66.08708033573312</v>
      </c>
      <c r="AC155">
        <f t="shared" ca="1" si="58"/>
        <v>83.290313889792031</v>
      </c>
      <c r="AD155">
        <f t="shared" ca="1" si="51"/>
        <v>0</v>
      </c>
      <c r="AE155">
        <f t="shared" ca="1" si="52"/>
        <v>0.99366543200706114</v>
      </c>
      <c r="AF155" s="83" t="e">
        <f ca="1"/>
        <v>#N/A</v>
      </c>
      <c r="AG155" s="55" t="e">
        <f t="shared" ca="1" si="62"/>
        <v>#N/A</v>
      </c>
      <c r="AH155" s="55" t="e">
        <f t="shared" ca="1" si="63"/>
        <v>#N/A</v>
      </c>
      <c r="AI155" s="55" t="e">
        <f t="shared" ca="1" si="64"/>
        <v>#N/A</v>
      </c>
      <c r="AJ155" s="55" t="e">
        <f t="shared" ca="1" si="65"/>
        <v>#N/A</v>
      </c>
      <c r="AK155" s="55" t="e">
        <f t="shared" ca="1" si="59"/>
        <v>#N/A</v>
      </c>
      <c r="AL155" s="55" t="e">
        <f t="shared" ca="1" si="60"/>
        <v>#N/A</v>
      </c>
      <c r="AM155" s="55" t="e">
        <f t="shared" ca="1" si="61"/>
        <v>#N/A</v>
      </c>
    </row>
    <row r="156" spans="18:39">
      <c r="R156" s="83">
        <f ca="1"/>
        <v>45657</v>
      </c>
      <c r="S156" s="55">
        <f t="shared" ca="1" si="53"/>
        <v>45657</v>
      </c>
      <c r="T156" s="55">
        <f t="shared" ca="1" si="47"/>
        <v>60.554912635592771</v>
      </c>
      <c r="U156" s="55">
        <f t="shared" ca="1" si="48"/>
        <v>100.55206699268194</v>
      </c>
      <c r="V156" s="55">
        <f t="shared" ca="1" si="49"/>
        <v>0</v>
      </c>
      <c r="W156" s="55">
        <f t="shared" ca="1" si="54"/>
        <v>-29.070728591425024</v>
      </c>
      <c r="X156" s="55">
        <f t="shared" ca="1" si="55"/>
        <v>107.35253879432815</v>
      </c>
      <c r="Y156" s="55">
        <f t="shared" ca="1" si="56"/>
        <v>15.570587572094572</v>
      </c>
      <c r="Z156" s="55">
        <f t="shared" ca="1" si="57"/>
        <v>46.781158353083612</v>
      </c>
      <c r="AB156">
        <f t="shared" ca="1" si="50"/>
        <v>63.665346971601842</v>
      </c>
      <c r="AC156">
        <f t="shared" ca="1" si="58"/>
        <v>83.290313889792031</v>
      </c>
      <c r="AD156">
        <f t="shared" ca="1" si="51"/>
        <v>0</v>
      </c>
      <c r="AE156">
        <f t="shared" ca="1" si="52"/>
        <v>0.99462597670650565</v>
      </c>
      <c r="AF156" s="83" t="e">
        <f ca="1"/>
        <v>#N/A</v>
      </c>
      <c r="AG156" s="55" t="e">
        <f t="shared" ca="1" si="62"/>
        <v>#N/A</v>
      </c>
      <c r="AH156" s="55" t="e">
        <f t="shared" ca="1" si="63"/>
        <v>#N/A</v>
      </c>
      <c r="AI156" s="55" t="e">
        <f t="shared" ca="1" si="64"/>
        <v>#N/A</v>
      </c>
      <c r="AJ156" s="55" t="e">
        <f t="shared" ca="1" si="65"/>
        <v>#N/A</v>
      </c>
      <c r="AK156" s="55" t="e">
        <f t="shared" ca="1" si="59"/>
        <v>#N/A</v>
      </c>
      <c r="AL156" s="55" t="e">
        <f t="shared" ca="1" si="60"/>
        <v>#N/A</v>
      </c>
      <c r="AM156" s="55" t="e">
        <f t="shared" ca="1" si="61"/>
        <v>#N/A</v>
      </c>
    </row>
    <row r="157" spans="18:39">
      <c r="R157" s="83">
        <f ca="1"/>
        <v>45658</v>
      </c>
      <c r="S157" s="55">
        <f t="shared" ca="1" si="53"/>
        <v>45658</v>
      </c>
      <c r="T157" s="55">
        <f t="shared" ca="1" si="47"/>
        <v>56.431681517889338</v>
      </c>
      <c r="U157" s="55">
        <f t="shared" ca="1" si="48"/>
        <v>105.35031005100541</v>
      </c>
      <c r="V157" s="55">
        <f t="shared" ca="1" si="49"/>
        <v>0</v>
      </c>
      <c r="W157" s="55">
        <f t="shared" ca="1" si="54"/>
        <v>-29.070728591425024</v>
      </c>
      <c r="X157" s="55">
        <f t="shared" ca="1" si="55"/>
        <v>108.01530290787419</v>
      </c>
      <c r="Y157" s="55">
        <f t="shared" ca="1" si="56"/>
        <v>15.58283539916857</v>
      </c>
      <c r="Z157" s="55">
        <f t="shared" ca="1" si="57"/>
        <v>47.982430583234645</v>
      </c>
      <c r="AB157">
        <f t="shared" ca="1" si="50"/>
        <v>62.478908487639913</v>
      </c>
      <c r="AC157">
        <f t="shared" ca="1" si="58"/>
        <v>83.290313889792031</v>
      </c>
      <c r="AD157">
        <f t="shared" ca="1" si="51"/>
        <v>0</v>
      </c>
      <c r="AE157">
        <f t="shared" ca="1" si="52"/>
        <v>0.99543941503865163</v>
      </c>
      <c r="AF157" s="83" t="e">
        <f ca="1"/>
        <v>#N/A</v>
      </c>
      <c r="AG157" s="55" t="e">
        <f t="shared" ca="1" si="62"/>
        <v>#N/A</v>
      </c>
      <c r="AH157" s="55" t="e">
        <f t="shared" ca="1" si="63"/>
        <v>#N/A</v>
      </c>
      <c r="AI157" s="55" t="e">
        <f t="shared" ca="1" si="64"/>
        <v>#N/A</v>
      </c>
      <c r="AJ157" s="55" t="e">
        <f t="shared" ca="1" si="65"/>
        <v>#N/A</v>
      </c>
      <c r="AK157" s="55" t="e">
        <f t="shared" ca="1" si="59"/>
        <v>#N/A</v>
      </c>
      <c r="AL157" s="55" t="e">
        <f t="shared" ca="1" si="60"/>
        <v>#N/A</v>
      </c>
      <c r="AM157" s="55" t="e">
        <f t="shared" ca="1" si="61"/>
        <v>#N/A</v>
      </c>
    </row>
    <row r="158" spans="18:39">
      <c r="R158" s="83">
        <f ca="1"/>
        <v>45659</v>
      </c>
      <c r="S158" s="55">
        <f t="shared" ca="1" si="53"/>
        <v>45659</v>
      </c>
      <c r="T158" s="55">
        <f t="shared" ca="1" si="47"/>
        <v>52.06673191421973</v>
      </c>
      <c r="U158" s="55">
        <f t="shared" ca="1" si="48"/>
        <v>110.3812714731296</v>
      </c>
      <c r="V158" s="55">
        <f t="shared" ca="1" si="49"/>
        <v>0</v>
      </c>
      <c r="W158" s="55">
        <f t="shared" ca="1" si="54"/>
        <v>-29.070728591425024</v>
      </c>
      <c r="X158" s="55">
        <f t="shared" ca="1" si="55"/>
        <v>108.66947003457221</v>
      </c>
      <c r="Y158" s="55">
        <f t="shared" ca="1" si="56"/>
        <v>15.594680090925138</v>
      </c>
      <c r="Z158" s="55">
        <f t="shared" ca="1" si="57"/>
        <v>50.309614221241929</v>
      </c>
      <c r="AB158">
        <f t="shared" ca="1" si="50"/>
        <v>58.736274484405207</v>
      </c>
      <c r="AC158">
        <f t="shared" ca="1" si="58"/>
        <v>83.290313889792031</v>
      </c>
      <c r="AD158">
        <f t="shared" ca="1" si="51"/>
        <v>0</v>
      </c>
      <c r="AE158">
        <f t="shared" ca="1" si="52"/>
        <v>0.99614352007277196</v>
      </c>
      <c r="AF158" s="83" t="e">
        <f ca="1"/>
        <v>#N/A</v>
      </c>
      <c r="AG158" s="55" t="e">
        <f t="shared" ca="1" si="62"/>
        <v>#N/A</v>
      </c>
      <c r="AH158" s="55" t="e">
        <f t="shared" ca="1" si="63"/>
        <v>#N/A</v>
      </c>
      <c r="AI158" s="55" t="e">
        <f t="shared" ca="1" si="64"/>
        <v>#N/A</v>
      </c>
      <c r="AJ158" s="55" t="e">
        <f t="shared" ca="1" si="65"/>
        <v>#N/A</v>
      </c>
      <c r="AK158" s="55" t="e">
        <f t="shared" ca="1" si="59"/>
        <v>#N/A</v>
      </c>
      <c r="AL158" s="55" t="e">
        <f t="shared" ca="1" si="60"/>
        <v>#N/A</v>
      </c>
      <c r="AM158" s="55" t="e">
        <f t="shared" ca="1" si="61"/>
        <v>#N/A</v>
      </c>
    </row>
    <row r="159" spans="18:39">
      <c r="R159" s="83">
        <f ca="1"/>
        <v>45660</v>
      </c>
      <c r="S159" s="55">
        <f t="shared" ca="1" si="53"/>
        <v>45660</v>
      </c>
      <c r="T159" s="55">
        <f t="shared" ca="1" si="47"/>
        <v>123.14293033678928</v>
      </c>
      <c r="U159" s="55">
        <f t="shared" ca="1" si="48"/>
        <v>115.48722283377718</v>
      </c>
      <c r="V159" s="55">
        <f t="shared" ca="1" si="49"/>
        <v>75.551525841781185</v>
      </c>
      <c r="W159" s="55">
        <f t="shared" ca="1" si="54"/>
        <v>-29.070728591425024</v>
      </c>
      <c r="X159" s="55">
        <f t="shared" ca="1" si="55"/>
        <v>109.28951946185039</v>
      </c>
      <c r="Y159" s="55">
        <f t="shared" ca="1" si="56"/>
        <v>15.605254605082905</v>
      </c>
      <c r="Z159" s="55">
        <f t="shared" ca="1" si="57"/>
        <v>51.059513606475804</v>
      </c>
      <c r="AB159">
        <f t="shared" ca="1" si="50"/>
        <v>55.058775489194275</v>
      </c>
      <c r="AC159">
        <f t="shared" ca="1" si="58"/>
        <v>83.290313889792031</v>
      </c>
      <c r="AD159">
        <f t="shared" ca="1" si="51"/>
        <v>0</v>
      </c>
      <c r="AE159">
        <f t="shared" ca="1" si="52"/>
        <v>0.99673380018825675</v>
      </c>
      <c r="AF159" s="83" t="e">
        <f ca="1"/>
        <v>#N/A</v>
      </c>
      <c r="AG159" s="55" t="e">
        <f t="shared" ca="1" si="62"/>
        <v>#N/A</v>
      </c>
      <c r="AH159" s="55" t="e">
        <f t="shared" ca="1" si="63"/>
        <v>#N/A</v>
      </c>
      <c r="AI159" s="55" t="e">
        <f t="shared" ca="1" si="64"/>
        <v>#N/A</v>
      </c>
      <c r="AJ159" s="55" t="e">
        <f t="shared" ca="1" si="65"/>
        <v>#N/A</v>
      </c>
      <c r="AK159" s="55" t="e">
        <f t="shared" ca="1" si="59"/>
        <v>#N/A</v>
      </c>
      <c r="AL159" s="55" t="e">
        <f t="shared" ca="1" si="60"/>
        <v>#N/A</v>
      </c>
      <c r="AM159" s="55" t="e">
        <f t="shared" ca="1" si="61"/>
        <v>#N/A</v>
      </c>
    </row>
    <row r="160" spans="18:39">
      <c r="R160" s="83">
        <f ca="1"/>
        <v>45661</v>
      </c>
      <c r="S160" s="55">
        <f t="shared" ca="1" si="53"/>
        <v>45661</v>
      </c>
      <c r="T160" s="55">
        <f t="shared" ca="1" si="47"/>
        <v>118.46798649574175</v>
      </c>
      <c r="U160" s="55">
        <f t="shared" ca="1" si="48"/>
        <v>120.78184239515724</v>
      </c>
      <c r="V160" s="55">
        <f t="shared" ca="1" si="49"/>
        <v>0</v>
      </c>
      <c r="W160" s="55">
        <f t="shared" ca="1" si="54"/>
        <v>-29.070728591425024</v>
      </c>
      <c r="X160" s="55">
        <f t="shared" ca="1" si="55"/>
        <v>109.89941014877461</v>
      </c>
      <c r="Y160" s="55">
        <f t="shared" ca="1" si="56"/>
        <v>15.615039638491229</v>
      </c>
      <c r="Z160" s="55">
        <f t="shared" ca="1" si="57"/>
        <v>52.946195613800597</v>
      </c>
      <c r="AB160">
        <f t="shared" ca="1" si="50"/>
        <v>51.838353838624684</v>
      </c>
      <c r="AC160">
        <f t="shared" ca="1" si="58"/>
        <v>83.290313889792031</v>
      </c>
      <c r="AD160">
        <f t="shared" ca="1" si="51"/>
        <v>0</v>
      </c>
      <c r="AE160">
        <f t="shared" ca="1" si="52"/>
        <v>0.99724016501651125</v>
      </c>
      <c r="AF160" s="83" t="e">
        <f ca="1"/>
        <v>#N/A</v>
      </c>
      <c r="AG160" s="55" t="e">
        <f t="shared" ca="1" si="62"/>
        <v>#N/A</v>
      </c>
      <c r="AH160" s="55" t="e">
        <f t="shared" ca="1" si="63"/>
        <v>#N/A</v>
      </c>
      <c r="AI160" s="55" t="e">
        <f t="shared" ca="1" si="64"/>
        <v>#N/A</v>
      </c>
      <c r="AJ160" s="55" t="e">
        <f t="shared" ca="1" si="65"/>
        <v>#N/A</v>
      </c>
      <c r="AK160" s="55" t="e">
        <f t="shared" ca="1" si="59"/>
        <v>#N/A</v>
      </c>
      <c r="AL160" s="55" t="e">
        <f t="shared" ca="1" si="60"/>
        <v>#N/A</v>
      </c>
      <c r="AM160" s="55" t="e">
        <f t="shared" ca="1" si="61"/>
        <v>#N/A</v>
      </c>
    </row>
    <row r="161" spans="18:39">
      <c r="R161" s="83">
        <f ca="1"/>
        <v>45662</v>
      </c>
      <c r="S161" s="55">
        <f t="shared" ca="1" si="53"/>
        <v>45662</v>
      </c>
      <c r="T161" s="55">
        <f t="shared" ca="1" si="47"/>
        <v>113.77022983265718</v>
      </c>
      <c r="U161" s="55">
        <f t="shared" ca="1" si="48"/>
        <v>126.06514640942005</v>
      </c>
      <c r="V161" s="55">
        <f t="shared" ca="1" si="49"/>
        <v>0</v>
      </c>
      <c r="W161" s="55">
        <f t="shared" ca="1" si="54"/>
        <v>-29.070728591425024</v>
      </c>
      <c r="X161" s="55">
        <f t="shared" ca="1" si="55"/>
        <v>110.47616065763526</v>
      </c>
      <c r="Y161" s="55">
        <f t="shared" ca="1" si="56"/>
        <v>15.623836480808805</v>
      </c>
      <c r="Z161" s="55">
        <f t="shared" ca="1" si="57"/>
        <v>52.833040142628107</v>
      </c>
      <c r="AB161">
        <f t="shared" ca="1" si="50"/>
        <v>49.498339298747105</v>
      </c>
      <c r="AC161">
        <f t="shared" ca="1" si="58"/>
        <v>83.290313889792031</v>
      </c>
      <c r="AD161">
        <f t="shared" ca="1" si="51"/>
        <v>0</v>
      </c>
      <c r="AE161">
        <f t="shared" ca="1" si="52"/>
        <v>0.99765927522825737</v>
      </c>
      <c r="AF161" s="83" t="e">
        <f ca="1"/>
        <v>#N/A</v>
      </c>
      <c r="AG161" s="55" t="e">
        <f t="shared" ca="1" si="62"/>
        <v>#N/A</v>
      </c>
      <c r="AH161" s="55" t="e">
        <f t="shared" ca="1" si="63"/>
        <v>#N/A</v>
      </c>
      <c r="AI161" s="55" t="e">
        <f t="shared" ca="1" si="64"/>
        <v>#N/A</v>
      </c>
      <c r="AJ161" s="55" t="e">
        <f t="shared" ca="1" si="65"/>
        <v>#N/A</v>
      </c>
      <c r="AK161" s="55" t="e">
        <f t="shared" ca="1" si="59"/>
        <v>#N/A</v>
      </c>
      <c r="AL161" s="55" t="e">
        <f t="shared" ca="1" si="60"/>
        <v>#N/A</v>
      </c>
      <c r="AM161" s="55" t="e">
        <f t="shared" ca="1" si="61"/>
        <v>#N/A</v>
      </c>
    </row>
    <row r="162" spans="18:39">
      <c r="R162" s="83">
        <f ca="1"/>
        <v>45663</v>
      </c>
      <c r="S162" s="55">
        <f t="shared" ca="1" si="53"/>
        <v>45663</v>
      </c>
      <c r="T162" s="55">
        <f t="shared" ca="1" si="47"/>
        <v>108.94101219730962</v>
      </c>
      <c r="U162" s="55">
        <f t="shared" ca="1" si="48"/>
        <v>131.47206715088413</v>
      </c>
      <c r="V162" s="55">
        <f t="shared" ca="1" si="49"/>
        <v>0</v>
      </c>
      <c r="W162" s="55">
        <f t="shared" ca="1" si="54"/>
        <v>-29.070728591425024</v>
      </c>
      <c r="X162" s="55">
        <f t="shared" ca="1" si="55"/>
        <v>111.04559030321589</v>
      </c>
      <c r="Y162" s="55">
        <f t="shared" ca="1" si="56"/>
        <v>15.632109941344698</v>
      </c>
      <c r="Z162" s="55">
        <f t="shared" ca="1" si="57"/>
        <v>54.069207414640772</v>
      </c>
      <c r="AB162">
        <f t="shared" ca="1" si="50"/>
        <v>47.707219616013077</v>
      </c>
      <c r="AC162">
        <f t="shared" ca="1" si="58"/>
        <v>83.290313889792031</v>
      </c>
      <c r="AD162">
        <f t="shared" ca="1" si="51"/>
        <v>0</v>
      </c>
      <c r="AE162">
        <f t="shared" ca="1" si="52"/>
        <v>0.99801634727124022</v>
      </c>
      <c r="AF162" s="83" t="e">
        <f ca="1"/>
        <v>#N/A</v>
      </c>
      <c r="AG162" s="55" t="e">
        <f t="shared" ca="1" si="62"/>
        <v>#N/A</v>
      </c>
      <c r="AH162" s="55" t="e">
        <f t="shared" ca="1" si="63"/>
        <v>#N/A</v>
      </c>
      <c r="AI162" s="55" t="e">
        <f t="shared" ca="1" si="64"/>
        <v>#N/A</v>
      </c>
      <c r="AJ162" s="55" t="e">
        <f t="shared" ca="1" si="65"/>
        <v>#N/A</v>
      </c>
      <c r="AK162" s="55" t="e">
        <f t="shared" ca="1" si="59"/>
        <v>#N/A</v>
      </c>
      <c r="AL162" s="55" t="e">
        <f t="shared" ca="1" si="60"/>
        <v>#N/A</v>
      </c>
      <c r="AM162" s="55" t="e">
        <f t="shared" ca="1" si="61"/>
        <v>#N/A</v>
      </c>
    </row>
    <row r="163" spans="18:39">
      <c r="R163" s="83">
        <f ca="1"/>
        <v>45664</v>
      </c>
      <c r="S163" s="55">
        <f t="shared" ca="1" si="53"/>
        <v>45664</v>
      </c>
      <c r="T163" s="55">
        <f t="shared" ca="1" si="47"/>
        <v>103.88942156456476</v>
      </c>
      <c r="U163" s="55">
        <f t="shared" ca="1" si="48"/>
        <v>137.10695552514755</v>
      </c>
      <c r="V163" s="55">
        <f t="shared" ca="1" si="49"/>
        <v>0</v>
      </c>
      <c r="W163" s="55">
        <f t="shared" ca="1" si="54"/>
        <v>-29.070728591425024</v>
      </c>
      <c r="X163" s="55">
        <f t="shared" ca="1" si="55"/>
        <v>111.62098285323849</v>
      </c>
      <c r="Y163" s="55">
        <f t="shared" ca="1" si="56"/>
        <v>15.640015132840663</v>
      </c>
      <c r="Z163" s="55">
        <f t="shared" ca="1" si="57"/>
        <v>56.348883742634257</v>
      </c>
      <c r="AB163">
        <f t="shared" ca="1" si="50"/>
        <v>45.523067964048508</v>
      </c>
      <c r="AC163">
        <f t="shared" ca="1" si="58"/>
        <v>83.290313889792031</v>
      </c>
      <c r="AD163">
        <f t="shared" ca="1" si="51"/>
        <v>0</v>
      </c>
      <c r="AE163">
        <f t="shared" ca="1" si="52"/>
        <v>0.99832593069580944</v>
      </c>
      <c r="AF163" s="83" t="e">
        <f ca="1"/>
        <v>#N/A</v>
      </c>
      <c r="AG163" s="55" t="e">
        <f t="shared" ca="1" si="62"/>
        <v>#N/A</v>
      </c>
      <c r="AH163" s="55" t="e">
        <f t="shared" ca="1" si="63"/>
        <v>#N/A</v>
      </c>
      <c r="AI163" s="55" t="e">
        <f t="shared" ca="1" si="64"/>
        <v>#N/A</v>
      </c>
      <c r="AJ163" s="55" t="e">
        <f t="shared" ca="1" si="65"/>
        <v>#N/A</v>
      </c>
      <c r="AK163" s="55" t="e">
        <f t="shared" ca="1" si="59"/>
        <v>#N/A</v>
      </c>
      <c r="AL163" s="55" t="e">
        <f t="shared" ca="1" si="60"/>
        <v>#N/A</v>
      </c>
      <c r="AM163" s="55" t="e">
        <f t="shared" ca="1" si="61"/>
        <v>#N/A</v>
      </c>
    </row>
    <row r="164" spans="18:39">
      <c r="R164" s="83">
        <f ca="1"/>
        <v>45665</v>
      </c>
      <c r="S164" s="55">
        <f t="shared" ca="1" si="53"/>
        <v>45665</v>
      </c>
      <c r="T164" s="55">
        <f t="shared" ca="1" si="47"/>
        <v>98.696941658423896</v>
      </c>
      <c r="U164" s="55">
        <f t="shared" ca="1" si="48"/>
        <v>142.89257633260692</v>
      </c>
      <c r="V164" s="55">
        <f t="shared" ca="1" si="49"/>
        <v>0</v>
      </c>
      <c r="W164" s="55">
        <f t="shared" ca="1" si="54"/>
        <v>-29.070728591425024</v>
      </c>
      <c r="X164" s="55">
        <f t="shared" ca="1" si="55"/>
        <v>112.20630830443743</v>
      </c>
      <c r="Y164" s="55">
        <f t="shared" ca="1" si="56"/>
        <v>15.647830582960225</v>
      </c>
      <c r="Z164" s="55">
        <f t="shared" ca="1" si="57"/>
        <v>57.856208074593667</v>
      </c>
      <c r="AB164">
        <f t="shared" ca="1" si="50"/>
        <v>45.662655206244743</v>
      </c>
      <c r="AC164">
        <f t="shared" ca="1" si="58"/>
        <v>83.290313889792031</v>
      </c>
      <c r="AD164">
        <f t="shared" ca="1" si="51"/>
        <v>0</v>
      </c>
      <c r="AE164">
        <f t="shared" ca="1" si="52"/>
        <v>0.99859003408034763</v>
      </c>
      <c r="AF164" s="83" t="e">
        <f ca="1"/>
        <v>#N/A</v>
      </c>
      <c r="AG164" s="55" t="e">
        <f t="shared" ca="1" si="62"/>
        <v>#N/A</v>
      </c>
      <c r="AH164" s="55" t="e">
        <f t="shared" ca="1" si="63"/>
        <v>#N/A</v>
      </c>
      <c r="AI164" s="55" t="e">
        <f t="shared" ca="1" si="64"/>
        <v>#N/A</v>
      </c>
      <c r="AJ164" s="55" t="e">
        <f t="shared" ca="1" si="65"/>
        <v>#N/A</v>
      </c>
      <c r="AK164" s="55" t="e">
        <f t="shared" ca="1" si="59"/>
        <v>#N/A</v>
      </c>
      <c r="AL164" s="55" t="e">
        <f t="shared" ca="1" si="60"/>
        <v>#N/A</v>
      </c>
      <c r="AM164" s="55" t="e">
        <f t="shared" ca="1" si="61"/>
        <v>#N/A</v>
      </c>
    </row>
    <row r="165" spans="18:39">
      <c r="R165" s="83">
        <f ca="1"/>
        <v>45666</v>
      </c>
      <c r="S165" s="55">
        <f t="shared" ca="1" si="53"/>
        <v>45666</v>
      </c>
      <c r="T165" s="55">
        <f t="shared" ca="1" si="47"/>
        <v>93.373534090464688</v>
      </c>
      <c r="U165" s="55">
        <f t="shared" ca="1" si="48"/>
        <v>148.82287145448092</v>
      </c>
      <c r="V165" s="55">
        <f t="shared" ca="1" si="49"/>
        <v>0</v>
      </c>
      <c r="W165" s="55">
        <f t="shared" ca="1" si="54"/>
        <v>-29.070728591425024</v>
      </c>
      <c r="X165" s="55">
        <f t="shared" ca="1" si="55"/>
        <v>112.80537933541551</v>
      </c>
      <c r="Y165" s="55">
        <f t="shared" ca="1" si="56"/>
        <v>15.655647105896934</v>
      </c>
      <c r="Z165" s="55">
        <f t="shared" ca="1" si="57"/>
        <v>59.302951218739963</v>
      </c>
      <c r="AB165">
        <f t="shared" ca="1" si="50"/>
        <v>46.327909882819831</v>
      </c>
      <c r="AC165">
        <f t="shared" ca="1" si="58"/>
        <v>83.290313889792031</v>
      </c>
      <c r="AD165">
        <f t="shared" ca="1" si="51"/>
        <v>0</v>
      </c>
      <c r="AE165">
        <f t="shared" ca="1" si="52"/>
        <v>0.99881495910579698</v>
      </c>
      <c r="AF165" s="83" t="e">
        <f ca="1"/>
        <v>#N/A</v>
      </c>
      <c r="AG165" s="55" t="e">
        <f t="shared" ca="1" si="62"/>
        <v>#N/A</v>
      </c>
      <c r="AH165" s="55" t="e">
        <f t="shared" ca="1" si="63"/>
        <v>#N/A</v>
      </c>
      <c r="AI165" s="55" t="e">
        <f t="shared" ca="1" si="64"/>
        <v>#N/A</v>
      </c>
      <c r="AJ165" s="55" t="e">
        <f t="shared" ca="1" si="65"/>
        <v>#N/A</v>
      </c>
      <c r="AK165" s="55" t="e">
        <f t="shared" ca="1" si="59"/>
        <v>#N/A</v>
      </c>
      <c r="AL165" s="55" t="e">
        <f t="shared" ca="1" si="60"/>
        <v>#N/A</v>
      </c>
      <c r="AM165" s="55" t="e">
        <f t="shared" ca="1" si="61"/>
        <v>#N/A</v>
      </c>
    </row>
    <row r="166" spans="18:39">
      <c r="R166" s="83">
        <f ca="1"/>
        <v>45667</v>
      </c>
      <c r="S166" s="55">
        <f t="shared" ca="1" si="53"/>
        <v>45667</v>
      </c>
      <c r="T166" s="55">
        <f t="shared" ca="1" si="47"/>
        <v>88.016645929396788</v>
      </c>
      <c r="U166" s="55">
        <f t="shared" ca="1" si="48"/>
        <v>154.76423966053983</v>
      </c>
      <c r="V166" s="55">
        <f t="shared" ca="1" si="49"/>
        <v>0</v>
      </c>
      <c r="W166" s="55">
        <f t="shared" ca="1" si="54"/>
        <v>-29.070728591425024</v>
      </c>
      <c r="X166" s="55">
        <f t="shared" ca="1" si="55"/>
        <v>113.38274291203348</v>
      </c>
      <c r="Y166" s="55">
        <f t="shared" ca="1" si="56"/>
        <v>15.662763574269976</v>
      </c>
      <c r="Z166" s="55">
        <f t="shared" ca="1" si="57"/>
        <v>59.41368206058911</v>
      </c>
      <c r="AB166">
        <f t="shared" ca="1" si="50"/>
        <v>43.900787468791705</v>
      </c>
      <c r="AC166">
        <f t="shared" ca="1" si="58"/>
        <v>83.290313889792031</v>
      </c>
      <c r="AD166">
        <f t="shared" ca="1" si="51"/>
        <v>0</v>
      </c>
      <c r="AE166">
        <f t="shared" ca="1" si="52"/>
        <v>0.99900254904822994</v>
      </c>
      <c r="AF166" s="83" t="e">
        <f ca="1"/>
        <v>#N/A</v>
      </c>
      <c r="AG166" s="55" t="e">
        <f t="shared" ca="1" si="62"/>
        <v>#N/A</v>
      </c>
      <c r="AH166" s="55" t="e">
        <f t="shared" ca="1" si="63"/>
        <v>#N/A</v>
      </c>
      <c r="AI166" s="55" t="e">
        <f t="shared" ca="1" si="64"/>
        <v>#N/A</v>
      </c>
      <c r="AJ166" s="55" t="e">
        <f t="shared" ca="1" si="65"/>
        <v>#N/A</v>
      </c>
      <c r="AK166" s="55" t="e">
        <f t="shared" ca="1" si="59"/>
        <v>#N/A</v>
      </c>
      <c r="AL166" s="55" t="e">
        <f t="shared" ca="1" si="60"/>
        <v>#N/A</v>
      </c>
      <c r="AM166" s="55" t="e">
        <f t="shared" ca="1" si="61"/>
        <v>#N/A</v>
      </c>
    </row>
    <row r="167" spans="18:39">
      <c r="R167" s="83">
        <f ca="1"/>
        <v>45668</v>
      </c>
      <c r="S167" s="55">
        <f t="shared" ca="1" si="53"/>
        <v>45668</v>
      </c>
      <c r="T167" s="55">
        <f t="shared" ca="1" si="47"/>
        <v>82.672577404302871</v>
      </c>
      <c r="U167" s="55">
        <f t="shared" ca="1" si="48"/>
        <v>160.66931545047737</v>
      </c>
      <c r="V167" s="55">
        <f t="shared" ca="1" si="49"/>
        <v>0</v>
      </c>
      <c r="W167" s="55">
        <f t="shared" ca="1" si="54"/>
        <v>-29.070728591425024</v>
      </c>
      <c r="X167" s="55">
        <f t="shared" ca="1" si="55"/>
        <v>113.93726623986763</v>
      </c>
      <c r="Y167" s="55">
        <f t="shared" ca="1" si="56"/>
        <v>15.669247511279451</v>
      </c>
      <c r="Z167" s="55">
        <f t="shared" ca="1" si="57"/>
        <v>59.050757899375412</v>
      </c>
      <c r="AB167">
        <f t="shared" ca="1" si="50"/>
        <v>41.838717937865979</v>
      </c>
      <c r="AC167">
        <f t="shared" ca="1" si="58"/>
        <v>83.290313889792031</v>
      </c>
      <c r="AD167">
        <f t="shared" ca="1" si="51"/>
        <v>0</v>
      </c>
      <c r="AE167">
        <f t="shared" ca="1" si="52"/>
        <v>0.99915842700334978</v>
      </c>
      <c r="AF167" s="83" t="e">
        <f ca="1"/>
        <v>#N/A</v>
      </c>
      <c r="AG167" s="55" t="e">
        <f t="shared" ca="1" si="62"/>
        <v>#N/A</v>
      </c>
      <c r="AH167" s="55" t="e">
        <f t="shared" ca="1" si="63"/>
        <v>#N/A</v>
      </c>
      <c r="AI167" s="55" t="e">
        <f t="shared" ca="1" si="64"/>
        <v>#N/A</v>
      </c>
      <c r="AJ167" s="55" t="e">
        <f t="shared" ca="1" si="65"/>
        <v>#N/A</v>
      </c>
      <c r="AK167" s="55" t="e">
        <f t="shared" ca="1" si="59"/>
        <v>#N/A</v>
      </c>
      <c r="AL167" s="55" t="e">
        <f t="shared" ca="1" si="60"/>
        <v>#N/A</v>
      </c>
      <c r="AM167" s="55" t="e">
        <f t="shared" ca="1" si="61"/>
        <v>#N/A</v>
      </c>
    </row>
    <row r="168" spans="18:39">
      <c r="R168" s="83">
        <f ca="1"/>
        <v>45669</v>
      </c>
      <c r="S168" s="55">
        <f t="shared" ca="1" si="53"/>
        <v>45669</v>
      </c>
      <c r="T168" s="55">
        <f t="shared" ca="1" si="47"/>
        <v>77.245940649696308</v>
      </c>
      <c r="U168" s="55">
        <f t="shared" ca="1" si="48"/>
        <v>166.64745186805516</v>
      </c>
      <c r="V168" s="55">
        <f t="shared" ca="1" si="49"/>
        <v>0</v>
      </c>
      <c r="W168" s="55">
        <f t="shared" ca="1" si="54"/>
        <v>-29.070728591425024</v>
      </c>
      <c r="X168" s="55">
        <f t="shared" ca="1" si="55"/>
        <v>114.48277685299787</v>
      </c>
      <c r="Y168" s="55">
        <f t="shared" ca="1" si="56"/>
        <v>15.675236561120432</v>
      </c>
      <c r="Z168" s="55">
        <f t="shared" ca="1" si="57"/>
        <v>59.781364175777867</v>
      </c>
      <c r="AB168">
        <f t="shared" ca="1" si="50"/>
        <v>39.305256832595802</v>
      </c>
      <c r="AC168">
        <f t="shared" ca="1" si="58"/>
        <v>83.290313889792031</v>
      </c>
      <c r="AD168">
        <f t="shared" ca="1" si="51"/>
        <v>0</v>
      </c>
      <c r="AE168">
        <f t="shared" ca="1" si="52"/>
        <v>0.99929075793693933</v>
      </c>
      <c r="AF168" s="83" t="e">
        <f ca="1"/>
        <v>#N/A</v>
      </c>
      <c r="AG168" s="55" t="e">
        <f t="shared" ca="1" si="62"/>
        <v>#N/A</v>
      </c>
      <c r="AH168" s="55" t="e">
        <f t="shared" ca="1" si="63"/>
        <v>#N/A</v>
      </c>
      <c r="AI168" s="55" t="e">
        <f t="shared" ca="1" si="64"/>
        <v>#N/A</v>
      </c>
      <c r="AJ168" s="55" t="e">
        <f t="shared" ca="1" si="65"/>
        <v>#N/A</v>
      </c>
      <c r="AK168" s="55" t="e">
        <f t="shared" ca="1" si="59"/>
        <v>#N/A</v>
      </c>
      <c r="AL168" s="55" t="e">
        <f t="shared" ca="1" si="60"/>
        <v>#N/A</v>
      </c>
      <c r="AM168" s="55" t="e">
        <f t="shared" ca="1" si="61"/>
        <v>#N/A</v>
      </c>
    </row>
    <row r="169" spans="18:39">
      <c r="R169" s="83">
        <f ca="1"/>
        <v>45670</v>
      </c>
      <c r="S169" s="55">
        <f t="shared" ca="1" si="53"/>
        <v>45670</v>
      </c>
      <c r="T169" s="55">
        <f t="shared" ca="1" si="47"/>
        <v>71.767430265450088</v>
      </c>
      <c r="U169" s="55">
        <f t="shared" ca="1" si="48"/>
        <v>172.69848554816636</v>
      </c>
      <c r="V169" s="55">
        <f t="shared" ca="1" si="49"/>
        <v>0</v>
      </c>
      <c r="W169" s="55">
        <f t="shared" ca="1" si="54"/>
        <v>-29.070728591425024</v>
      </c>
      <c r="X169" s="55">
        <f t="shared" ca="1" si="55"/>
        <v>115.04901486206549</v>
      </c>
      <c r="Y169" s="55">
        <f t="shared" ca="1" si="56"/>
        <v>15.681521847917798</v>
      </c>
      <c r="Z169" s="55">
        <f t="shared" ca="1" si="57"/>
        <v>60.510336801112032</v>
      </c>
      <c r="AB169">
        <f t="shared" ca="1" si="50"/>
        <v>41.842814098444499</v>
      </c>
      <c r="AC169">
        <f t="shared" ca="1" si="58"/>
        <v>83.290313889792031</v>
      </c>
      <c r="AD169">
        <f t="shared" ca="1" si="51"/>
        <v>0</v>
      </c>
      <c r="AE169">
        <f t="shared" ca="1" si="52"/>
        <v>0.99940318630690694</v>
      </c>
      <c r="AF169" s="83" t="e">
        <f ca="1"/>
        <v>#N/A</v>
      </c>
      <c r="AG169" s="55" t="e">
        <f t="shared" ca="1" si="62"/>
        <v>#N/A</v>
      </c>
      <c r="AH169" s="55" t="e">
        <f t="shared" ca="1" si="63"/>
        <v>#N/A</v>
      </c>
      <c r="AI169" s="55" t="e">
        <f t="shared" ca="1" si="64"/>
        <v>#N/A</v>
      </c>
      <c r="AJ169" s="55" t="e">
        <f t="shared" ca="1" si="65"/>
        <v>#N/A</v>
      </c>
      <c r="AK169" s="55" t="e">
        <f t="shared" ca="1" si="59"/>
        <v>#N/A</v>
      </c>
      <c r="AL169" s="55" t="e">
        <f t="shared" ca="1" si="60"/>
        <v>#N/A</v>
      </c>
      <c r="AM169" s="55" t="e">
        <f t="shared" ca="1" si="61"/>
        <v>#N/A</v>
      </c>
    </row>
    <row r="170" spans="18:39">
      <c r="R170" s="83">
        <f ca="1"/>
        <v>45671</v>
      </c>
      <c r="S170" s="55">
        <f t="shared" ca="1" si="53"/>
        <v>45671</v>
      </c>
      <c r="T170" s="55">
        <f t="shared" ca="1" si="47"/>
        <v>66.217971399475417</v>
      </c>
      <c r="U170" s="55">
        <f t="shared" ca="1" si="48"/>
        <v>178.82806298076073</v>
      </c>
      <c r="V170" s="55">
        <f t="shared" ca="1" si="49"/>
        <v>0</v>
      </c>
      <c r="W170" s="55">
        <f t="shared" ca="1" si="54"/>
        <v>-29.070728591425024</v>
      </c>
      <c r="X170" s="55">
        <f t="shared" ca="1" si="55"/>
        <v>115.62295768556797</v>
      </c>
      <c r="Y170" s="55">
        <f t="shared" ca="1" si="56"/>
        <v>15.68769759103502</v>
      </c>
      <c r="Z170" s="55">
        <f t="shared" ca="1" si="57"/>
        <v>61.295774325943739</v>
      </c>
      <c r="AB170">
        <f t="shared" ca="1" si="50"/>
        <v>41.570208542937607</v>
      </c>
      <c r="AC170">
        <f t="shared" ca="1" si="58"/>
        <v>83.290313889792031</v>
      </c>
      <c r="AD170">
        <f t="shared" ca="1" si="51"/>
        <v>0</v>
      </c>
      <c r="AE170">
        <f t="shared" ca="1" si="52"/>
        <v>0.99949883309852527</v>
      </c>
      <c r="AF170" s="83" t="e">
        <f ca="1"/>
        <v>#N/A</v>
      </c>
      <c r="AG170" s="55" t="e">
        <f t="shared" ca="1" si="62"/>
        <v>#N/A</v>
      </c>
      <c r="AH170" s="55" t="e">
        <f t="shared" ca="1" si="63"/>
        <v>#N/A</v>
      </c>
      <c r="AI170" s="55" t="e">
        <f t="shared" ca="1" si="64"/>
        <v>#N/A</v>
      </c>
      <c r="AJ170" s="55" t="e">
        <f t="shared" ca="1" si="65"/>
        <v>#N/A</v>
      </c>
      <c r="AK170" s="55" t="e">
        <f t="shared" ca="1" si="59"/>
        <v>#N/A</v>
      </c>
      <c r="AL170" s="55" t="e">
        <f t="shared" ca="1" si="60"/>
        <v>#N/A</v>
      </c>
      <c r="AM170" s="55" t="e">
        <f t="shared" ca="1" si="61"/>
        <v>#N/A</v>
      </c>
    </row>
    <row r="171" spans="18:39">
      <c r="R171" s="83">
        <f ca="1"/>
        <v>45672</v>
      </c>
      <c r="S171" s="55">
        <f t="shared" ca="1" si="53"/>
        <v>45672</v>
      </c>
      <c r="T171" s="55">
        <f t="shared" ca="1" si="47"/>
        <v>136.28874847071023</v>
      </c>
      <c r="U171" s="55">
        <f t="shared" ca="1" si="48"/>
        <v>184.93943569274305</v>
      </c>
      <c r="V171" s="55">
        <f t="shared" ca="1" si="49"/>
        <v>75.614217737865161</v>
      </c>
      <c r="W171" s="55">
        <f t="shared" ca="1" si="54"/>
        <v>-29.070728591425024</v>
      </c>
      <c r="X171" s="55">
        <f t="shared" ca="1" si="55"/>
        <v>116.18514962273863</v>
      </c>
      <c r="Y171" s="55">
        <f t="shared" ca="1" si="56"/>
        <v>15.69343769921633</v>
      </c>
      <c r="Z171" s="55">
        <f t="shared" ca="1" si="57"/>
        <v>61.113727119823125</v>
      </c>
      <c r="AB171">
        <f t="shared" ca="1" si="50"/>
        <v>39.72505439527184</v>
      </c>
      <c r="AC171">
        <f t="shared" ca="1" si="58"/>
        <v>83.290313889792031</v>
      </c>
      <c r="AD171">
        <f t="shared" ca="1" si="51"/>
        <v>0</v>
      </c>
      <c r="AE171">
        <f t="shared" ca="1" si="52"/>
        <v>0.99957903974117901</v>
      </c>
      <c r="AF171" s="83" t="e">
        <f ca="1"/>
        <v>#N/A</v>
      </c>
      <c r="AG171" s="55" t="e">
        <f t="shared" ca="1" si="62"/>
        <v>#N/A</v>
      </c>
      <c r="AH171" s="55" t="e">
        <f t="shared" ca="1" si="63"/>
        <v>#N/A</v>
      </c>
      <c r="AI171" s="55" t="e">
        <f t="shared" ca="1" si="64"/>
        <v>#N/A</v>
      </c>
      <c r="AJ171" s="55" t="e">
        <f t="shared" ca="1" si="65"/>
        <v>#N/A</v>
      </c>
      <c r="AK171" s="55" t="e">
        <f t="shared" ca="1" si="59"/>
        <v>#N/A</v>
      </c>
      <c r="AL171" s="55" t="e">
        <f t="shared" ca="1" si="60"/>
        <v>#N/A</v>
      </c>
      <c r="AM171" s="55" t="e">
        <f t="shared" ca="1" si="61"/>
        <v>#N/A</v>
      </c>
    </row>
    <row r="172" spans="18:39">
      <c r="R172" s="83">
        <f ca="1"/>
        <v>45673</v>
      </c>
      <c r="S172" s="55">
        <f t="shared" ca="1" si="53"/>
        <v>45673</v>
      </c>
      <c r="T172" s="55">
        <f t="shared" ca="1" si="47"/>
        <v>130.78130523552119</v>
      </c>
      <c r="U172" s="55">
        <f t="shared" ca="1" si="48"/>
        <v>191.02112698435027</v>
      </c>
      <c r="V172" s="55">
        <f t="shared" ca="1" si="49"/>
        <v>0</v>
      </c>
      <c r="W172" s="55">
        <f t="shared" ca="1" si="54"/>
        <v>-29.070728591425024</v>
      </c>
      <c r="X172" s="55">
        <f t="shared" ca="1" si="55"/>
        <v>116.75363130479845</v>
      </c>
      <c r="Y172" s="55">
        <f t="shared" ca="1" si="56"/>
        <v>15.699204073574691</v>
      </c>
      <c r="Z172" s="55">
        <f t="shared" ca="1" si="57"/>
        <v>60.816912916072283</v>
      </c>
      <c r="AB172">
        <f t="shared" ca="1" si="50"/>
        <v>40.986427553251325</v>
      </c>
      <c r="AC172">
        <f t="shared" ca="1" si="58"/>
        <v>83.290313889792031</v>
      </c>
      <c r="AD172">
        <f t="shared" ca="1" si="51"/>
        <v>0</v>
      </c>
      <c r="AE172">
        <f t="shared" ca="1" si="52"/>
        <v>0.99964634856401458</v>
      </c>
      <c r="AF172" s="83" t="e">
        <f ca="1"/>
        <v>#N/A</v>
      </c>
      <c r="AG172" s="55" t="e">
        <f t="shared" ca="1" si="62"/>
        <v>#N/A</v>
      </c>
      <c r="AH172" s="55" t="e">
        <f t="shared" ca="1" si="63"/>
        <v>#N/A</v>
      </c>
      <c r="AI172" s="55" t="e">
        <f t="shared" ca="1" si="64"/>
        <v>#N/A</v>
      </c>
      <c r="AJ172" s="55" t="e">
        <f t="shared" ca="1" si="65"/>
        <v>#N/A</v>
      </c>
      <c r="AK172" s="55" t="e">
        <f t="shared" ca="1" si="59"/>
        <v>#N/A</v>
      </c>
      <c r="AL172" s="55" t="e">
        <f t="shared" ca="1" si="60"/>
        <v>#N/A</v>
      </c>
      <c r="AM172" s="55" t="e">
        <f t="shared" ca="1" si="61"/>
        <v>#N/A</v>
      </c>
    </row>
    <row r="173" spans="18:39">
      <c r="R173" s="83">
        <f ca="1"/>
        <v>45674</v>
      </c>
      <c r="S173" s="55">
        <f t="shared" ca="1" si="53"/>
        <v>45674</v>
      </c>
      <c r="T173" s="55">
        <f t="shared" ca="1" si="47"/>
        <v>125.37741994686058</v>
      </c>
      <c r="U173" s="55">
        <f t="shared" ca="1" si="48"/>
        <v>196.99409825285022</v>
      </c>
      <c r="V173" s="55">
        <f t="shared" ca="1" si="49"/>
        <v>0</v>
      </c>
      <c r="W173" s="55">
        <f t="shared" ca="1" si="54"/>
        <v>-29.070728591425024</v>
      </c>
      <c r="X173" s="55">
        <f t="shared" ca="1" si="55"/>
        <v>117.31708232427157</v>
      </c>
      <c r="Y173" s="55">
        <f t="shared" ca="1" si="56"/>
        <v>15.704839033940907</v>
      </c>
      <c r="Z173" s="55">
        <f t="shared" ca="1" si="57"/>
        <v>59.72971268499947</v>
      </c>
      <c r="AB173">
        <f t="shared" ca="1" si="50"/>
        <v>41.721842348136683</v>
      </c>
      <c r="AC173">
        <f t="shared" ca="1" si="58"/>
        <v>83.290313889792031</v>
      </c>
      <c r="AD173">
        <f t="shared" ca="1" si="51"/>
        <v>0</v>
      </c>
      <c r="AE173">
        <f t="shared" ca="1" si="52"/>
        <v>0.99970228672018679</v>
      </c>
      <c r="AF173" s="83" t="e">
        <f ca="1"/>
        <v>#N/A</v>
      </c>
      <c r="AG173" s="55" t="e">
        <f t="shared" ca="1" si="62"/>
        <v>#N/A</v>
      </c>
      <c r="AH173" s="55" t="e">
        <f t="shared" ca="1" si="63"/>
        <v>#N/A</v>
      </c>
      <c r="AI173" s="55" t="e">
        <f t="shared" ca="1" si="64"/>
        <v>#N/A</v>
      </c>
      <c r="AJ173" s="55" t="e">
        <f t="shared" ca="1" si="65"/>
        <v>#N/A</v>
      </c>
      <c r="AK173" s="55" t="e">
        <f t="shared" ca="1" si="59"/>
        <v>#N/A</v>
      </c>
      <c r="AL173" s="55" t="e">
        <f t="shared" ca="1" si="60"/>
        <v>#N/A</v>
      </c>
      <c r="AM173" s="55" t="e">
        <f t="shared" ca="1" si="61"/>
        <v>#N/A</v>
      </c>
    </row>
    <row r="174" spans="18:39">
      <c r="R174" s="83">
        <f ca="1"/>
        <v>45675</v>
      </c>
      <c r="S174" s="55">
        <f t="shared" ca="1" si="53"/>
        <v>45675</v>
      </c>
      <c r="T174" s="55">
        <f t="shared" ca="1" si="47"/>
        <v>120.00754782308205</v>
      </c>
      <c r="U174" s="55">
        <f t="shared" ca="1" si="48"/>
        <v>202.93260666707093</v>
      </c>
      <c r="V174" s="55">
        <f t="shared" ca="1" si="49"/>
        <v>0</v>
      </c>
      <c r="W174" s="55">
        <f t="shared" ca="1" si="54"/>
        <v>-29.070728591425024</v>
      </c>
      <c r="X174" s="55">
        <f t="shared" ca="1" si="55"/>
        <v>117.8802609425377</v>
      </c>
      <c r="Y174" s="55">
        <f t="shared" ca="1" si="56"/>
        <v>15.710296706116937</v>
      </c>
      <c r="Z174" s="55">
        <f t="shared" ca="1" si="57"/>
        <v>59.385084142207063</v>
      </c>
      <c r="AB174">
        <f t="shared" ca="1" si="50"/>
        <v>41.305513381518054</v>
      </c>
      <c r="AC174">
        <f t="shared" ca="1" si="58"/>
        <v>83.290313889792031</v>
      </c>
      <c r="AD174">
        <f t="shared" ca="1" si="51"/>
        <v>0</v>
      </c>
      <c r="AE174">
        <f t="shared" ca="1" si="52"/>
        <v>0.99974949629632404</v>
      </c>
      <c r="AF174" s="83" t="e">
        <f ca="1"/>
        <v>#N/A</v>
      </c>
      <c r="AG174" s="55" t="e">
        <f t="shared" ca="1" si="62"/>
        <v>#N/A</v>
      </c>
      <c r="AH174" s="55" t="e">
        <f t="shared" ca="1" si="63"/>
        <v>#N/A</v>
      </c>
      <c r="AI174" s="55" t="e">
        <f t="shared" ca="1" si="64"/>
        <v>#N/A</v>
      </c>
      <c r="AJ174" s="55" t="e">
        <f t="shared" ca="1" si="65"/>
        <v>#N/A</v>
      </c>
      <c r="AK174" s="55" t="e">
        <f t="shared" ca="1" si="59"/>
        <v>#N/A</v>
      </c>
      <c r="AL174" s="55" t="e">
        <f t="shared" ca="1" si="60"/>
        <v>#N/A</v>
      </c>
      <c r="AM174" s="55" t="e">
        <f t="shared" ca="1" si="61"/>
        <v>#N/A</v>
      </c>
    </row>
    <row r="175" spans="18:39">
      <c r="R175" s="83">
        <f ca="1"/>
        <v>45676</v>
      </c>
      <c r="S175" s="55">
        <f t="shared" ca="1" si="53"/>
        <v>45676</v>
      </c>
      <c r="T175" s="55">
        <f t="shared" ca="1" si="47"/>
        <v>114.62074447476267</v>
      </c>
      <c r="U175" s="55">
        <f t="shared" ca="1" si="48"/>
        <v>208.89871653600466</v>
      </c>
      <c r="V175" s="55">
        <f t="shared" ca="1" si="49"/>
        <v>0</v>
      </c>
      <c r="W175" s="55">
        <f t="shared" ca="1" si="54"/>
        <v>-29.070728591425024</v>
      </c>
      <c r="X175" s="55">
        <f t="shared" ca="1" si="55"/>
        <v>118.45417167658887</v>
      </c>
      <c r="Y175" s="55">
        <f t="shared" ca="1" si="56"/>
        <v>15.71569249268012</v>
      </c>
      <c r="Z175" s="55">
        <f t="shared" ca="1" si="57"/>
        <v>59.66109868933728</v>
      </c>
      <c r="AB175">
        <f t="shared" ca="1" si="50"/>
        <v>41.052646579456017</v>
      </c>
      <c r="AC175">
        <f t="shared" ca="1" si="58"/>
        <v>83.290313889792031</v>
      </c>
      <c r="AD175">
        <f t="shared" ca="1" si="51"/>
        <v>0</v>
      </c>
      <c r="AE175">
        <f t="shared" ca="1" si="52"/>
        <v>0.99978979190616746</v>
      </c>
      <c r="AF175" s="83" t="e">
        <f ca="1"/>
        <v>#N/A</v>
      </c>
      <c r="AG175" s="55" t="e">
        <f t="shared" ca="1" si="62"/>
        <v>#N/A</v>
      </c>
      <c r="AH175" s="55" t="e">
        <f t="shared" ca="1" si="63"/>
        <v>#N/A</v>
      </c>
      <c r="AI175" s="55" t="e">
        <f t="shared" ca="1" si="64"/>
        <v>#N/A</v>
      </c>
      <c r="AJ175" s="55" t="e">
        <f t="shared" ca="1" si="65"/>
        <v>#N/A</v>
      </c>
      <c r="AK175" s="55" t="e">
        <f t="shared" ca="1" si="59"/>
        <v>#N/A</v>
      </c>
      <c r="AL175" s="55" t="e">
        <f t="shared" ca="1" si="60"/>
        <v>#N/A</v>
      </c>
      <c r="AM175" s="55" t="e">
        <f t="shared" ca="1" si="61"/>
        <v>#N/A</v>
      </c>
    </row>
    <row r="176" spans="18:39">
      <c r="R176" s="83">
        <f ca="1"/>
        <v>45677</v>
      </c>
      <c r="S176" s="55">
        <f t="shared" ca="1" si="53"/>
        <v>45677</v>
      </c>
      <c r="T176" s="55">
        <f t="shared" ca="1" si="47"/>
        <v>109.31875698374812</v>
      </c>
      <c r="U176" s="55">
        <f t="shared" ca="1" si="48"/>
        <v>214.76360650823418</v>
      </c>
      <c r="V176" s="55">
        <f t="shared" ca="1" si="49"/>
        <v>0</v>
      </c>
      <c r="W176" s="55">
        <f t="shared" ca="1" si="54"/>
        <v>-29.070728591425024</v>
      </c>
      <c r="X176" s="55">
        <f t="shared" ca="1" si="55"/>
        <v>119.01213052969457</v>
      </c>
      <c r="Y176" s="55">
        <f t="shared" ca="1" si="56"/>
        <v>15.720636120789374</v>
      </c>
      <c r="Z176" s="55">
        <f t="shared" ca="1" si="57"/>
        <v>58.648899722295198</v>
      </c>
      <c r="AB176">
        <f t="shared" ca="1" si="50"/>
        <v>38.738242048884146</v>
      </c>
      <c r="AC176">
        <f t="shared" ca="1" si="58"/>
        <v>83.290313889792031</v>
      </c>
      <c r="AD176">
        <f t="shared" ca="1" si="51"/>
        <v>0</v>
      </c>
      <c r="AE176">
        <f t="shared" ca="1" si="52"/>
        <v>0.99982349130137749</v>
      </c>
      <c r="AF176" s="83" t="e">
        <f ca="1"/>
        <v>#N/A</v>
      </c>
      <c r="AG176" s="55" t="e">
        <f t="shared" ca="1" si="62"/>
        <v>#N/A</v>
      </c>
      <c r="AH176" s="55" t="e">
        <f t="shared" ca="1" si="63"/>
        <v>#N/A</v>
      </c>
      <c r="AI176" s="55" t="e">
        <f t="shared" ca="1" si="64"/>
        <v>#N/A</v>
      </c>
      <c r="AJ176" s="55" t="e">
        <f t="shared" ca="1" si="65"/>
        <v>#N/A</v>
      </c>
      <c r="AK176" s="55" t="e">
        <f t="shared" ca="1" si="59"/>
        <v>#N/A</v>
      </c>
      <c r="AL176" s="55" t="e">
        <f t="shared" ca="1" si="60"/>
        <v>#N/A</v>
      </c>
      <c r="AM176" s="55" t="e">
        <f t="shared" ca="1" si="61"/>
        <v>#N/A</v>
      </c>
    </row>
    <row r="177" spans="18:39">
      <c r="R177" s="83">
        <f ca="1"/>
        <v>45678</v>
      </c>
      <c r="S177" s="55">
        <f t="shared" ca="1" si="53"/>
        <v>45678</v>
      </c>
      <c r="T177" s="55">
        <f t="shared" ca="1" si="47"/>
        <v>104.11451768173099</v>
      </c>
      <c r="U177" s="55">
        <f t="shared" ca="1" si="48"/>
        <v>220.60763980018797</v>
      </c>
      <c r="V177" s="55">
        <f t="shared" ca="1" si="49"/>
        <v>0</v>
      </c>
      <c r="W177" s="55">
        <f t="shared" ca="1" si="54"/>
        <v>-29.070728591425024</v>
      </c>
      <c r="X177" s="55">
        <f t="shared" ca="1" si="55"/>
        <v>119.64567976967159</v>
      </c>
      <c r="Y177" s="55">
        <f t="shared" ca="1" si="56"/>
        <v>15.726880870749028</v>
      </c>
      <c r="Z177" s="55">
        <f t="shared" ca="1" si="57"/>
        <v>58.440332919537923</v>
      </c>
      <c r="AB177">
        <f t="shared" ca="1" si="50"/>
        <v>49.490152751404906</v>
      </c>
      <c r="AC177">
        <f t="shared" ca="1" si="58"/>
        <v>83.290313889792031</v>
      </c>
      <c r="AD177">
        <f t="shared" ca="1" si="51"/>
        <v>0</v>
      </c>
      <c r="AE177">
        <f t="shared" ca="1" si="52"/>
        <v>0.99985210735383834</v>
      </c>
      <c r="AF177" s="83" t="e">
        <f ca="1"/>
        <v>#N/A</v>
      </c>
      <c r="AG177" s="55" t="e">
        <f t="shared" ca="1" si="62"/>
        <v>#N/A</v>
      </c>
      <c r="AH177" s="55" t="e">
        <f t="shared" ca="1" si="63"/>
        <v>#N/A</v>
      </c>
      <c r="AI177" s="55" t="e">
        <f t="shared" ca="1" si="64"/>
        <v>#N/A</v>
      </c>
      <c r="AJ177" s="55" t="e">
        <f t="shared" ca="1" si="65"/>
        <v>#N/A</v>
      </c>
      <c r="AK177" s="55" t="e">
        <f t="shared" ca="1" si="59"/>
        <v>#N/A</v>
      </c>
      <c r="AL177" s="55" t="e">
        <f t="shared" ca="1" si="60"/>
        <v>#N/A</v>
      </c>
      <c r="AM177" s="55" t="e">
        <f t="shared" ca="1" si="61"/>
        <v>#N/A</v>
      </c>
    </row>
    <row r="178" spans="18:39">
      <c r="R178" s="83">
        <f ca="1"/>
        <v>45679</v>
      </c>
      <c r="S178" s="55">
        <f t="shared" ca="1" si="53"/>
        <v>45679</v>
      </c>
      <c r="T178" s="55">
        <f t="shared" ca="1" si="47"/>
        <v>99.00369430756291</v>
      </c>
      <c r="U178" s="55">
        <f t="shared" ca="1" si="48"/>
        <v>226.37308365755311</v>
      </c>
      <c r="V178" s="55">
        <f t="shared" ca="1" si="49"/>
        <v>0</v>
      </c>
      <c r="W178" s="55">
        <f t="shared" ca="1" si="54"/>
        <v>-29.070728591425024</v>
      </c>
      <c r="X178" s="55">
        <f t="shared" ca="1" si="55"/>
        <v>120.29401799902399</v>
      </c>
      <c r="Y178" s="55">
        <f t="shared" ca="1" si="56"/>
        <v>15.733163124593693</v>
      </c>
      <c r="Z178" s="55">
        <f t="shared" ca="1" si="57"/>
        <v>57.654438573651419</v>
      </c>
      <c r="AB178">
        <f t="shared" ca="1" si="50"/>
        <v>51.045126536858021</v>
      </c>
      <c r="AC178">
        <f t="shared" ca="1" si="58"/>
        <v>83.290313889792031</v>
      </c>
      <c r="AD178">
        <f t="shared" ca="1" si="51"/>
        <v>0</v>
      </c>
      <c r="AE178">
        <f t="shared" ca="1" si="52"/>
        <v>0.99987618889586705</v>
      </c>
      <c r="AF178" s="83" t="e">
        <f ca="1"/>
        <v>#N/A</v>
      </c>
      <c r="AG178" s="55" t="e">
        <f t="shared" ca="1" si="62"/>
        <v>#N/A</v>
      </c>
      <c r="AH178" s="55" t="e">
        <f t="shared" ca="1" si="63"/>
        <v>#N/A</v>
      </c>
      <c r="AI178" s="55" t="e">
        <f t="shared" ca="1" si="64"/>
        <v>#N/A</v>
      </c>
      <c r="AJ178" s="55" t="e">
        <f t="shared" ca="1" si="65"/>
        <v>#N/A</v>
      </c>
      <c r="AK178" s="55" t="e">
        <f t="shared" ca="1" si="59"/>
        <v>#N/A</v>
      </c>
      <c r="AL178" s="55" t="e">
        <f t="shared" ca="1" si="60"/>
        <v>#N/A</v>
      </c>
      <c r="AM178" s="55" t="e">
        <f t="shared" ca="1" si="61"/>
        <v>#N/A</v>
      </c>
    </row>
    <row r="179" spans="18:39">
      <c r="R179" s="83">
        <f ca="1"/>
        <v>45680</v>
      </c>
      <c r="S179" s="55">
        <f t="shared" ca="1" si="53"/>
        <v>45680</v>
      </c>
      <c r="T179" s="55">
        <f t="shared" ca="1" si="47"/>
        <v>93.999513667435565</v>
      </c>
      <c r="U179" s="55">
        <f t="shared" ca="1" si="48"/>
        <v>232.02650615633846</v>
      </c>
      <c r="V179" s="55">
        <f t="shared" ca="1" si="49"/>
        <v>0</v>
      </c>
      <c r="W179" s="55">
        <f t="shared" ca="1" si="54"/>
        <v>-29.070728591425024</v>
      </c>
      <c r="X179" s="55">
        <f t="shared" ca="1" si="55"/>
        <v>120.93726774979521</v>
      </c>
      <c r="Y179" s="55">
        <f t="shared" ca="1" si="56"/>
        <v>15.739155232480483</v>
      </c>
      <c r="Z179" s="55">
        <f t="shared" ca="1" si="57"/>
        <v>56.534224987853463</v>
      </c>
      <c r="AB179">
        <f t="shared" ca="1" si="50"/>
        <v>50.166365815375755</v>
      </c>
      <c r="AC179">
        <f t="shared" ca="1" si="58"/>
        <v>83.290313889792031</v>
      </c>
      <c r="AD179">
        <f t="shared" ca="1" si="51"/>
        <v>0</v>
      </c>
      <c r="AE179">
        <f t="shared" ca="1" si="52"/>
        <v>0.99989636899710566</v>
      </c>
      <c r="AF179" s="83" t="e">
        <f ca="1"/>
        <v>#N/A</v>
      </c>
      <c r="AG179" s="55" t="e">
        <f t="shared" ca="1" si="62"/>
        <v>#N/A</v>
      </c>
      <c r="AH179" s="55" t="e">
        <f t="shared" ca="1" si="63"/>
        <v>#N/A</v>
      </c>
      <c r="AI179" s="55" t="e">
        <f t="shared" ca="1" si="64"/>
        <v>#N/A</v>
      </c>
      <c r="AJ179" s="55" t="e">
        <f t="shared" ca="1" si="65"/>
        <v>#N/A</v>
      </c>
      <c r="AK179" s="55" t="e">
        <f t="shared" ca="1" si="59"/>
        <v>#N/A</v>
      </c>
      <c r="AL179" s="55" t="e">
        <f t="shared" ca="1" si="60"/>
        <v>#N/A</v>
      </c>
      <c r="AM179" s="55" t="e">
        <f t="shared" ca="1" si="61"/>
        <v>#N/A</v>
      </c>
    </row>
    <row r="180" spans="18:39">
      <c r="R180" s="83">
        <f ca="1"/>
        <v>45681</v>
      </c>
      <c r="S180" s="55">
        <f t="shared" ca="1" si="53"/>
        <v>45681</v>
      </c>
      <c r="T180" s="55">
        <f t="shared" ca="1" si="47"/>
        <v>89.120507608310987</v>
      </c>
      <c r="U180" s="55">
        <f t="shared" ca="1" si="48"/>
        <v>237.56298662024801</v>
      </c>
      <c r="V180" s="55">
        <f t="shared" ca="1" si="49"/>
        <v>0</v>
      </c>
      <c r="W180" s="55">
        <f t="shared" ca="1" si="54"/>
        <v>-29.070728591425024</v>
      </c>
      <c r="X180" s="55">
        <f t="shared" ca="1" si="55"/>
        <v>121.58880972857168</v>
      </c>
      <c r="Y180" s="55">
        <f t="shared" ca="1" si="56"/>
        <v>15.745087658488995</v>
      </c>
      <c r="Z180" s="55">
        <f t="shared" ca="1" si="57"/>
        <v>55.364804639095553</v>
      </c>
      <c r="AB180">
        <f t="shared" ca="1" si="50"/>
        <v>51.097291181186975</v>
      </c>
      <c r="AC180">
        <f t="shared" ca="1" si="58"/>
        <v>83.290313889792031</v>
      </c>
      <c r="AD180">
        <f t="shared" ca="1" si="51"/>
        <v>0</v>
      </c>
      <c r="AE180">
        <f t="shared" ca="1" si="52"/>
        <v>0.99991329264155582</v>
      </c>
      <c r="AF180" s="83" t="e">
        <f ca="1"/>
        <v>#N/A</v>
      </c>
      <c r="AG180" s="55" t="e">
        <f t="shared" ca="1" si="62"/>
        <v>#N/A</v>
      </c>
      <c r="AH180" s="55" t="e">
        <f t="shared" ca="1" si="63"/>
        <v>#N/A</v>
      </c>
      <c r="AI180" s="55" t="e">
        <f t="shared" ca="1" si="64"/>
        <v>#N/A</v>
      </c>
      <c r="AJ180" s="55" t="e">
        <f t="shared" ca="1" si="65"/>
        <v>#N/A</v>
      </c>
      <c r="AK180" s="55" t="e">
        <f t="shared" ca="1" si="59"/>
        <v>#N/A</v>
      </c>
      <c r="AL180" s="55" t="e">
        <f t="shared" ca="1" si="60"/>
        <v>#N/A</v>
      </c>
      <c r="AM180" s="55" t="e">
        <f t="shared" ca="1" si="61"/>
        <v>#N/A</v>
      </c>
    </row>
    <row r="181" spans="18:39">
      <c r="R181" s="83">
        <f ca="1"/>
        <v>45682</v>
      </c>
      <c r="S181" s="55">
        <f t="shared" ca="1" si="53"/>
        <v>45682</v>
      </c>
      <c r="T181" s="55">
        <f t="shared" ca="1" si="47"/>
        <v>84.33591798378967</v>
      </c>
      <c r="U181" s="55">
        <f t="shared" ca="1" si="48"/>
        <v>243.02551432747643</v>
      </c>
      <c r="V181" s="55">
        <f t="shared" ca="1" si="49"/>
        <v>0</v>
      </c>
      <c r="W181" s="55">
        <f t="shared" ca="1" si="54"/>
        <v>-29.070728591425024</v>
      </c>
      <c r="X181" s="55">
        <f t="shared" ca="1" si="55"/>
        <v>122.26075815728014</v>
      </c>
      <c r="Y181" s="55">
        <f t="shared" ca="1" si="56"/>
        <v>15.75107731248764</v>
      </c>
      <c r="Z181" s="55">
        <f t="shared" ca="1" si="57"/>
        <v>54.625277072284177</v>
      </c>
      <c r="AB181">
        <f t="shared" ca="1" si="50"/>
        <v>52.422097535324319</v>
      </c>
      <c r="AC181">
        <f t="shared" ca="1" si="58"/>
        <v>83.290313889792031</v>
      </c>
      <c r="AD181">
        <f t="shared" ca="1" si="51"/>
        <v>0</v>
      </c>
      <c r="AE181">
        <f t="shared" ca="1" si="52"/>
        <v>0.99992760858368457</v>
      </c>
      <c r="AF181" s="83" t="e">
        <f ca="1"/>
        <v>#N/A</v>
      </c>
      <c r="AG181" s="55" t="e">
        <f t="shared" ca="1" si="62"/>
        <v>#N/A</v>
      </c>
      <c r="AH181" s="55" t="e">
        <f t="shared" ca="1" si="63"/>
        <v>#N/A</v>
      </c>
      <c r="AI181" s="55" t="e">
        <f t="shared" ca="1" si="64"/>
        <v>#N/A</v>
      </c>
      <c r="AJ181" s="55" t="e">
        <f t="shared" ca="1" si="65"/>
        <v>#N/A</v>
      </c>
      <c r="AK181" s="55" t="e">
        <f t="shared" ca="1" si="59"/>
        <v>#N/A</v>
      </c>
      <c r="AL181" s="55" t="e">
        <f t="shared" ca="1" si="60"/>
        <v>#N/A</v>
      </c>
      <c r="AM181" s="55" t="e">
        <f t="shared" ca="1" si="61"/>
        <v>#N/A</v>
      </c>
    </row>
    <row r="182" spans="18:39">
      <c r="R182" s="83">
        <f ca="1"/>
        <v>45683</v>
      </c>
      <c r="S182" s="55">
        <f t="shared" ca="1" si="53"/>
        <v>45683</v>
      </c>
      <c r="T182" s="55">
        <f t="shared" ca="1" si="47"/>
        <v>79.652413718865603</v>
      </c>
      <c r="U182" s="55">
        <f t="shared" ca="1" si="48"/>
        <v>248.37067526357225</v>
      </c>
      <c r="V182" s="55">
        <f t="shared" ca="1" si="49"/>
        <v>0</v>
      </c>
      <c r="W182" s="55">
        <f t="shared" ca="1" si="54"/>
        <v>-29.070728591425024</v>
      </c>
      <c r="X182" s="55">
        <f t="shared" ca="1" si="55"/>
        <v>122.91690340449372</v>
      </c>
      <c r="Y182" s="55">
        <f t="shared" ca="1" si="56"/>
        <v>15.756588736445806</v>
      </c>
      <c r="Z182" s="55">
        <f t="shared" ca="1" si="57"/>
        <v>53.45160936095823</v>
      </c>
      <c r="AB182">
        <f t="shared" ca="1" si="50"/>
        <v>49.370988023885488</v>
      </c>
      <c r="AC182">
        <f t="shared" ca="1" si="58"/>
        <v>83.290313889792031</v>
      </c>
      <c r="AD182">
        <f t="shared" ca="1" si="51"/>
        <v>0</v>
      </c>
      <c r="AE182">
        <f t="shared" ca="1" si="52"/>
        <v>0.9999396287889325</v>
      </c>
      <c r="AF182" s="83" t="e">
        <f ca="1"/>
        <v>#N/A</v>
      </c>
      <c r="AG182" s="55" t="e">
        <f t="shared" ca="1" si="62"/>
        <v>#N/A</v>
      </c>
      <c r="AH182" s="55" t="e">
        <f t="shared" ca="1" si="63"/>
        <v>#N/A</v>
      </c>
      <c r="AI182" s="55" t="e">
        <f t="shared" ca="1" si="64"/>
        <v>#N/A</v>
      </c>
      <c r="AJ182" s="55" t="e">
        <f t="shared" ca="1" si="65"/>
        <v>#N/A</v>
      </c>
      <c r="AK182" s="55" t="e">
        <f t="shared" ca="1" si="59"/>
        <v>#N/A</v>
      </c>
      <c r="AL182" s="55" t="e">
        <f t="shared" ca="1" si="60"/>
        <v>#N/A</v>
      </c>
      <c r="AM182" s="55" t="e">
        <f t="shared" ca="1" si="61"/>
        <v>#N/A</v>
      </c>
    </row>
    <row r="183" spans="18:39">
      <c r="R183" s="83">
        <f ca="1"/>
        <v>45684</v>
      </c>
      <c r="S183" s="55">
        <f t="shared" ca="1" si="53"/>
        <v>45684</v>
      </c>
      <c r="T183" s="55">
        <f t="shared" ca="1" si="47"/>
        <v>75.196720994443552</v>
      </c>
      <c r="U183" s="55">
        <f t="shared" ca="1" si="48"/>
        <v>253.46999223653935</v>
      </c>
      <c r="V183" s="55">
        <f t="shared" ca="1" si="49"/>
        <v>0</v>
      </c>
      <c r="W183" s="55">
        <f t="shared" ca="1" si="54"/>
        <v>-29.070728591425024</v>
      </c>
      <c r="X183" s="55">
        <f t="shared" ca="1" si="55"/>
        <v>123.5553352998589</v>
      </c>
      <c r="Y183" s="55">
        <f t="shared" ca="1" si="56"/>
        <v>15.761781089625684</v>
      </c>
      <c r="Z183" s="55">
        <f t="shared" ca="1" si="57"/>
        <v>50.993169729671024</v>
      </c>
      <c r="AB183">
        <f t="shared" ca="1" si="50"/>
        <v>49.042415397972967</v>
      </c>
      <c r="AC183">
        <f t="shared" ca="1" si="58"/>
        <v>83.290313889792031</v>
      </c>
      <c r="AD183">
        <f t="shared" ca="1" si="51"/>
        <v>0</v>
      </c>
      <c r="AE183">
        <f t="shared" ca="1" si="52"/>
        <v>0.9999494976182447</v>
      </c>
      <c r="AF183" s="83" t="e">
        <f ca="1"/>
        <v>#N/A</v>
      </c>
      <c r="AG183" s="55" t="e">
        <f t="shared" ca="1" si="62"/>
        <v>#N/A</v>
      </c>
      <c r="AH183" s="55" t="e">
        <f t="shared" ca="1" si="63"/>
        <v>#N/A</v>
      </c>
      <c r="AI183" s="55" t="e">
        <f t="shared" ca="1" si="64"/>
        <v>#N/A</v>
      </c>
      <c r="AJ183" s="55" t="e">
        <f t="shared" ca="1" si="65"/>
        <v>#N/A</v>
      </c>
      <c r="AK183" s="55" t="e">
        <f t="shared" ca="1" si="59"/>
        <v>#N/A</v>
      </c>
      <c r="AL183" s="55" t="e">
        <f t="shared" ca="1" si="60"/>
        <v>#N/A</v>
      </c>
      <c r="AM183" s="55" t="e">
        <f t="shared" ca="1" si="61"/>
        <v>#N/A</v>
      </c>
    </row>
    <row r="184" spans="18:39">
      <c r="R184" s="83">
        <f ca="1"/>
        <v>45685</v>
      </c>
      <c r="S184" s="55">
        <f t="shared" ca="1" si="53"/>
        <v>45685</v>
      </c>
      <c r="T184" s="55">
        <f t="shared" ca="1" si="47"/>
        <v>70.855180994079205</v>
      </c>
      <c r="U184" s="55">
        <f t="shared" ca="1" si="48"/>
        <v>258.45053426250905</v>
      </c>
      <c r="V184" s="55">
        <f t="shared" ca="1" si="49"/>
        <v>0</v>
      </c>
      <c r="W184" s="55">
        <f t="shared" ca="1" si="54"/>
        <v>-29.070728591425024</v>
      </c>
      <c r="X184" s="55">
        <f t="shared" ca="1" si="55"/>
        <v>124.18942014651918</v>
      </c>
      <c r="Y184" s="55">
        <f t="shared" ca="1" si="56"/>
        <v>15.766698268570753</v>
      </c>
      <c r="Z184" s="55">
        <f t="shared" ca="1" si="57"/>
        <v>49.805420259696973</v>
      </c>
      <c r="AB184">
        <f t="shared" ca="1" si="50"/>
        <v>47.28585602968348</v>
      </c>
      <c r="AC184">
        <f t="shared" ca="1" si="58"/>
        <v>83.290313889792031</v>
      </c>
      <c r="AD184">
        <f t="shared" ca="1" si="51"/>
        <v>0</v>
      </c>
      <c r="AE184">
        <f t="shared" ca="1" si="52"/>
        <v>0.99995781642159243</v>
      </c>
      <c r="AF184" s="83" t="e">
        <f ca="1"/>
        <v>#N/A</v>
      </c>
      <c r="AG184" s="55" t="e">
        <f t="shared" ca="1" si="62"/>
        <v>#N/A</v>
      </c>
      <c r="AH184" s="55" t="e">
        <f t="shared" ca="1" si="63"/>
        <v>#N/A</v>
      </c>
      <c r="AI184" s="55" t="e">
        <f t="shared" ca="1" si="64"/>
        <v>#N/A</v>
      </c>
      <c r="AJ184" s="55" t="e">
        <f t="shared" ca="1" si="65"/>
        <v>#N/A</v>
      </c>
      <c r="AK184" s="55" t="e">
        <f t="shared" ca="1" si="59"/>
        <v>#N/A</v>
      </c>
      <c r="AL184" s="55" t="e">
        <f t="shared" ca="1" si="60"/>
        <v>#N/A</v>
      </c>
      <c r="AM184" s="55" t="e">
        <f t="shared" ca="1" si="61"/>
        <v>#N/A</v>
      </c>
    </row>
    <row r="185" spans="18:39">
      <c r="R185" s="83">
        <f ca="1"/>
        <v>45686</v>
      </c>
      <c r="S185" s="55">
        <f t="shared" ca="1" si="53"/>
        <v>45686</v>
      </c>
      <c r="T185" s="55">
        <f t="shared" ca="1" si="47"/>
        <v>66.625432577354005</v>
      </c>
      <c r="U185" s="55">
        <f t="shared" ca="1" si="48"/>
        <v>263.32311170122512</v>
      </c>
      <c r="V185" s="55">
        <f t="shared" ca="1" si="49"/>
        <v>0</v>
      </c>
      <c r="W185" s="55">
        <f t="shared" ca="1" si="54"/>
        <v>-29.070728591425024</v>
      </c>
      <c r="X185" s="55">
        <f t="shared" ca="1" si="55"/>
        <v>124.82749843859757</v>
      </c>
      <c r="Y185" s="55">
        <f t="shared" ca="1" si="56"/>
        <v>15.771448998483221</v>
      </c>
      <c r="Z185" s="55">
        <f t="shared" ca="1" si="57"/>
        <v>48.725774387160641</v>
      </c>
      <c r="AB185">
        <f t="shared" ca="1" si="50"/>
        <v>46.226719759154996</v>
      </c>
      <c r="AC185">
        <f t="shared" ca="1" si="58"/>
        <v>83.290313889792031</v>
      </c>
      <c r="AD185">
        <f t="shared" ca="1" si="51"/>
        <v>0</v>
      </c>
      <c r="AE185">
        <f t="shared" ca="1" si="52"/>
        <v>0.99996484397198615</v>
      </c>
      <c r="AF185" s="83" t="e">
        <f ca="1"/>
        <v>#N/A</v>
      </c>
      <c r="AG185" s="55" t="e">
        <f t="shared" ca="1" si="62"/>
        <v>#N/A</v>
      </c>
      <c r="AH185" s="55" t="e">
        <f t="shared" ca="1" si="63"/>
        <v>#N/A</v>
      </c>
      <c r="AI185" s="55" t="e">
        <f t="shared" ca="1" si="64"/>
        <v>#N/A</v>
      </c>
      <c r="AJ185" s="55" t="e">
        <f t="shared" ca="1" si="65"/>
        <v>#N/A</v>
      </c>
      <c r="AK185" s="55" t="e">
        <f t="shared" ca="1" si="59"/>
        <v>#N/A</v>
      </c>
      <c r="AL185" s="55" t="e">
        <f t="shared" ca="1" si="60"/>
        <v>#N/A</v>
      </c>
      <c r="AM185" s="55" t="e">
        <f t="shared" ca="1" si="61"/>
        <v>#N/A</v>
      </c>
    </row>
    <row r="186" spans="18:39">
      <c r="R186" s="83">
        <f ca="1"/>
        <v>45687</v>
      </c>
      <c r="S186" s="55">
        <f t="shared" ca="1" si="53"/>
        <v>45687</v>
      </c>
      <c r="T186" s="55">
        <f t="shared" ca="1" si="47"/>
        <v>62.530054068529822</v>
      </c>
      <c r="U186" s="55">
        <f t="shared" ca="1" si="48"/>
        <v>268.07762338830361</v>
      </c>
      <c r="V186" s="55">
        <f t="shared" ca="1" si="49"/>
        <v>0</v>
      </c>
      <c r="W186" s="55">
        <f t="shared" ca="1" si="54"/>
        <v>-29.070728591425024</v>
      </c>
      <c r="X186" s="55">
        <f t="shared" ca="1" si="55"/>
        <v>125.48185940665819</v>
      </c>
      <c r="Y186" s="55">
        <f t="shared" ca="1" si="56"/>
        <v>15.77622120867691</v>
      </c>
      <c r="Z186" s="55">
        <f t="shared" ca="1" si="57"/>
        <v>47.545116870784909</v>
      </c>
      <c r="AB186">
        <f t="shared" ca="1" si="50"/>
        <v>46.995264781663153</v>
      </c>
      <c r="AC186">
        <f t="shared" ca="1" si="58"/>
        <v>83.290313889792031</v>
      </c>
      <c r="AD186">
        <f t="shared" ca="1" si="51"/>
        <v>0</v>
      </c>
      <c r="AE186">
        <f t="shared" ca="1" si="52"/>
        <v>0.99997076648124861</v>
      </c>
      <c r="AF186" s="83" t="e">
        <f ca="1"/>
        <v>#N/A</v>
      </c>
      <c r="AG186" s="55" t="e">
        <f t="shared" ca="1" si="62"/>
        <v>#N/A</v>
      </c>
      <c r="AH186" s="55" t="e">
        <f t="shared" ca="1" si="63"/>
        <v>#N/A</v>
      </c>
      <c r="AI186" s="55" t="e">
        <f t="shared" ca="1" si="64"/>
        <v>#N/A</v>
      </c>
      <c r="AJ186" s="55" t="e">
        <f t="shared" ca="1" si="65"/>
        <v>#N/A</v>
      </c>
      <c r="AK186" s="55" t="e">
        <f t="shared" ca="1" si="59"/>
        <v>#N/A</v>
      </c>
      <c r="AL186" s="55" t="e">
        <f t="shared" ca="1" si="60"/>
        <v>#N/A</v>
      </c>
      <c r="AM186" s="55" t="e">
        <f t="shared" ca="1" si="61"/>
        <v>#N/A</v>
      </c>
    </row>
    <row r="187" spans="18:39">
      <c r="R187" s="83">
        <f ca="1"/>
        <v>45688</v>
      </c>
      <c r="S187" s="55">
        <f t="shared" ca="1" si="53"/>
        <v>45688</v>
      </c>
      <c r="T187" s="55">
        <f t="shared" ca="1" si="47"/>
        <v>58.627716443050886</v>
      </c>
      <c r="U187" s="55">
        <f t="shared" ca="1" si="48"/>
        <v>272.6367134681426</v>
      </c>
      <c r="V187" s="55">
        <f t="shared" ca="1" si="49"/>
        <v>0</v>
      </c>
      <c r="W187" s="55">
        <f t="shared" ca="1" si="54"/>
        <v>-29.070728591425024</v>
      </c>
      <c r="X187" s="55">
        <f t="shared" ca="1" si="55"/>
        <v>126.13398647617925</v>
      </c>
      <c r="Y187" s="55">
        <f t="shared" ca="1" si="56"/>
        <v>15.780846593515914</v>
      </c>
      <c r="Z187" s="55">
        <f t="shared" ca="1" si="57"/>
        <v>45.590900798389953</v>
      </c>
      <c r="AB187">
        <f t="shared" ca="1" si="50"/>
        <v>47.078277754392822</v>
      </c>
      <c r="AC187">
        <f t="shared" ca="1" si="58"/>
        <v>83.290313889792031</v>
      </c>
      <c r="AD187">
        <f t="shared" ca="1" si="51"/>
        <v>0</v>
      </c>
      <c r="AE187">
        <f t="shared" ca="1" si="52"/>
        <v>0.99997567764637019</v>
      </c>
      <c r="AF187" s="83" t="e">
        <f ca="1"/>
        <v>#N/A</v>
      </c>
      <c r="AG187" s="55" t="e">
        <f t="shared" ca="1" si="62"/>
        <v>#N/A</v>
      </c>
      <c r="AH187" s="55" t="e">
        <f t="shared" ca="1" si="63"/>
        <v>#N/A</v>
      </c>
      <c r="AI187" s="55" t="e">
        <f t="shared" ca="1" si="64"/>
        <v>#N/A</v>
      </c>
      <c r="AJ187" s="55" t="e">
        <f t="shared" ca="1" si="65"/>
        <v>#N/A</v>
      </c>
      <c r="AK187" s="55" t="e">
        <f t="shared" ca="1" si="59"/>
        <v>#N/A</v>
      </c>
      <c r="AL187" s="55" t="e">
        <f t="shared" ca="1" si="60"/>
        <v>#N/A</v>
      </c>
      <c r="AM187" s="55" t="e">
        <f t="shared" ca="1" si="61"/>
        <v>#N/A</v>
      </c>
    </row>
    <row r="188" spans="18:39">
      <c r="R188" s="83">
        <f ca="1"/>
        <v>45689</v>
      </c>
      <c r="S188" s="55">
        <f t="shared" ca="1" si="53"/>
        <v>45689</v>
      </c>
      <c r="T188" s="55">
        <f t="shared" ca="1" si="47"/>
        <v>54.871452566060398</v>
      </c>
      <c r="U188" s="55">
        <f t="shared" ca="1" si="48"/>
        <v>277.03540927670986</v>
      </c>
      <c r="V188" s="55">
        <f t="shared" ca="1" si="49"/>
        <v>0</v>
      </c>
      <c r="W188" s="55">
        <f t="shared" ca="1" si="54"/>
        <v>-29.070728591425024</v>
      </c>
      <c r="X188" s="55">
        <f t="shared" ca="1" si="55"/>
        <v>126.77215612545851</v>
      </c>
      <c r="Y188" s="55">
        <f t="shared" ca="1" si="56"/>
        <v>15.785108875813421</v>
      </c>
      <c r="Z188" s="55">
        <f t="shared" ca="1" si="57"/>
        <v>43.986958085672541</v>
      </c>
      <c r="AB188">
        <f t="shared" ca="1" si="50"/>
        <v>44.300821446385029</v>
      </c>
      <c r="AC188">
        <f t="shared" ca="1" si="58"/>
        <v>83.290313889792031</v>
      </c>
      <c r="AD188">
        <f t="shared" ca="1" si="51"/>
        <v>0</v>
      </c>
      <c r="AE188">
        <f t="shared" ca="1" si="52"/>
        <v>0.99997978267627963</v>
      </c>
      <c r="AF188" s="83" t="e">
        <f ca="1"/>
        <v>#N/A</v>
      </c>
      <c r="AG188" s="55" t="e">
        <f t="shared" ca="1" si="62"/>
        <v>#N/A</v>
      </c>
      <c r="AH188" s="55" t="e">
        <f t="shared" ca="1" si="63"/>
        <v>#N/A</v>
      </c>
      <c r="AI188" s="55" t="e">
        <f t="shared" ca="1" si="64"/>
        <v>#N/A</v>
      </c>
      <c r="AJ188" s="55" t="e">
        <f t="shared" ca="1" si="65"/>
        <v>#N/A</v>
      </c>
      <c r="AK188" s="55" t="e">
        <f t="shared" ca="1" si="59"/>
        <v>#N/A</v>
      </c>
      <c r="AL188" s="55" t="e">
        <f t="shared" ca="1" si="60"/>
        <v>#N/A</v>
      </c>
      <c r="AM188" s="55" t="e">
        <f t="shared" ca="1" si="61"/>
        <v>#N/A</v>
      </c>
    </row>
    <row r="189" spans="18:39">
      <c r="R189" s="83">
        <f ca="1"/>
        <v>45690</v>
      </c>
      <c r="S189" s="55">
        <f t="shared" ca="1" si="53"/>
        <v>45690</v>
      </c>
      <c r="T189" s="55">
        <f t="shared" ca="1" si="47"/>
        <v>51.352988155682603</v>
      </c>
      <c r="U189" s="55">
        <f t="shared" ca="1" si="48"/>
        <v>281.20375568460435</v>
      </c>
      <c r="V189" s="55">
        <f t="shared" ca="1" si="49"/>
        <v>0</v>
      </c>
      <c r="W189" s="55">
        <f t="shared" ca="1" si="54"/>
        <v>-29.070728591425024</v>
      </c>
      <c r="X189" s="55">
        <f t="shared" ca="1" si="55"/>
        <v>127.41771178275675</v>
      </c>
      <c r="Y189" s="55">
        <f t="shared" ca="1" si="56"/>
        <v>15.789435216031867</v>
      </c>
      <c r="Z189" s="55">
        <f t="shared" ca="1" si="57"/>
        <v>41.683464078944894</v>
      </c>
      <c r="AB189">
        <f t="shared" ca="1" si="50"/>
        <v>46.9315585921523</v>
      </c>
      <c r="AC189">
        <f t="shared" ca="1" si="58"/>
        <v>83.290313889792031</v>
      </c>
      <c r="AD189">
        <f t="shared" ca="1" si="51"/>
        <v>0</v>
      </c>
      <c r="AE189">
        <f t="shared" ca="1" si="52"/>
        <v>0.99998316028214862</v>
      </c>
      <c r="AF189" s="83" t="e">
        <f ca="1"/>
        <v>#N/A</v>
      </c>
      <c r="AG189" s="55" t="e">
        <f t="shared" ca="1" si="62"/>
        <v>#N/A</v>
      </c>
      <c r="AH189" s="55" t="e">
        <f t="shared" ca="1" si="63"/>
        <v>#N/A</v>
      </c>
      <c r="AI189" s="55" t="e">
        <f t="shared" ca="1" si="64"/>
        <v>#N/A</v>
      </c>
      <c r="AJ189" s="55" t="e">
        <f t="shared" ca="1" si="65"/>
        <v>#N/A</v>
      </c>
      <c r="AK189" s="55" t="e">
        <f t="shared" ca="1" si="59"/>
        <v>#N/A</v>
      </c>
      <c r="AL189" s="55" t="e">
        <f t="shared" ca="1" si="60"/>
        <v>#N/A</v>
      </c>
      <c r="AM189" s="55" t="e">
        <f t="shared" ca="1" si="61"/>
        <v>#N/A</v>
      </c>
    </row>
    <row r="190" spans="18:39">
      <c r="R190" s="83">
        <f ca="1"/>
        <v>45691</v>
      </c>
      <c r="S190" s="55">
        <f t="shared" ca="1" si="53"/>
        <v>45691</v>
      </c>
      <c r="T190" s="55">
        <f t="shared" ca="1" si="47"/>
        <v>48.028541479335338</v>
      </c>
      <c r="U190" s="55">
        <f t="shared" ca="1" si="48"/>
        <v>285.14837318803097</v>
      </c>
      <c r="V190" s="55">
        <f t="shared" ca="1" si="49"/>
        <v>0</v>
      </c>
      <c r="W190" s="55">
        <f t="shared" ca="1" si="54"/>
        <v>-29.070728591425024</v>
      </c>
      <c r="X190" s="55">
        <f t="shared" ca="1" si="55"/>
        <v>128.03399571544838</v>
      </c>
      <c r="Y190" s="55">
        <f t="shared" ca="1" si="56"/>
        <v>15.793322110419602</v>
      </c>
      <c r="Z190" s="55">
        <f t="shared" ca="1" si="57"/>
        <v>39.446175034266275</v>
      </c>
      <c r="AB190">
        <f t="shared" ca="1" si="50"/>
        <v>43.977492442392766</v>
      </c>
      <c r="AC190">
        <f t="shared" ca="1" si="58"/>
        <v>83.290313889792031</v>
      </c>
      <c r="AD190">
        <f t="shared" ca="1" si="51"/>
        <v>0</v>
      </c>
      <c r="AE190">
        <f t="shared" ca="1" si="52"/>
        <v>0.99998594473321223</v>
      </c>
      <c r="AF190" s="83" t="e">
        <f ca="1"/>
        <v>#N/A</v>
      </c>
      <c r="AG190" s="55" t="e">
        <f t="shared" ca="1" si="62"/>
        <v>#N/A</v>
      </c>
      <c r="AH190" s="55" t="e">
        <f t="shared" ca="1" si="63"/>
        <v>#N/A</v>
      </c>
      <c r="AI190" s="55" t="e">
        <f t="shared" ca="1" si="64"/>
        <v>#N/A</v>
      </c>
      <c r="AJ190" s="55" t="e">
        <f t="shared" ca="1" si="65"/>
        <v>#N/A</v>
      </c>
      <c r="AK190" s="55" t="e">
        <f t="shared" ca="1" si="59"/>
        <v>#N/A</v>
      </c>
      <c r="AL190" s="55" t="e">
        <f t="shared" ca="1" si="60"/>
        <v>#N/A</v>
      </c>
      <c r="AM190" s="55" t="e">
        <f t="shared" ca="1" si="61"/>
        <v>#N/A</v>
      </c>
    </row>
    <row r="191" spans="18:39">
      <c r="R191" s="83">
        <f ca="1"/>
        <v>45692</v>
      </c>
      <c r="S191" s="55">
        <f t="shared" ca="1" si="53"/>
        <v>45692</v>
      </c>
      <c r="T191" s="55">
        <f t="shared" ca="1" si="47"/>
        <v>44.993788434704818</v>
      </c>
      <c r="U191" s="55">
        <f t="shared" ca="1" si="48"/>
        <v>288.80030083857116</v>
      </c>
      <c r="V191" s="55">
        <f t="shared" ca="1" si="49"/>
        <v>0</v>
      </c>
      <c r="W191" s="55">
        <f t="shared" ca="1" si="54"/>
        <v>-29.070728591425024</v>
      </c>
      <c r="X191" s="55">
        <f t="shared" ca="1" si="55"/>
        <v>128.64722292488594</v>
      </c>
      <c r="Y191" s="55">
        <f t="shared" ca="1" si="56"/>
        <v>15.7972695068917</v>
      </c>
      <c r="Z191" s="55">
        <f t="shared" ca="1" si="57"/>
        <v>36.519276505401876</v>
      </c>
      <c r="AB191">
        <f t="shared" ca="1" si="50"/>
        <v>47.857976467766363</v>
      </c>
      <c r="AC191">
        <f t="shared" ca="1" si="58"/>
        <v>83.290313889792031</v>
      </c>
      <c r="AD191">
        <f t="shared" ca="1" si="51"/>
        <v>0</v>
      </c>
      <c r="AE191">
        <f t="shared" ca="1" si="52"/>
        <v>0.99998820057358773</v>
      </c>
      <c r="AF191" s="83" t="e">
        <f ca="1"/>
        <v>#N/A</v>
      </c>
      <c r="AG191" s="55" t="e">
        <f t="shared" ca="1" si="62"/>
        <v>#N/A</v>
      </c>
      <c r="AH191" s="55" t="e">
        <f t="shared" ca="1" si="63"/>
        <v>#N/A</v>
      </c>
      <c r="AI191" s="55" t="e">
        <f t="shared" ca="1" si="64"/>
        <v>#N/A</v>
      </c>
      <c r="AJ191" s="55" t="e">
        <f t="shared" ca="1" si="65"/>
        <v>#N/A</v>
      </c>
      <c r="AK191" s="55" t="e">
        <f t="shared" ca="1" si="59"/>
        <v>#N/A</v>
      </c>
      <c r="AL191" s="55" t="e">
        <f t="shared" ca="1" si="60"/>
        <v>#N/A</v>
      </c>
      <c r="AM191" s="55" t="e">
        <f t="shared" ca="1" si="61"/>
        <v>#N/A</v>
      </c>
    </row>
    <row r="192" spans="18:39">
      <c r="R192" s="83">
        <f ca="1"/>
        <v>45693</v>
      </c>
      <c r="S192" s="55">
        <f t="shared" ca="1" si="53"/>
        <v>45693</v>
      </c>
      <c r="T192" s="55">
        <f t="shared" ca="1" si="47"/>
        <v>42.050914496743019</v>
      </c>
      <c r="U192" s="55">
        <f t="shared" ca="1" si="48"/>
        <v>292.37631628210306</v>
      </c>
      <c r="V192" s="55">
        <f t="shared" ca="1" si="49"/>
        <v>0</v>
      </c>
      <c r="W192" s="55">
        <f t="shared" ca="1" si="54"/>
        <v>-29.070728591425024</v>
      </c>
      <c r="X192" s="55">
        <f t="shared" ca="1" si="55"/>
        <v>129.27646189705411</v>
      </c>
      <c r="Y192" s="55">
        <f t="shared" ca="1" si="56"/>
        <v>15.80117204029364</v>
      </c>
      <c r="Z192" s="55">
        <f t="shared" ca="1" si="57"/>
        <v>35.760154435319009</v>
      </c>
      <c r="AB192">
        <f t="shared" ca="1" si="50"/>
        <v>47.03736857722528</v>
      </c>
      <c r="AC192">
        <f t="shared" ca="1" si="58"/>
        <v>83.290313889792031</v>
      </c>
      <c r="AD192">
        <f t="shared" ca="1" si="51"/>
        <v>0</v>
      </c>
      <c r="AE192">
        <f t="shared" ca="1" si="52"/>
        <v>0.99999013779685719</v>
      </c>
      <c r="AF192" s="83" t="e">
        <f ca="1"/>
        <v>#N/A</v>
      </c>
      <c r="AG192" s="55" t="e">
        <f t="shared" ca="1" si="62"/>
        <v>#N/A</v>
      </c>
      <c r="AH192" s="55" t="e">
        <f t="shared" ca="1" si="63"/>
        <v>#N/A</v>
      </c>
      <c r="AI192" s="55" t="e">
        <f t="shared" ca="1" si="64"/>
        <v>#N/A</v>
      </c>
      <c r="AJ192" s="55" t="e">
        <f t="shared" ca="1" si="65"/>
        <v>#N/A</v>
      </c>
      <c r="AK192" s="55" t="e">
        <f t="shared" ca="1" si="59"/>
        <v>#N/A</v>
      </c>
      <c r="AL192" s="55" t="e">
        <f t="shared" ca="1" si="60"/>
        <v>#N/A</v>
      </c>
      <c r="AM192" s="55" t="e">
        <f t="shared" ca="1" si="61"/>
        <v>#N/A</v>
      </c>
    </row>
    <row r="193" spans="18:39">
      <c r="R193" s="83">
        <f ca="1"/>
        <v>45694</v>
      </c>
      <c r="S193" s="55">
        <f t="shared" ca="1" si="53"/>
        <v>45694</v>
      </c>
      <c r="T193" s="55">
        <f t="shared" ca="1" si="47"/>
        <v>39.264175269930753</v>
      </c>
      <c r="U193" s="55">
        <f t="shared" ca="1" si="48"/>
        <v>295.76447091353833</v>
      </c>
      <c r="V193" s="55">
        <f t="shared" ca="1" si="49"/>
        <v>0</v>
      </c>
      <c r="W193" s="55">
        <f t="shared" ca="1" si="54"/>
        <v>-29.070728591425024</v>
      </c>
      <c r="X193" s="55">
        <f t="shared" ca="1" si="55"/>
        <v>129.87443293604542</v>
      </c>
      <c r="Y193" s="55">
        <f t="shared" ca="1" si="56"/>
        <v>15.804616405925342</v>
      </c>
      <c r="Z193" s="55">
        <f t="shared" ca="1" si="57"/>
        <v>33.881546314352704</v>
      </c>
      <c r="AB193">
        <f t="shared" ca="1" si="50"/>
        <v>42.942301606474111</v>
      </c>
      <c r="AC193">
        <f t="shared" ca="1" si="58"/>
        <v>83.290313889792031</v>
      </c>
      <c r="AD193">
        <f t="shared" ca="1" si="51"/>
        <v>0</v>
      </c>
      <c r="AE193">
        <f t="shared" ca="1" si="52"/>
        <v>0.9999917477161856</v>
      </c>
      <c r="AF193" s="83" t="e">
        <f ca="1"/>
        <v>#N/A</v>
      </c>
      <c r="AG193" s="55" t="e">
        <f t="shared" ca="1" si="62"/>
        <v>#N/A</v>
      </c>
      <c r="AH193" s="55" t="e">
        <f t="shared" ca="1" si="63"/>
        <v>#N/A</v>
      </c>
      <c r="AI193" s="55" t="e">
        <f t="shared" ca="1" si="64"/>
        <v>#N/A</v>
      </c>
      <c r="AJ193" s="55" t="e">
        <f t="shared" ca="1" si="65"/>
        <v>#N/A</v>
      </c>
      <c r="AK193" s="55" t="e">
        <f t="shared" ca="1" si="59"/>
        <v>#N/A</v>
      </c>
      <c r="AL193" s="55" t="e">
        <f t="shared" ca="1" si="60"/>
        <v>#N/A</v>
      </c>
      <c r="AM193" s="55" t="e">
        <f t="shared" ca="1" si="61"/>
        <v>#N/A</v>
      </c>
    </row>
    <row r="194" spans="18:39">
      <c r="R194" s="83">
        <f ca="1"/>
        <v>45695</v>
      </c>
      <c r="S194" s="55">
        <f t="shared" ca="1" si="53"/>
        <v>45695</v>
      </c>
      <c r="T194" s="55">
        <f t="shared" ca="1" si="47"/>
        <v>36.608276119458893</v>
      </c>
      <c r="U194" s="55">
        <f t="shared" ca="1" si="48"/>
        <v>299.00903299147058</v>
      </c>
      <c r="V194" s="55">
        <f t="shared" ca="1" si="49"/>
        <v>0</v>
      </c>
      <c r="W194" s="55">
        <f t="shared" ca="1" si="54"/>
        <v>-29.070728591425024</v>
      </c>
      <c r="X194" s="55">
        <f t="shared" ca="1" si="55"/>
        <v>130.45993305374407</v>
      </c>
      <c r="Y194" s="55">
        <f t="shared" ca="1" si="56"/>
        <v>15.807779215687098</v>
      </c>
      <c r="Z194" s="55">
        <f t="shared" ca="1" si="57"/>
        <v>32.445620779322439</v>
      </c>
      <c r="AB194">
        <f t="shared" ca="1" si="50"/>
        <v>40.056748723837998</v>
      </c>
      <c r="AC194">
        <f t="shared" ca="1" si="58"/>
        <v>83.290313889792031</v>
      </c>
      <c r="AD194">
        <f t="shared" ca="1" si="51"/>
        <v>0</v>
      </c>
      <c r="AE194">
        <f t="shared" ca="1" si="52"/>
        <v>0.99999310193060031</v>
      </c>
      <c r="AF194" s="83" t="e">
        <f ca="1"/>
        <v>#N/A</v>
      </c>
      <c r="AG194" s="55" t="e">
        <f t="shared" ca="1" si="62"/>
        <v>#N/A</v>
      </c>
      <c r="AH194" s="55" t="e">
        <f t="shared" ca="1" si="63"/>
        <v>#N/A</v>
      </c>
      <c r="AI194" s="55" t="e">
        <f t="shared" ca="1" si="64"/>
        <v>#N/A</v>
      </c>
      <c r="AJ194" s="55" t="e">
        <f t="shared" ca="1" si="65"/>
        <v>#N/A</v>
      </c>
      <c r="AK194" s="55" t="e">
        <f t="shared" ca="1" si="59"/>
        <v>#N/A</v>
      </c>
      <c r="AL194" s="55" t="e">
        <f t="shared" ca="1" si="60"/>
        <v>#N/A</v>
      </c>
      <c r="AM194" s="55" t="e">
        <f t="shared" ca="1" si="61"/>
        <v>#N/A</v>
      </c>
    </row>
    <row r="195" spans="18:39">
      <c r="R195" s="83">
        <f ca="1"/>
        <v>45696</v>
      </c>
      <c r="S195" s="55">
        <f t="shared" ca="1" si="53"/>
        <v>45696</v>
      </c>
      <c r="T195" s="55">
        <f t="shared" ca="1" si="47"/>
        <v>34.112427659781844</v>
      </c>
      <c r="U195" s="55">
        <f t="shared" ca="1" si="48"/>
        <v>302.09059657533095</v>
      </c>
      <c r="V195" s="55">
        <f t="shared" ca="1" si="49"/>
        <v>0</v>
      </c>
      <c r="W195" s="55">
        <f t="shared" ca="1" si="54"/>
        <v>-29.070728591425024</v>
      </c>
      <c r="X195" s="55">
        <f t="shared" ca="1" si="55"/>
        <v>131.04258614147275</v>
      </c>
      <c r="Y195" s="55">
        <f t="shared" ca="1" si="56"/>
        <v>15.810841252141724</v>
      </c>
      <c r="Z195" s="55">
        <f t="shared" ca="1" si="57"/>
        <v>30.815635838603725</v>
      </c>
      <c r="AB195">
        <f t="shared" ca="1" si="50"/>
        <v>39.712957056940411</v>
      </c>
      <c r="AC195">
        <f t="shared" ca="1" si="58"/>
        <v>83.290313889792031</v>
      </c>
      <c r="AD195">
        <f t="shared" ca="1" si="51"/>
        <v>0</v>
      </c>
      <c r="AE195">
        <f t="shared" ca="1" si="52"/>
        <v>0.9967566918947327</v>
      </c>
      <c r="AF195" s="83" t="e">
        <f ca="1"/>
        <v>#N/A</v>
      </c>
      <c r="AG195" s="55" t="e">
        <f t="shared" ca="1" si="62"/>
        <v>#N/A</v>
      </c>
      <c r="AH195" s="55" t="e">
        <f t="shared" ca="1" si="63"/>
        <v>#N/A</v>
      </c>
      <c r="AI195" s="55" t="e">
        <f t="shared" ca="1" si="64"/>
        <v>#N/A</v>
      </c>
      <c r="AJ195" s="55" t="e">
        <f t="shared" ca="1" si="65"/>
        <v>#N/A</v>
      </c>
      <c r="AK195" s="55" t="e">
        <f t="shared" ca="1" si="59"/>
        <v>#N/A</v>
      </c>
      <c r="AL195" s="55" t="e">
        <f t="shared" ca="1" si="60"/>
        <v>#N/A</v>
      </c>
      <c r="AM195" s="55" t="e">
        <f t="shared" ca="1" si="61"/>
        <v>#N/A</v>
      </c>
    </row>
    <row r="196" spans="18:39">
      <c r="R196" s="83">
        <f ca="1"/>
        <v>45697</v>
      </c>
      <c r="S196" s="55">
        <f t="shared" ca="1" si="53"/>
        <v>45697</v>
      </c>
      <c r="T196" s="55">
        <f t="shared" ca="1" si="47"/>
        <v>31.745947257954455</v>
      </c>
      <c r="U196" s="55">
        <f t="shared" ca="1" si="48"/>
        <v>305.03614162805832</v>
      </c>
      <c r="V196" s="55">
        <f t="shared" ca="1" si="49"/>
        <v>0</v>
      </c>
      <c r="W196" s="55">
        <f t="shared" ca="1" si="54"/>
        <v>-29.070728591425024</v>
      </c>
      <c r="X196" s="55">
        <f t="shared" ca="1" si="55"/>
        <v>131.61878611172565</v>
      </c>
      <c r="Y196" s="55">
        <f t="shared" ca="1" si="56"/>
        <v>15.813705932788807</v>
      </c>
      <c r="Z196" s="55">
        <f t="shared" ca="1" si="57"/>
        <v>29.455450527273683</v>
      </c>
      <c r="AB196">
        <f t="shared" ca="1" si="50"/>
        <v>37.626023363326823</v>
      </c>
      <c r="AC196">
        <f t="shared" ca="1" si="58"/>
        <v>83.290313889792031</v>
      </c>
      <c r="AD196">
        <f t="shared" ca="1" si="51"/>
        <v>0</v>
      </c>
      <c r="AE196">
        <f t="shared" ca="1" si="52"/>
        <v>0.97411577185056863</v>
      </c>
      <c r="AF196" s="83" t="e">
        <f ca="1"/>
        <v>#N/A</v>
      </c>
      <c r="AG196" s="55" t="e">
        <f t="shared" ca="1" si="62"/>
        <v>#N/A</v>
      </c>
      <c r="AH196" s="55" t="e">
        <f t="shared" ca="1" si="63"/>
        <v>#N/A</v>
      </c>
      <c r="AI196" s="55" t="e">
        <f t="shared" ca="1" si="64"/>
        <v>#N/A</v>
      </c>
      <c r="AJ196" s="55" t="e">
        <f t="shared" ca="1" si="65"/>
        <v>#N/A</v>
      </c>
      <c r="AK196" s="55" t="e">
        <f t="shared" ca="1" si="59"/>
        <v>#N/A</v>
      </c>
      <c r="AL196" s="55" t="e">
        <f t="shared" ca="1" si="60"/>
        <v>#N/A</v>
      </c>
      <c r="AM196" s="55" t="e">
        <f t="shared" ca="1" si="61"/>
        <v>#N/A</v>
      </c>
    </row>
    <row r="197" spans="18:39">
      <c r="R197" s="83">
        <f ca="1"/>
        <v>45698</v>
      </c>
      <c r="S197" s="55">
        <f t="shared" ca="1" si="53"/>
        <v>45698</v>
      </c>
      <c r="T197" s="55">
        <f t="shared" ca="1" si="47"/>
        <v>29.488406695235554</v>
      </c>
      <c r="U197" s="55">
        <f t="shared" ca="1" si="48"/>
        <v>307.88094587572846</v>
      </c>
      <c r="V197" s="55">
        <f t="shared" ca="1" si="49"/>
        <v>0</v>
      </c>
      <c r="W197" s="55">
        <f t="shared" ca="1" si="54"/>
        <v>-29.070728591425024</v>
      </c>
      <c r="X197" s="55">
        <f t="shared" ca="1" si="55"/>
        <v>132.20326896667029</v>
      </c>
      <c r="Y197" s="55">
        <f t="shared" ca="1" si="56"/>
        <v>15.816486762795424</v>
      </c>
      <c r="Z197" s="55">
        <f t="shared" ca="1" si="57"/>
        <v>28.448042476701403</v>
      </c>
      <c r="AB197">
        <f t="shared" ca="1" si="50"/>
        <v>36.353807218124444</v>
      </c>
      <c r="AC197">
        <f t="shared" ca="1" si="58"/>
        <v>83.290313889792031</v>
      </c>
      <c r="AD197">
        <f t="shared" ca="1" si="51"/>
        <v>0</v>
      </c>
      <c r="AE197">
        <f t="shared" ca="1" si="52"/>
        <v>0.95104035282215427</v>
      </c>
      <c r="AF197" s="83" t="e">
        <f ca="1"/>
        <v>#N/A</v>
      </c>
      <c r="AG197" s="55" t="e">
        <f t="shared" ca="1" si="62"/>
        <v>#N/A</v>
      </c>
      <c r="AH197" s="55" t="e">
        <f t="shared" ca="1" si="63"/>
        <v>#N/A</v>
      </c>
      <c r="AI197" s="55" t="e">
        <f t="shared" ca="1" si="64"/>
        <v>#N/A</v>
      </c>
      <c r="AJ197" s="55" t="e">
        <f t="shared" ca="1" si="65"/>
        <v>#N/A</v>
      </c>
      <c r="AK197" s="55" t="e">
        <f t="shared" ca="1" si="59"/>
        <v>#N/A</v>
      </c>
      <c r="AL197" s="55" t="e">
        <f t="shared" ca="1" si="60"/>
        <v>#N/A</v>
      </c>
      <c r="AM197" s="55" t="e">
        <f t="shared" ca="1" si="61"/>
        <v>#N/A</v>
      </c>
    </row>
    <row r="198" spans="18:39">
      <c r="R198" s="83">
        <f ca="1"/>
        <v>45699</v>
      </c>
      <c r="S198" s="55">
        <f t="shared" ca="1" si="53"/>
        <v>45699</v>
      </c>
      <c r="T198" s="55">
        <f t="shared" ca="1" si="47"/>
        <v>27.368656716234252</v>
      </c>
      <c r="U198" s="55">
        <f t="shared" ca="1" si="48"/>
        <v>310.59742943252758</v>
      </c>
      <c r="V198" s="55">
        <f t="shared" ca="1" si="49"/>
        <v>0</v>
      </c>
      <c r="W198" s="55">
        <f t="shared" ca="1" si="54"/>
        <v>-29.070728591425024</v>
      </c>
      <c r="X198" s="55">
        <f t="shared" ca="1" si="55"/>
        <v>132.79722350892743</v>
      </c>
      <c r="Y198" s="55">
        <f t="shared" ca="1" si="56"/>
        <v>15.819265798336119</v>
      </c>
      <c r="Z198" s="55">
        <f t="shared" ca="1" si="57"/>
        <v>27.16483556799119</v>
      </c>
      <c r="AB198">
        <f t="shared" ca="1" si="50"/>
        <v>36.614632711254032</v>
      </c>
      <c r="AC198">
        <f t="shared" ca="1" si="58"/>
        <v>83.290313889792031</v>
      </c>
      <c r="AD198">
        <f t="shared" ca="1" si="51"/>
        <v>0</v>
      </c>
      <c r="AE198">
        <f t="shared" ca="1" si="52"/>
        <v>0.92774181269371991</v>
      </c>
      <c r="AF198" s="83" t="e">
        <f ca="1"/>
        <v>#N/A</v>
      </c>
      <c r="AG198" s="55" t="e">
        <f t="shared" ca="1" si="62"/>
        <v>#N/A</v>
      </c>
      <c r="AH198" s="55" t="e">
        <f t="shared" ca="1" si="63"/>
        <v>#N/A</v>
      </c>
      <c r="AI198" s="55" t="e">
        <f t="shared" ca="1" si="64"/>
        <v>#N/A</v>
      </c>
      <c r="AJ198" s="55" t="e">
        <f t="shared" ca="1" si="65"/>
        <v>#N/A</v>
      </c>
      <c r="AK198" s="55" t="e">
        <f t="shared" ca="1" si="59"/>
        <v>#N/A</v>
      </c>
      <c r="AL198" s="55" t="e">
        <f t="shared" ca="1" si="60"/>
        <v>#N/A</v>
      </c>
      <c r="AM198" s="55" t="e">
        <f t="shared" ca="1" si="61"/>
        <v>#N/A</v>
      </c>
    </row>
    <row r="199" spans="18:39">
      <c r="R199" s="83">
        <f ca="1"/>
        <v>45700</v>
      </c>
      <c r="S199" s="55">
        <f t="shared" ca="1" si="53"/>
        <v>45700</v>
      </c>
      <c r="T199" s="55">
        <f t="shared" ca="1" si="47"/>
        <v>25.409708865859535</v>
      </c>
      <c r="U199" s="55">
        <f t="shared" ca="1" si="48"/>
        <v>313.15410925589794</v>
      </c>
      <c r="V199" s="55">
        <f t="shared" ca="1" si="49"/>
        <v>0</v>
      </c>
      <c r="W199" s="55">
        <f t="shared" ca="1" si="54"/>
        <v>-29.070728591425024</v>
      </c>
      <c r="X199" s="55">
        <f t="shared" ca="1" si="55"/>
        <v>133.39219689566852</v>
      </c>
      <c r="Y199" s="55">
        <f t="shared" ca="1" si="56"/>
        <v>15.822024384590685</v>
      </c>
      <c r="Z199" s="55">
        <f t="shared" ca="1" si="57"/>
        <v>25.566798233703594</v>
      </c>
      <c r="AB199">
        <f t="shared" ca="1" si="50"/>
        <v>37.304845827744465</v>
      </c>
      <c r="AC199">
        <f t="shared" ca="1" si="58"/>
        <v>83.290313889792031</v>
      </c>
      <c r="AD199">
        <f t="shared" ca="1" si="51"/>
        <v>0</v>
      </c>
      <c r="AE199">
        <f t="shared" ca="1" si="52"/>
        <v>0.90452547507581926</v>
      </c>
      <c r="AF199" s="83" t="e">
        <f ca="1"/>
        <v>#N/A</v>
      </c>
      <c r="AG199" s="55" t="e">
        <f t="shared" ca="1" si="62"/>
        <v>#N/A</v>
      </c>
      <c r="AH199" s="55" t="e">
        <f t="shared" ca="1" si="63"/>
        <v>#N/A</v>
      </c>
      <c r="AI199" s="55" t="e">
        <f t="shared" ca="1" si="64"/>
        <v>#N/A</v>
      </c>
      <c r="AJ199" s="55" t="e">
        <f t="shared" ca="1" si="65"/>
        <v>#N/A</v>
      </c>
      <c r="AK199" s="55" t="e">
        <f t="shared" ca="1" si="59"/>
        <v>#N/A</v>
      </c>
      <c r="AL199" s="55" t="e">
        <f t="shared" ca="1" si="60"/>
        <v>#N/A</v>
      </c>
      <c r="AM199" s="55" t="e">
        <f t="shared" ca="1" si="61"/>
        <v>#N/A</v>
      </c>
    </row>
    <row r="200" spans="18:39">
      <c r="R200" s="83">
        <f ca="1"/>
        <v>45701</v>
      </c>
      <c r="S200" s="55">
        <f t="shared" ca="1" si="53"/>
        <v>45701</v>
      </c>
      <c r="T200" s="55">
        <f t="shared" ca="1" si="47"/>
        <v>23.593490520430812</v>
      </c>
      <c r="U200" s="55">
        <f t="shared" ca="1" si="48"/>
        <v>315.54284405471157</v>
      </c>
      <c r="V200" s="55">
        <f t="shared" ca="1" si="49"/>
        <v>0</v>
      </c>
      <c r="W200" s="55">
        <f t="shared" ca="1" si="54"/>
        <v>-29.070728591425024</v>
      </c>
      <c r="X200" s="55">
        <f t="shared" ca="1" si="55"/>
        <v>133.96225926954585</v>
      </c>
      <c r="Y200" s="55">
        <f t="shared" ca="1" si="56"/>
        <v>15.824478464098259</v>
      </c>
      <c r="Z200" s="55">
        <f t="shared" ca="1" si="57"/>
        <v>23.887347988136298</v>
      </c>
      <c r="AB200">
        <f t="shared" ca="1" si="50"/>
        <v>34.3391518301163</v>
      </c>
      <c r="AC200">
        <f t="shared" ca="1" si="58"/>
        <v>83.290313889792031</v>
      </c>
      <c r="AD200">
        <f t="shared" ca="1" si="51"/>
        <v>0</v>
      </c>
      <c r="AE200">
        <f t="shared" ca="1" si="52"/>
        <v>0.88154400177372949</v>
      </c>
      <c r="AF200" s="83" t="e">
        <f ca="1"/>
        <v>#N/A</v>
      </c>
      <c r="AG200" s="55" t="e">
        <f t="shared" ca="1" si="62"/>
        <v>#N/A</v>
      </c>
      <c r="AH200" s="55" t="e">
        <f t="shared" ca="1" si="63"/>
        <v>#N/A</v>
      </c>
      <c r="AI200" s="55" t="e">
        <f t="shared" ca="1" si="64"/>
        <v>#N/A</v>
      </c>
      <c r="AJ200" s="55" t="e">
        <f t="shared" ca="1" si="65"/>
        <v>#N/A</v>
      </c>
      <c r="AK200" s="55" t="e">
        <f t="shared" ca="1" si="59"/>
        <v>#N/A</v>
      </c>
      <c r="AL200" s="55" t="e">
        <f t="shared" ca="1" si="60"/>
        <v>#N/A</v>
      </c>
      <c r="AM200" s="55" t="e">
        <f t="shared" ca="1" si="61"/>
        <v>#N/A</v>
      </c>
    </row>
    <row r="201" spans="18:39">
      <c r="R201" s="83">
        <f ca="1"/>
        <v>45702</v>
      </c>
      <c r="S201" s="55">
        <f t="shared" ca="1" si="53"/>
        <v>45702</v>
      </c>
      <c r="T201" s="55">
        <f t="shared" ca="1" si="47"/>
        <v>21.908950740581201</v>
      </c>
      <c r="U201" s="55">
        <f t="shared" ca="1" si="48"/>
        <v>317.79812212745395</v>
      </c>
      <c r="V201" s="55">
        <f t="shared" ca="1" si="49"/>
        <v>0</v>
      </c>
      <c r="W201" s="55">
        <f t="shared" ca="1" si="54"/>
        <v>-29.070728591425024</v>
      </c>
      <c r="X201" s="55">
        <f t="shared" ca="1" si="55"/>
        <v>134.53061942094735</v>
      </c>
      <c r="Y201" s="55">
        <f t="shared" ca="1" si="56"/>
        <v>15.826856605589551</v>
      </c>
      <c r="Z201" s="55">
        <f t="shared" ca="1" si="57"/>
        <v>22.552780727423851</v>
      </c>
      <c r="AB201">
        <f t="shared" ca="1" si="50"/>
        <v>33.870175644224176</v>
      </c>
      <c r="AC201">
        <f t="shared" ca="1" si="58"/>
        <v>83.290313889792031</v>
      </c>
      <c r="AD201">
        <f t="shared" ca="1" si="51"/>
        <v>0</v>
      </c>
      <c r="AE201">
        <f t="shared" ca="1" si="52"/>
        <v>0.85853904204005871</v>
      </c>
      <c r="AF201" s="83" t="e">
        <f ca="1"/>
        <v>#N/A</v>
      </c>
      <c r="AG201" s="55" t="e">
        <f t="shared" ca="1" si="62"/>
        <v>#N/A</v>
      </c>
      <c r="AH201" s="55" t="e">
        <f t="shared" ca="1" si="63"/>
        <v>#N/A</v>
      </c>
      <c r="AI201" s="55" t="e">
        <f t="shared" ca="1" si="64"/>
        <v>#N/A</v>
      </c>
      <c r="AJ201" s="55" t="e">
        <f t="shared" ca="1" si="65"/>
        <v>#N/A</v>
      </c>
      <c r="AK201" s="55" t="e">
        <f t="shared" ca="1" si="59"/>
        <v>#N/A</v>
      </c>
      <c r="AL201" s="55" t="e">
        <f t="shared" ca="1" si="60"/>
        <v>#N/A</v>
      </c>
      <c r="AM201" s="55" t="e">
        <f t="shared" ca="1" si="61"/>
        <v>#N/A</v>
      </c>
    </row>
    <row r="202" spans="18:39">
      <c r="R202" s="83">
        <f ca="1"/>
        <v>45703</v>
      </c>
      <c r="S202" s="55">
        <f t="shared" ca="1" si="53"/>
        <v>45703</v>
      </c>
      <c r="T202" s="55">
        <f t="shared" ca="1" si="47"/>
        <v>20.375825212836688</v>
      </c>
      <c r="U202" s="55">
        <f t="shared" ca="1" si="48"/>
        <v>319.89894246784246</v>
      </c>
      <c r="V202" s="55">
        <f t="shared" ca="1" si="49"/>
        <v>0</v>
      </c>
      <c r="W202" s="55">
        <f t="shared" ca="1" si="54"/>
        <v>-29.070728591425024</v>
      </c>
      <c r="X202" s="55">
        <f t="shared" ca="1" si="55"/>
        <v>135.0959377871051</v>
      </c>
      <c r="Y202" s="55">
        <f t="shared" ca="1" si="56"/>
        <v>15.829233052075802</v>
      </c>
      <c r="Z202" s="55">
        <f t="shared" ca="1" si="57"/>
        <v>21.008203403885091</v>
      </c>
      <c r="AB202">
        <f t="shared" ca="1" si="50"/>
        <v>35.050601456477779</v>
      </c>
      <c r="AC202">
        <f t="shared" ca="1" si="58"/>
        <v>83.290313889792031</v>
      </c>
      <c r="AD202">
        <f t="shared" ca="1" si="51"/>
        <v>0</v>
      </c>
      <c r="AE202">
        <f t="shared" ca="1" si="52"/>
        <v>0.83580417626957026</v>
      </c>
      <c r="AF202" s="83" t="e">
        <f ca="1"/>
        <v>#N/A</v>
      </c>
      <c r="AG202" s="55" t="e">
        <f t="shared" ca="1" si="62"/>
        <v>#N/A</v>
      </c>
      <c r="AH202" s="55" t="e">
        <f t="shared" ca="1" si="63"/>
        <v>#N/A</v>
      </c>
      <c r="AI202" s="55" t="e">
        <f t="shared" ca="1" si="64"/>
        <v>#N/A</v>
      </c>
      <c r="AJ202" s="55" t="e">
        <f t="shared" ca="1" si="65"/>
        <v>#N/A</v>
      </c>
      <c r="AK202" s="55" t="e">
        <f t="shared" ca="1" si="59"/>
        <v>#N/A</v>
      </c>
      <c r="AL202" s="55" t="e">
        <f t="shared" ca="1" si="60"/>
        <v>#N/A</v>
      </c>
      <c r="AM202" s="55" t="e">
        <f t="shared" ca="1" si="61"/>
        <v>#N/A</v>
      </c>
    </row>
    <row r="203" spans="18:39">
      <c r="R203" s="83">
        <f ca="1"/>
        <v>45704</v>
      </c>
      <c r="S203" s="55">
        <f t="shared" ca="1" si="53"/>
        <v>45704</v>
      </c>
      <c r="T203" s="55">
        <f t="shared" ca="1" si="47"/>
        <v>18.966167293828654</v>
      </c>
      <c r="U203" s="55">
        <f t="shared" ca="1" si="48"/>
        <v>321.86818545469532</v>
      </c>
      <c r="V203" s="55">
        <f t="shared" ca="1" si="49"/>
        <v>0</v>
      </c>
      <c r="W203" s="55">
        <f t="shared" ca="1" si="54"/>
        <v>-29.070728591425024</v>
      </c>
      <c r="X203" s="55">
        <f t="shared" ca="1" si="55"/>
        <v>135.65325577228646</v>
      </c>
      <c r="Y203" s="55">
        <f t="shared" ca="1" si="56"/>
        <v>15.831500134739276</v>
      </c>
      <c r="Z203" s="55">
        <f t="shared" ca="1" si="57"/>
        <v>19.69242986852862</v>
      </c>
      <c r="AB203">
        <f t="shared" ca="1" si="50"/>
        <v>34.310621302639021</v>
      </c>
      <c r="AC203">
        <f t="shared" ca="1" si="58"/>
        <v>83.290313889792031</v>
      </c>
      <c r="AD203">
        <f t="shared" ca="1" si="51"/>
        <v>0</v>
      </c>
      <c r="AE203">
        <f t="shared" ca="1" si="52"/>
        <v>0.8131867426569872</v>
      </c>
      <c r="AF203" s="83" t="e">
        <f ca="1"/>
        <v>#N/A</v>
      </c>
      <c r="AG203" s="55" t="e">
        <f t="shared" ca="1" si="62"/>
        <v>#N/A</v>
      </c>
      <c r="AH203" s="55" t="e">
        <f t="shared" ca="1" si="63"/>
        <v>#N/A</v>
      </c>
      <c r="AI203" s="55" t="e">
        <f t="shared" ca="1" si="64"/>
        <v>#N/A</v>
      </c>
      <c r="AJ203" s="55" t="e">
        <f t="shared" ca="1" si="65"/>
        <v>#N/A</v>
      </c>
      <c r="AK203" s="55" t="e">
        <f t="shared" ca="1" si="59"/>
        <v>#N/A</v>
      </c>
      <c r="AL203" s="55" t="e">
        <f t="shared" ca="1" si="60"/>
        <v>#N/A</v>
      </c>
      <c r="AM203" s="55" t="e">
        <f t="shared" ca="1" si="61"/>
        <v>#N/A</v>
      </c>
    </row>
    <row r="204" spans="18:39">
      <c r="R204" s="83">
        <f ca="1"/>
        <v>45705</v>
      </c>
      <c r="S204" s="55">
        <f t="shared" ca="1" si="53"/>
        <v>45705</v>
      </c>
      <c r="T204" s="55">
        <f t="shared" ca="1" si="47"/>
        <v>17.692611961391897</v>
      </c>
      <c r="U204" s="55">
        <f t="shared" ca="1" si="48"/>
        <v>323.72432863710554</v>
      </c>
      <c r="V204" s="55">
        <f t="shared" ca="1" si="49"/>
        <v>0</v>
      </c>
      <c r="W204" s="55">
        <f t="shared" ca="1" si="54"/>
        <v>-29.070728591425024</v>
      </c>
      <c r="X204" s="55">
        <f t="shared" ca="1" si="55"/>
        <v>136.23335756539615</v>
      </c>
      <c r="Y204" s="55">
        <f t="shared" ca="1" si="56"/>
        <v>15.833986191603055</v>
      </c>
      <c r="Z204" s="55">
        <f t="shared" ca="1" si="57"/>
        <v>18.561431824102215</v>
      </c>
      <c r="AB204">
        <f t="shared" ca="1" si="50"/>
        <v>38.315075315821467</v>
      </c>
      <c r="AC204">
        <f t="shared" ca="1" si="58"/>
        <v>83.290313889792031</v>
      </c>
      <c r="AD204">
        <f t="shared" ca="1" si="51"/>
        <v>0</v>
      </c>
      <c r="AE204">
        <f t="shared" ca="1" si="52"/>
        <v>0.79054582261282313</v>
      </c>
      <c r="AF204" s="83" t="e">
        <f ca="1"/>
        <v>#N/A</v>
      </c>
      <c r="AG204" s="55" t="e">
        <f t="shared" ca="1" si="62"/>
        <v>#N/A</v>
      </c>
      <c r="AH204" s="55" t="e">
        <f t="shared" ca="1" si="63"/>
        <v>#N/A</v>
      </c>
      <c r="AI204" s="55" t="e">
        <f t="shared" ca="1" si="64"/>
        <v>#N/A</v>
      </c>
      <c r="AJ204" s="55" t="e">
        <f t="shared" ca="1" si="65"/>
        <v>#N/A</v>
      </c>
      <c r="AK204" s="55" t="e">
        <f t="shared" ca="1" si="59"/>
        <v>#N/A</v>
      </c>
      <c r="AL204" s="55" t="e">
        <f t="shared" ca="1" si="60"/>
        <v>#N/A</v>
      </c>
      <c r="AM204" s="55" t="e">
        <f t="shared" ca="1" si="61"/>
        <v>#N/A</v>
      </c>
    </row>
    <row r="205" spans="18:39">
      <c r="R205" s="83">
        <f ca="1"/>
        <v>45706</v>
      </c>
      <c r="S205" s="55">
        <f t="shared" ca="1" si="53"/>
        <v>45706</v>
      </c>
      <c r="T205" s="55">
        <f t="shared" ca="1" si="47"/>
        <v>16.511595509477146</v>
      </c>
      <c r="U205" s="55">
        <f t="shared" ca="1" si="48"/>
        <v>325.48295664337792</v>
      </c>
      <c r="V205" s="55">
        <f t="shared" ca="1" si="49"/>
        <v>0</v>
      </c>
      <c r="W205" s="55">
        <f t="shared" ca="1" si="54"/>
        <v>-29.070728591425024</v>
      </c>
      <c r="X205" s="55">
        <f t="shared" ca="1" si="55"/>
        <v>136.80863062677778</v>
      </c>
      <c r="Y205" s="55">
        <f t="shared" ca="1" si="56"/>
        <v>15.836324684579054</v>
      </c>
      <c r="Z205" s="55">
        <f t="shared" ca="1" si="57"/>
        <v>17.586280062723745</v>
      </c>
      <c r="AB205">
        <f t="shared" ca="1" si="50"/>
        <v>36.419230304901482</v>
      </c>
      <c r="AC205">
        <f t="shared" ca="1" si="58"/>
        <v>83.290313889792031</v>
      </c>
      <c r="AD205">
        <f t="shared" ca="1" si="51"/>
        <v>0</v>
      </c>
      <c r="AE205">
        <f t="shared" ca="1" si="52"/>
        <v>0.76774049754759133</v>
      </c>
      <c r="AF205" s="83" t="e">
        <f ca="1"/>
        <v>#N/A</v>
      </c>
      <c r="AG205" s="55" t="e">
        <f t="shared" ca="1" si="62"/>
        <v>#N/A</v>
      </c>
      <c r="AH205" s="55" t="e">
        <f t="shared" ca="1" si="63"/>
        <v>#N/A</v>
      </c>
      <c r="AI205" s="55" t="e">
        <f t="shared" ca="1" si="64"/>
        <v>#N/A</v>
      </c>
      <c r="AJ205" s="55" t="e">
        <f t="shared" ca="1" si="65"/>
        <v>#N/A</v>
      </c>
      <c r="AK205" s="55" t="e">
        <f t="shared" ca="1" si="59"/>
        <v>#N/A</v>
      </c>
      <c r="AL205" s="55" t="e">
        <f t="shared" ca="1" si="60"/>
        <v>#N/A</v>
      </c>
      <c r="AM205" s="55" t="e">
        <f t="shared" ca="1" si="61"/>
        <v>#N/A</v>
      </c>
    </row>
    <row r="206" spans="18:39">
      <c r="R206" s="83">
        <f ca="1"/>
        <v>45707</v>
      </c>
      <c r="S206" s="55">
        <f t="shared" ca="1" si="53"/>
        <v>45707</v>
      </c>
      <c r="T206" s="55">
        <f t="shared" ca="1" si="47"/>
        <v>15.427813355367945</v>
      </c>
      <c r="U206" s="55">
        <f t="shared" ca="1" si="48"/>
        <v>327.1356089866224</v>
      </c>
      <c r="V206" s="55">
        <f t="shared" ca="1" si="49"/>
        <v>0</v>
      </c>
      <c r="W206" s="55">
        <f t="shared" ca="1" si="54"/>
        <v>-29.070728591425024</v>
      </c>
      <c r="X206" s="55">
        <f t="shared" ca="1" si="55"/>
        <v>137.37530579666438</v>
      </c>
      <c r="Y206" s="55">
        <f t="shared" ca="1" si="56"/>
        <v>15.838519703827737</v>
      </c>
      <c r="Z206" s="55">
        <f t="shared" ca="1" si="57"/>
        <v>16.526523432444833</v>
      </c>
      <c r="AB206">
        <f t="shared" ca="1" si="50"/>
        <v>34.847825454806667</v>
      </c>
      <c r="AC206">
        <f t="shared" ca="1" si="58"/>
        <v>83.290313889792031</v>
      </c>
      <c r="AD206">
        <f t="shared" ca="1" si="51"/>
        <v>0</v>
      </c>
      <c r="AE206">
        <f t="shared" ca="1" si="52"/>
        <v>0.74493517248235952</v>
      </c>
      <c r="AF206" s="83" t="e">
        <f ca="1"/>
        <v>#N/A</v>
      </c>
      <c r="AG206" s="55" t="e">
        <f t="shared" ca="1" si="62"/>
        <v>#N/A</v>
      </c>
      <c r="AH206" s="55" t="e">
        <f t="shared" ca="1" si="63"/>
        <v>#N/A</v>
      </c>
      <c r="AI206" s="55" t="e">
        <f t="shared" ca="1" si="64"/>
        <v>#N/A</v>
      </c>
      <c r="AJ206" s="55" t="e">
        <f t="shared" ca="1" si="65"/>
        <v>#N/A</v>
      </c>
      <c r="AK206" s="55" t="e">
        <f t="shared" ca="1" si="59"/>
        <v>#N/A</v>
      </c>
      <c r="AL206" s="55" t="e">
        <f t="shared" ca="1" si="60"/>
        <v>#N/A</v>
      </c>
      <c r="AM206" s="55" t="e">
        <f t="shared" ca="1" si="61"/>
        <v>#N/A</v>
      </c>
    </row>
    <row r="207" spans="18:39">
      <c r="R207" s="83">
        <f ca="1"/>
        <v>45708</v>
      </c>
      <c r="S207" s="55">
        <f t="shared" ca="1" si="53"/>
        <v>45708</v>
      </c>
      <c r="T207" s="55">
        <f t="shared" ca="1" si="47"/>
        <v>14.456585560370272</v>
      </c>
      <c r="U207" s="55">
        <f t="shared" ca="1" si="48"/>
        <v>328.69457504501815</v>
      </c>
      <c r="V207" s="55">
        <f t="shared" ca="1" si="49"/>
        <v>0</v>
      </c>
      <c r="W207" s="55">
        <f t="shared" ca="1" si="54"/>
        <v>-29.070728591425024</v>
      </c>
      <c r="X207" s="55">
        <f t="shared" ca="1" si="55"/>
        <v>137.96070990148078</v>
      </c>
      <c r="Y207" s="55">
        <f t="shared" ca="1" si="56"/>
        <v>15.840853862409414</v>
      </c>
      <c r="Z207" s="55">
        <f t="shared" ca="1" si="57"/>
        <v>15.589660583957539</v>
      </c>
      <c r="AB207">
        <f t="shared" ca="1" si="50"/>
        <v>37.550486241874708</v>
      </c>
      <c r="AC207">
        <f t="shared" ca="1" si="58"/>
        <v>83.290313889792031</v>
      </c>
      <c r="AD207">
        <f t="shared" ca="1" si="51"/>
        <v>0</v>
      </c>
      <c r="AE207">
        <f t="shared" ca="1" si="52"/>
        <v>0.72202415847501267</v>
      </c>
      <c r="AF207" s="83" t="e">
        <f ca="1"/>
        <v>#N/A</v>
      </c>
      <c r="AG207" s="55" t="e">
        <f t="shared" ca="1" si="62"/>
        <v>#N/A</v>
      </c>
      <c r="AH207" s="55" t="e">
        <f t="shared" ca="1" si="63"/>
        <v>#N/A</v>
      </c>
      <c r="AI207" s="55" t="e">
        <f t="shared" ca="1" si="64"/>
        <v>#N/A</v>
      </c>
      <c r="AJ207" s="55" t="e">
        <f t="shared" ca="1" si="65"/>
        <v>#N/A</v>
      </c>
      <c r="AK207" s="55" t="e">
        <f t="shared" ca="1" si="59"/>
        <v>#N/A</v>
      </c>
      <c r="AL207" s="55" t="e">
        <f t="shared" ca="1" si="60"/>
        <v>#N/A</v>
      </c>
      <c r="AM207" s="55" t="e">
        <f t="shared" ca="1" si="61"/>
        <v>#N/A</v>
      </c>
    </row>
    <row r="208" spans="18:39">
      <c r="R208" s="83">
        <f ca="1"/>
        <v>45709</v>
      </c>
      <c r="S208" s="55">
        <f t="shared" ca="1" si="53"/>
        <v>45709</v>
      </c>
      <c r="T208" s="55">
        <f t="shared" ca="1" si="47"/>
        <v>13.588695036175992</v>
      </c>
      <c r="U208" s="55">
        <f t="shared" ca="1" si="48"/>
        <v>330.15213675655156</v>
      </c>
      <c r="V208" s="55">
        <f t="shared" ca="1" si="49"/>
        <v>0</v>
      </c>
      <c r="W208" s="55">
        <f t="shared" ca="1" si="54"/>
        <v>-29.070728591425024</v>
      </c>
      <c r="X208" s="55">
        <f t="shared" ca="1" si="55"/>
        <v>138.54805336084817</v>
      </c>
      <c r="Y208" s="55">
        <f t="shared" ca="1" si="56"/>
        <v>15.843181590381137</v>
      </c>
      <c r="Z208" s="55">
        <f t="shared" ca="1" si="57"/>
        <v>14.575617115334012</v>
      </c>
      <c r="AB208">
        <f t="shared" ca="1" si="50"/>
        <v>38.402224625321217</v>
      </c>
      <c r="AC208">
        <f t="shared" ca="1" si="58"/>
        <v>83.290313889792031</v>
      </c>
      <c r="AD208">
        <f t="shared" ca="1" si="51"/>
        <v>0</v>
      </c>
      <c r="AE208">
        <f t="shared" ca="1" si="52"/>
        <v>0.69919534697819974</v>
      </c>
      <c r="AF208" s="83" t="e">
        <f ca="1"/>
        <v>#N/A</v>
      </c>
      <c r="AG208" s="55" t="e">
        <f t="shared" ca="1" si="62"/>
        <v>#N/A</v>
      </c>
      <c r="AH208" s="55" t="e">
        <f t="shared" ca="1" si="63"/>
        <v>#N/A</v>
      </c>
      <c r="AI208" s="55" t="e">
        <f t="shared" ca="1" si="64"/>
        <v>#N/A</v>
      </c>
      <c r="AJ208" s="55" t="e">
        <f t="shared" ca="1" si="65"/>
        <v>#N/A</v>
      </c>
      <c r="AK208" s="55" t="e">
        <f t="shared" ca="1" si="59"/>
        <v>#N/A</v>
      </c>
      <c r="AL208" s="55" t="e">
        <f t="shared" ca="1" si="60"/>
        <v>#N/A</v>
      </c>
      <c r="AM208" s="55" t="e">
        <f t="shared" ca="1" si="61"/>
        <v>#N/A</v>
      </c>
    </row>
    <row r="209" spans="18:39">
      <c r="R209" s="83">
        <f ca="1"/>
        <v>45710</v>
      </c>
      <c r="S209" s="55">
        <f t="shared" ca="1" si="53"/>
        <v>45710</v>
      </c>
      <c r="T209" s="55">
        <f t="shared" ca="1" si="47"/>
        <v>12.806399959705253</v>
      </c>
      <c r="U209" s="55">
        <f t="shared" ca="1" si="48"/>
        <v>331.50482696789987</v>
      </c>
      <c r="V209" s="55">
        <f t="shared" ca="1" si="49"/>
        <v>0</v>
      </c>
      <c r="W209" s="55">
        <f t="shared" ca="1" si="54"/>
        <v>-29.070728591425024</v>
      </c>
      <c r="X209" s="55">
        <f t="shared" ca="1" si="55"/>
        <v>139.11630667827657</v>
      </c>
      <c r="Y209" s="55">
        <f t="shared" ca="1" si="56"/>
        <v>15.845323407830316</v>
      </c>
      <c r="Z209" s="55">
        <f t="shared" ca="1" si="57"/>
        <v>13.526902113483175</v>
      </c>
      <c r="AB209">
        <f t="shared" ca="1" si="50"/>
        <v>36.56953618823696</v>
      </c>
      <c r="AC209">
        <f t="shared" ca="1" si="58"/>
        <v>83.290313889792031</v>
      </c>
      <c r="AD209">
        <f t="shared" ca="1" si="51"/>
        <v>0</v>
      </c>
      <c r="AE209">
        <f t="shared" ca="1" si="52"/>
        <v>0.67661314301298836</v>
      </c>
      <c r="AF209" s="83" t="e">
        <f ca="1"/>
        <v>#N/A</v>
      </c>
      <c r="AG209" s="55" t="e">
        <f t="shared" ca="1" si="62"/>
        <v>#N/A</v>
      </c>
      <c r="AH209" s="55" t="e">
        <f t="shared" ca="1" si="63"/>
        <v>#N/A</v>
      </c>
      <c r="AI209" s="55" t="e">
        <f t="shared" ca="1" si="64"/>
        <v>#N/A</v>
      </c>
      <c r="AJ209" s="55" t="e">
        <f t="shared" ca="1" si="65"/>
        <v>#N/A</v>
      </c>
      <c r="AK209" s="55" t="e">
        <f t="shared" ca="1" si="59"/>
        <v>#N/A</v>
      </c>
      <c r="AL209" s="55" t="e">
        <f t="shared" ca="1" si="60"/>
        <v>#N/A</v>
      </c>
      <c r="AM209" s="55" t="e">
        <f t="shared" ca="1" si="61"/>
        <v>#N/A</v>
      </c>
    </row>
    <row r="210" spans="18:39">
      <c r="R210" s="83">
        <f ca="1"/>
        <v>45711</v>
      </c>
      <c r="S210" s="55">
        <f t="shared" ca="1" si="53"/>
        <v>45711</v>
      </c>
      <c r="T210" s="55">
        <f t="shared" ref="T210:T273" ca="1" si="66">VLOOKUP(S210,ModelOutputs,2,FALSE)</f>
        <v>12.113786306540099</v>
      </c>
      <c r="U210" s="55">
        <f t="shared" ref="U210:U273" ca="1" si="67">VLOOKUP(S210,ModelOutputs,7,FALSE)</f>
        <v>332.77299880308908</v>
      </c>
      <c r="V210" s="55">
        <f t="shared" ref="V210:V273" ca="1" si="68">VLOOKUP(S210,ModelOutputs,6,FALSE)</f>
        <v>0</v>
      </c>
      <c r="W210" s="55">
        <f t="shared" ca="1" si="54"/>
        <v>-29.070728591425024</v>
      </c>
      <c r="X210" s="55">
        <f t="shared" ca="1" si="55"/>
        <v>139.68970787957207</v>
      </c>
      <c r="Y210" s="55">
        <f t="shared" ca="1" si="56"/>
        <v>15.84748038855887</v>
      </c>
      <c r="Z210" s="55">
        <f t="shared" ca="1" si="57"/>
        <v>12.681718351892073</v>
      </c>
      <c r="AB210">
        <f t="shared" ref="AB210:AB273" ca="1" si="69">VLOOKUP(S210,ModelOutputs,10,FALSE)*AWC</f>
        <v>37.572409958855609</v>
      </c>
      <c r="AC210">
        <f t="shared" ca="1" si="58"/>
        <v>83.290313889792031</v>
      </c>
      <c r="AD210">
        <f t="shared" ref="AD210:AD273" ca="1" si="70">VLOOKUP(S210,ModelOutputs,12,FALSE)</f>
        <v>0</v>
      </c>
      <c r="AE210">
        <f t="shared" ref="AE210:AE273" ca="1" si="71">VLOOKUP(S210,ModelOutputs,13,FALSE)</f>
        <v>0.65404268226356765</v>
      </c>
      <c r="AF210" s="83" t="e">
        <f ca="1"/>
        <v>#N/A</v>
      </c>
      <c r="AG210" s="55" t="e">
        <f t="shared" ca="1" si="62"/>
        <v>#N/A</v>
      </c>
      <c r="AH210" s="55" t="e">
        <f t="shared" ca="1" si="63"/>
        <v>#N/A</v>
      </c>
      <c r="AI210" s="55" t="e">
        <f t="shared" ca="1" si="64"/>
        <v>#N/A</v>
      </c>
      <c r="AJ210" s="55" t="e">
        <f t="shared" ca="1" si="65"/>
        <v>#N/A</v>
      </c>
      <c r="AK210" s="55" t="e">
        <f t="shared" ca="1" si="59"/>
        <v>#N/A</v>
      </c>
      <c r="AL210" s="55" t="e">
        <f t="shared" ca="1" si="60"/>
        <v>#N/A</v>
      </c>
      <c r="AM210" s="55" t="e">
        <f t="shared" ca="1" si="61"/>
        <v>#N/A</v>
      </c>
    </row>
    <row r="211" spans="18:39">
      <c r="R211" s="83">
        <f ca="1"/>
        <v>45712</v>
      </c>
      <c r="S211" s="55">
        <f t="shared" ref="S211:S274" ca="1" si="72">IF(R211&gt;1,R211,"")</f>
        <v>45712</v>
      </c>
      <c r="T211" s="55">
        <f t="shared" ca="1" si="66"/>
        <v>11.499980635853879</v>
      </c>
      <c r="U211" s="55">
        <f t="shared" ca="1" si="67"/>
        <v>333.93618739995662</v>
      </c>
      <c r="V211" s="55">
        <f t="shared" ca="1" si="68"/>
        <v>0</v>
      </c>
      <c r="W211" s="55">
        <f t="shared" ref="W211:W274" ca="1" si="73">-VLOOKUP(S211,ModelOutputs,9,FALSE)+W210</f>
        <v>-29.070728591425024</v>
      </c>
      <c r="X211" s="55">
        <f t="shared" ref="X211:X274" ca="1" si="74">VLOOKUP(S211,ModelOutputs,5,FALSE)+X210</f>
        <v>140.23712080142198</v>
      </c>
      <c r="Y211" s="55">
        <f t="shared" ref="Y211:Y274" ca="1" si="75">VLOOKUP(S211,ModelOutputs,4,FALSE)+Y210</f>
        <v>15.849450392890294</v>
      </c>
      <c r="Z211" s="55">
        <f t="shared" ref="Z211:Z274" ca="1" si="76">VLOOKUP(S211,ModelOutputs,3,FALSE)*10</f>
        <v>11.631885968675419</v>
      </c>
      <c r="AB211">
        <f t="shared" ca="1" si="69"/>
        <v>36.024274150544606</v>
      </c>
      <c r="AC211">
        <f t="shared" ref="AC211:AC274" ca="1" si="77">VLOOKUP(S211,ModelOutputs,11,FALSE)+AC210</f>
        <v>83.290313889792031</v>
      </c>
      <c r="AD211">
        <f t="shared" ca="1" si="70"/>
        <v>0</v>
      </c>
      <c r="AE211">
        <f t="shared" ca="1" si="71"/>
        <v>0.63197717979314016</v>
      </c>
      <c r="AF211" s="83" t="e">
        <f ca="1"/>
        <v>#N/A</v>
      </c>
      <c r="AG211" s="55" t="e">
        <f t="shared" ca="1" si="62"/>
        <v>#N/A</v>
      </c>
      <c r="AH211" s="55" t="e">
        <f t="shared" ca="1" si="63"/>
        <v>#N/A</v>
      </c>
      <c r="AI211" s="55" t="e">
        <f t="shared" ca="1" si="64"/>
        <v>#N/A</v>
      </c>
      <c r="AJ211" s="55" t="e">
        <f t="shared" ca="1" si="65"/>
        <v>#N/A</v>
      </c>
      <c r="AK211" s="55" t="e">
        <f t="shared" ref="AK211:AK274" ca="1" si="78">-VLOOKUP(AG211,ModelOutputs,9,FALSE)+AK210</f>
        <v>#N/A</v>
      </c>
      <c r="AL211" s="55" t="e">
        <f t="shared" ref="AL211:AL274" ca="1" si="79">VLOOKUP(AG211,ModelOutputs,5,FALSE)+AL210</f>
        <v>#N/A</v>
      </c>
      <c r="AM211" s="55" t="e">
        <f t="shared" ref="AM211:AM274" ca="1" si="80">VLOOKUP(AG211,ModelOutputs,4,FALSE)+AM210</f>
        <v>#N/A</v>
      </c>
    </row>
    <row r="212" spans="18:39">
      <c r="R212" s="83">
        <f ca="1"/>
        <v>45713</v>
      </c>
      <c r="S212" s="55">
        <f t="shared" ca="1" si="72"/>
        <v>45713</v>
      </c>
      <c r="T212" s="55">
        <f t="shared" ca="1" si="66"/>
        <v>10.954029247404344</v>
      </c>
      <c r="U212" s="55">
        <f t="shared" ca="1" si="67"/>
        <v>335.00019117166147</v>
      </c>
      <c r="V212" s="55">
        <f t="shared" ca="1" si="68"/>
        <v>0</v>
      </c>
      <c r="W212" s="55">
        <f t="shared" ca="1" si="73"/>
        <v>-29.070728591425024</v>
      </c>
      <c r="X212" s="55">
        <f t="shared" ca="1" si="74"/>
        <v>140.75342292075672</v>
      </c>
      <c r="Y212" s="55">
        <f t="shared" ca="1" si="75"/>
        <v>15.851200656810859</v>
      </c>
      <c r="Z212" s="55">
        <f t="shared" ca="1" si="76"/>
        <v>10.640037717048472</v>
      </c>
      <c r="AB212">
        <f t="shared" ca="1" si="69"/>
        <v>33.6849793680544</v>
      </c>
      <c r="AC212">
        <f t="shared" ca="1" si="77"/>
        <v>83.290313889792031</v>
      </c>
      <c r="AD212">
        <f t="shared" ca="1" si="70"/>
        <v>0</v>
      </c>
      <c r="AE212">
        <f t="shared" ca="1" si="71"/>
        <v>0.61048709489644892</v>
      </c>
      <c r="AF212" s="83" t="e">
        <f ca="1"/>
        <v>#N/A</v>
      </c>
      <c r="AG212" s="55" t="e">
        <f t="shared" ca="1" si="62"/>
        <v>#N/A</v>
      </c>
      <c r="AH212" s="55" t="e">
        <f t="shared" ca="1" si="63"/>
        <v>#N/A</v>
      </c>
      <c r="AI212" s="55" t="e">
        <f t="shared" ca="1" si="64"/>
        <v>#N/A</v>
      </c>
      <c r="AJ212" s="55" t="e">
        <f t="shared" ca="1" si="65"/>
        <v>#N/A</v>
      </c>
      <c r="AK212" s="55" t="e">
        <f t="shared" ca="1" si="78"/>
        <v>#N/A</v>
      </c>
      <c r="AL212" s="55" t="e">
        <f t="shared" ca="1" si="79"/>
        <v>#N/A</v>
      </c>
      <c r="AM212" s="55" t="e">
        <f t="shared" ca="1" si="80"/>
        <v>#N/A</v>
      </c>
    </row>
    <row r="213" spans="18:39">
      <c r="R213" s="83">
        <f ca="1"/>
        <v>45714</v>
      </c>
      <c r="S213" s="55">
        <f t="shared" ca="1" si="72"/>
        <v>45714</v>
      </c>
      <c r="T213" s="55">
        <f t="shared" ca="1" si="66"/>
        <v>10.467446689124586</v>
      </c>
      <c r="U213" s="55">
        <f t="shared" ca="1" si="67"/>
        <v>336.00576766168348</v>
      </c>
      <c r="V213" s="55">
        <f t="shared" ca="1" si="68"/>
        <v>0</v>
      </c>
      <c r="W213" s="55">
        <f t="shared" ca="1" si="73"/>
        <v>-29.070728591425024</v>
      </c>
      <c r="X213" s="55">
        <f t="shared" ca="1" si="74"/>
        <v>141.27071593430105</v>
      </c>
      <c r="Y213" s="55">
        <f t="shared" ca="1" si="75"/>
        <v>15.852901575008762</v>
      </c>
      <c r="Z213" s="55">
        <f t="shared" ca="1" si="76"/>
        <v>10.055764900220083</v>
      </c>
      <c r="AB213">
        <f t="shared" ca="1" si="69"/>
        <v>33.014642985696085</v>
      </c>
      <c r="AC213">
        <f t="shared" ca="1" si="77"/>
        <v>83.290313889792031</v>
      </c>
      <c r="AD213">
        <f t="shared" ca="1" si="70"/>
        <v>0</v>
      </c>
      <c r="AE213">
        <f t="shared" ca="1" si="71"/>
        <v>0.58886783462606207</v>
      </c>
      <c r="AF213" s="83" t="e">
        <f ca="1"/>
        <v>#N/A</v>
      </c>
      <c r="AG213" s="55" t="e">
        <f t="shared" ref="AG213:AG276" ca="1" si="81">IF(AF213&gt;1,AF213,"")</f>
        <v>#N/A</v>
      </c>
      <c r="AH213" s="55" t="e">
        <f t="shared" ref="AH213:AH276" ca="1" si="82">VLOOKUP(AG213,ModelOutputs,2,FALSE)</f>
        <v>#N/A</v>
      </c>
      <c r="AI213" s="55" t="e">
        <f t="shared" ref="AI213:AI276" ca="1" si="83">VLOOKUP(AG213,ModelOutputs,7,FALSE)</f>
        <v>#N/A</v>
      </c>
      <c r="AJ213" s="55" t="e">
        <f t="shared" ref="AJ213:AJ276" ca="1" si="84">VLOOKUP(AG213,ModelOutputs,6,FALSE)</f>
        <v>#N/A</v>
      </c>
      <c r="AK213" s="55" t="e">
        <f t="shared" ca="1" si="78"/>
        <v>#N/A</v>
      </c>
      <c r="AL213" s="55" t="e">
        <f t="shared" ca="1" si="79"/>
        <v>#N/A</v>
      </c>
      <c r="AM213" s="55" t="e">
        <f t="shared" ca="1" si="80"/>
        <v>#N/A</v>
      </c>
    </row>
    <row r="214" spans="18:39">
      <c r="R214" s="83">
        <f ca="1"/>
        <v>45715</v>
      </c>
      <c r="S214" s="55">
        <f t="shared" ca="1" si="72"/>
        <v>45715</v>
      </c>
      <c r="T214" s="55">
        <f t="shared" ca="1" si="66"/>
        <v>10.034297952351462</v>
      </c>
      <c r="U214" s="55">
        <f t="shared" ca="1" si="67"/>
        <v>336.95535943347608</v>
      </c>
      <c r="V214" s="55">
        <f t="shared" ca="1" si="68"/>
        <v>0</v>
      </c>
      <c r="W214" s="55">
        <f t="shared" ca="1" si="73"/>
        <v>-29.070728591425024</v>
      </c>
      <c r="X214" s="55">
        <f t="shared" ca="1" si="74"/>
        <v>141.78554319290245</v>
      </c>
      <c r="Y214" s="55">
        <f t="shared" ca="1" si="75"/>
        <v>15.854517351426823</v>
      </c>
      <c r="Z214" s="55">
        <f t="shared" ca="1" si="76"/>
        <v>9.4959177179259768</v>
      </c>
      <c r="AB214">
        <f t="shared" ca="1" si="69"/>
        <v>31.615554683539422</v>
      </c>
      <c r="AC214">
        <f t="shared" ca="1" si="77"/>
        <v>83.290313889792031</v>
      </c>
      <c r="AD214">
        <f t="shared" ca="1" si="70"/>
        <v>0</v>
      </c>
      <c r="AE214">
        <f t="shared" ca="1" si="71"/>
        <v>0.56711939898197905</v>
      </c>
      <c r="AF214" s="83" t="e">
        <f ca="1"/>
        <v>#N/A</v>
      </c>
      <c r="AG214" s="55" t="e">
        <f t="shared" ca="1" si="81"/>
        <v>#N/A</v>
      </c>
      <c r="AH214" s="55" t="e">
        <f t="shared" ca="1" si="82"/>
        <v>#N/A</v>
      </c>
      <c r="AI214" s="55" t="e">
        <f t="shared" ca="1" si="83"/>
        <v>#N/A</v>
      </c>
      <c r="AJ214" s="55" t="e">
        <f t="shared" ca="1" si="84"/>
        <v>#N/A</v>
      </c>
      <c r="AK214" s="55" t="e">
        <f t="shared" ca="1" si="78"/>
        <v>#N/A</v>
      </c>
      <c r="AL214" s="55" t="e">
        <f t="shared" ca="1" si="79"/>
        <v>#N/A</v>
      </c>
      <c r="AM214" s="55" t="e">
        <f t="shared" ca="1" si="80"/>
        <v>#N/A</v>
      </c>
    </row>
    <row r="215" spans="18:39">
      <c r="R215" s="83">
        <f ca="1"/>
        <v>45716</v>
      </c>
      <c r="S215" s="55">
        <f t="shared" ca="1" si="72"/>
        <v>45716</v>
      </c>
      <c r="T215" s="55">
        <f t="shared" ca="1" si="66"/>
        <v>9.6725009748220785</v>
      </c>
      <c r="U215" s="55">
        <f t="shared" ca="1" si="67"/>
        <v>337.83367132176414</v>
      </c>
      <c r="V215" s="55">
        <f t="shared" ca="1" si="68"/>
        <v>0</v>
      </c>
      <c r="W215" s="55">
        <f t="shared" ca="1" si="73"/>
        <v>-29.070728591425024</v>
      </c>
      <c r="X215" s="55">
        <f t="shared" ca="1" si="74"/>
        <v>142.30039003023376</v>
      </c>
      <c r="Y215" s="55">
        <f t="shared" ca="1" si="75"/>
        <v>15.856185424854207</v>
      </c>
      <c r="Z215" s="55">
        <f t="shared" ca="1" si="76"/>
        <v>8.7831188828806717</v>
      </c>
      <c r="AB215">
        <f t="shared" ca="1" si="69"/>
        <v>33.781761958061765</v>
      </c>
      <c r="AC215">
        <f t="shared" ca="1" si="77"/>
        <v>83.290313889792031</v>
      </c>
      <c r="AD215">
        <f t="shared" ca="1" si="70"/>
        <v>0</v>
      </c>
      <c r="AE215">
        <f t="shared" ca="1" si="71"/>
        <v>0.54568803016424061</v>
      </c>
      <c r="AF215" s="83" t="e">
        <f ca="1"/>
        <v>#N/A</v>
      </c>
      <c r="AG215" s="55" t="e">
        <f t="shared" ca="1" si="81"/>
        <v>#N/A</v>
      </c>
      <c r="AH215" s="55" t="e">
        <f t="shared" ca="1" si="82"/>
        <v>#N/A</v>
      </c>
      <c r="AI215" s="55" t="e">
        <f t="shared" ca="1" si="83"/>
        <v>#N/A</v>
      </c>
      <c r="AJ215" s="55" t="e">
        <f t="shared" ca="1" si="84"/>
        <v>#N/A</v>
      </c>
      <c r="AK215" s="55" t="e">
        <f t="shared" ca="1" si="78"/>
        <v>#N/A</v>
      </c>
      <c r="AL215" s="55" t="e">
        <f t="shared" ca="1" si="79"/>
        <v>#N/A</v>
      </c>
      <c r="AM215" s="55" t="e">
        <f t="shared" ca="1" si="80"/>
        <v>#N/A</v>
      </c>
    </row>
    <row r="216" spans="18:39">
      <c r="R216" s="83">
        <f ca="1"/>
        <v>45717</v>
      </c>
      <c r="S216" s="55">
        <f t="shared" ca="1" si="72"/>
        <v>45717</v>
      </c>
      <c r="T216" s="55">
        <f t="shared" ca="1" si="66"/>
        <v>9.3795892700447929</v>
      </c>
      <c r="U216" s="55">
        <f t="shared" ca="1" si="67"/>
        <v>338.66080205432951</v>
      </c>
      <c r="V216" s="55">
        <f t="shared" ca="1" si="68"/>
        <v>0</v>
      </c>
      <c r="W216" s="55">
        <f t="shared" ca="1" si="73"/>
        <v>-29.070728591425024</v>
      </c>
      <c r="X216" s="55">
        <f t="shared" ca="1" si="74"/>
        <v>142.83281335547292</v>
      </c>
      <c r="Y216" s="55">
        <f t="shared" ca="1" si="75"/>
        <v>15.857981127403134</v>
      </c>
      <c r="Z216" s="55">
        <f t="shared" ca="1" si="76"/>
        <v>8.2713073256536518</v>
      </c>
      <c r="AB216">
        <f t="shared" ca="1" si="69"/>
        <v>36.827818809062741</v>
      </c>
      <c r="AC216">
        <f t="shared" ca="1" si="77"/>
        <v>83.290313889792031</v>
      </c>
      <c r="AD216">
        <f t="shared" ca="1" si="70"/>
        <v>0</v>
      </c>
      <c r="AE216">
        <f t="shared" ca="1" si="71"/>
        <v>0.52418620205175914</v>
      </c>
      <c r="AF216" s="83" t="e">
        <f ca="1"/>
        <v>#N/A</v>
      </c>
      <c r="AG216" s="55" t="e">
        <f t="shared" ca="1" si="81"/>
        <v>#N/A</v>
      </c>
      <c r="AH216" s="55" t="e">
        <f t="shared" ca="1" si="82"/>
        <v>#N/A</v>
      </c>
      <c r="AI216" s="55" t="e">
        <f t="shared" ca="1" si="83"/>
        <v>#N/A</v>
      </c>
      <c r="AJ216" s="55" t="e">
        <f t="shared" ca="1" si="84"/>
        <v>#N/A</v>
      </c>
      <c r="AK216" s="55" t="e">
        <f t="shared" ca="1" si="78"/>
        <v>#N/A</v>
      </c>
      <c r="AL216" s="55" t="e">
        <f t="shared" ca="1" si="79"/>
        <v>#N/A</v>
      </c>
      <c r="AM216" s="55" t="e">
        <f t="shared" ca="1" si="80"/>
        <v>#N/A</v>
      </c>
    </row>
    <row r="217" spans="18:39">
      <c r="R217" s="83">
        <f ca="1"/>
        <v>45718</v>
      </c>
      <c r="S217" s="55">
        <f t="shared" ca="1" si="72"/>
        <v>45718</v>
      </c>
      <c r="T217" s="55">
        <f t="shared" ca="1" si="66"/>
        <v>9.1371221411617718</v>
      </c>
      <c r="U217" s="55">
        <f t="shared" ca="1" si="67"/>
        <v>339.45284533823957</v>
      </c>
      <c r="V217" s="55">
        <f t="shared" ca="1" si="68"/>
        <v>0</v>
      </c>
      <c r="W217" s="55">
        <f t="shared" ca="1" si="73"/>
        <v>-29.070728591425024</v>
      </c>
      <c r="X217" s="55">
        <f t="shared" ca="1" si="74"/>
        <v>143.38057942854488</v>
      </c>
      <c r="Y217" s="55">
        <f t="shared" ca="1" si="75"/>
        <v>15.859791209358214</v>
      </c>
      <c r="Z217" s="55">
        <f t="shared" ca="1" si="76"/>
        <v>7.9204328391006129</v>
      </c>
      <c r="AB217">
        <f t="shared" ca="1" si="69"/>
        <v>36.776825433872126</v>
      </c>
      <c r="AC217">
        <f t="shared" ca="1" si="77"/>
        <v>83.290313889792031</v>
      </c>
      <c r="AD217">
        <f t="shared" ca="1" si="70"/>
        <v>0</v>
      </c>
      <c r="AE217">
        <f t="shared" ca="1" si="71"/>
        <v>0.50222638852344659</v>
      </c>
      <c r="AF217" s="83" t="e">
        <f ca="1"/>
        <v>#N/A</v>
      </c>
      <c r="AG217" s="55" t="e">
        <f t="shared" ca="1" si="81"/>
        <v>#N/A</v>
      </c>
      <c r="AH217" s="55" t="e">
        <f t="shared" ca="1" si="82"/>
        <v>#N/A</v>
      </c>
      <c r="AI217" s="55" t="e">
        <f t="shared" ca="1" si="83"/>
        <v>#N/A</v>
      </c>
      <c r="AJ217" s="55" t="e">
        <f t="shared" ca="1" si="84"/>
        <v>#N/A</v>
      </c>
      <c r="AK217" s="55" t="e">
        <f t="shared" ca="1" si="78"/>
        <v>#N/A</v>
      </c>
      <c r="AL217" s="55" t="e">
        <f t="shared" ca="1" si="79"/>
        <v>#N/A</v>
      </c>
      <c r="AM217" s="55" t="e">
        <f t="shared" ca="1" si="80"/>
        <v>#N/A</v>
      </c>
    </row>
    <row r="218" spans="18:39">
      <c r="R218" s="83">
        <f ca="1"/>
        <v>45719</v>
      </c>
      <c r="S218" s="55">
        <f t="shared" ca="1" si="72"/>
        <v>45719</v>
      </c>
      <c r="T218" s="55">
        <f t="shared" ca="1" si="66"/>
        <v>8.9564136234781451</v>
      </c>
      <c r="U218" s="55">
        <f t="shared" ca="1" si="67"/>
        <v>340.1970324468727</v>
      </c>
      <c r="V218" s="55">
        <f t="shared" ca="1" si="68"/>
        <v>0</v>
      </c>
      <c r="W218" s="55">
        <f t="shared" ca="1" si="73"/>
        <v>-29.070728591425024</v>
      </c>
      <c r="X218" s="55">
        <f t="shared" ca="1" si="74"/>
        <v>143.94217170077255</v>
      </c>
      <c r="Y218" s="55">
        <f t="shared" ca="1" si="75"/>
        <v>15.861677528080044</v>
      </c>
      <c r="Z218" s="55">
        <f t="shared" ca="1" si="76"/>
        <v>7.4418710863312754</v>
      </c>
      <c r="AB218">
        <f t="shared" ca="1" si="69"/>
        <v>38.87389807621625</v>
      </c>
      <c r="AC218">
        <f t="shared" ca="1" si="77"/>
        <v>83.290313889792031</v>
      </c>
      <c r="AD218">
        <f t="shared" ca="1" si="70"/>
        <v>0</v>
      </c>
      <c r="AE218">
        <f t="shared" ca="1" si="71"/>
        <v>0.48019611570039034</v>
      </c>
      <c r="AF218" s="83" t="e">
        <f ca="1"/>
        <v>#N/A</v>
      </c>
      <c r="AG218" s="55" t="e">
        <f t="shared" ca="1" si="81"/>
        <v>#N/A</v>
      </c>
      <c r="AH218" s="55" t="e">
        <f t="shared" ca="1" si="82"/>
        <v>#N/A</v>
      </c>
      <c r="AI218" s="55" t="e">
        <f t="shared" ca="1" si="83"/>
        <v>#N/A</v>
      </c>
      <c r="AJ218" s="55" t="e">
        <f t="shared" ca="1" si="84"/>
        <v>#N/A</v>
      </c>
      <c r="AK218" s="55" t="e">
        <f t="shared" ca="1" si="78"/>
        <v>#N/A</v>
      </c>
      <c r="AL218" s="55" t="e">
        <f t="shared" ca="1" si="79"/>
        <v>#N/A</v>
      </c>
      <c r="AM218" s="55" t="e">
        <f t="shared" ca="1" si="80"/>
        <v>#N/A</v>
      </c>
    </row>
    <row r="219" spans="18:39">
      <c r="R219" s="83">
        <f ca="1"/>
        <v>45720</v>
      </c>
      <c r="S219" s="55">
        <f t="shared" ca="1" si="72"/>
        <v>45720</v>
      </c>
      <c r="T219" s="55">
        <f t="shared" ca="1" si="66"/>
        <v>8.8487771110431641</v>
      </c>
      <c r="U219" s="55">
        <f t="shared" ca="1" si="67"/>
        <v>340.8674792953999</v>
      </c>
      <c r="V219" s="55">
        <f t="shared" ca="1" si="68"/>
        <v>0</v>
      </c>
      <c r="W219" s="55">
        <f t="shared" ca="1" si="73"/>
        <v>-29.070728591425024</v>
      </c>
      <c r="X219" s="55">
        <f t="shared" ca="1" si="74"/>
        <v>144.50298596336145</v>
      </c>
      <c r="Y219" s="55">
        <f t="shared" ca="1" si="75"/>
        <v>15.863673601583354</v>
      </c>
      <c r="Z219" s="55">
        <f t="shared" ca="1" si="76"/>
        <v>6.7044684852720593</v>
      </c>
      <c r="AB219">
        <f t="shared" ca="1" si="69"/>
        <v>44.125264911159547</v>
      </c>
      <c r="AC219">
        <f t="shared" ca="1" si="77"/>
        <v>83.290313889792031</v>
      </c>
      <c r="AD219">
        <f t="shared" ca="1" si="70"/>
        <v>0</v>
      </c>
      <c r="AE219">
        <f t="shared" ca="1" si="71"/>
        <v>0.45902309763004367</v>
      </c>
      <c r="AF219" s="83" t="e">
        <f ca="1"/>
        <v>#N/A</v>
      </c>
      <c r="AG219" s="55" t="e">
        <f t="shared" ca="1" si="81"/>
        <v>#N/A</v>
      </c>
      <c r="AH219" s="55" t="e">
        <f t="shared" ca="1" si="82"/>
        <v>#N/A</v>
      </c>
      <c r="AI219" s="55" t="e">
        <f t="shared" ca="1" si="83"/>
        <v>#N/A</v>
      </c>
      <c r="AJ219" s="55" t="e">
        <f t="shared" ca="1" si="84"/>
        <v>#N/A</v>
      </c>
      <c r="AK219" s="55" t="e">
        <f t="shared" ca="1" si="78"/>
        <v>#N/A</v>
      </c>
      <c r="AL219" s="55" t="e">
        <f t="shared" ca="1" si="79"/>
        <v>#N/A</v>
      </c>
      <c r="AM219" s="55" t="e">
        <f t="shared" ca="1" si="80"/>
        <v>#N/A</v>
      </c>
    </row>
    <row r="220" spans="18:39">
      <c r="R220" s="83">
        <f ca="1"/>
        <v>45721</v>
      </c>
      <c r="S220" s="55">
        <f t="shared" ca="1" si="72"/>
        <v>45721</v>
      </c>
      <c r="T220" s="55">
        <f t="shared" ca="1" si="66"/>
        <v>8.783770240635187</v>
      </c>
      <c r="U220" s="55">
        <f t="shared" ca="1" si="67"/>
        <v>341.49389500225141</v>
      </c>
      <c r="V220" s="55">
        <f t="shared" ca="1" si="68"/>
        <v>0</v>
      </c>
      <c r="W220" s="55">
        <f t="shared" ca="1" si="73"/>
        <v>-29.070728591425024</v>
      </c>
      <c r="X220" s="55">
        <f t="shared" ca="1" si="74"/>
        <v>145.06243410996927</v>
      </c>
      <c r="Y220" s="55">
        <f t="shared" ca="1" si="75"/>
        <v>15.865634291419063</v>
      </c>
      <c r="Z220" s="55">
        <f t="shared" ca="1" si="76"/>
        <v>6.2641570685150327</v>
      </c>
      <c r="AB220">
        <f t="shared" ca="1" si="69"/>
        <v>44.474305554096858</v>
      </c>
      <c r="AC220">
        <f t="shared" ca="1" si="77"/>
        <v>83.290313889792031</v>
      </c>
      <c r="AD220">
        <f t="shared" ca="1" si="70"/>
        <v>0</v>
      </c>
      <c r="AE220">
        <f t="shared" ca="1" si="71"/>
        <v>0.43794402528602183</v>
      </c>
      <c r="AF220" s="83" t="e">
        <f ca="1"/>
        <v>#N/A</v>
      </c>
      <c r="AG220" s="55" t="e">
        <f t="shared" ca="1" si="81"/>
        <v>#N/A</v>
      </c>
      <c r="AH220" s="55" t="e">
        <f t="shared" ca="1" si="82"/>
        <v>#N/A</v>
      </c>
      <c r="AI220" s="55" t="e">
        <f t="shared" ca="1" si="83"/>
        <v>#N/A</v>
      </c>
      <c r="AJ220" s="55" t="e">
        <f t="shared" ca="1" si="84"/>
        <v>#N/A</v>
      </c>
      <c r="AK220" s="55" t="e">
        <f t="shared" ca="1" si="78"/>
        <v>#N/A</v>
      </c>
      <c r="AL220" s="55" t="e">
        <f t="shared" ca="1" si="79"/>
        <v>#N/A</v>
      </c>
      <c r="AM220" s="55" t="e">
        <f t="shared" ca="1" si="80"/>
        <v>#N/A</v>
      </c>
    </row>
    <row r="221" spans="18:39">
      <c r="R221" s="83">
        <f ca="1"/>
        <v>45722</v>
      </c>
      <c r="S221" s="55">
        <f t="shared" ca="1" si="72"/>
        <v>45722</v>
      </c>
      <c r="T221" s="55">
        <f t="shared" ca="1" si="66"/>
        <v>8.7605198616612991</v>
      </c>
      <c r="U221" s="55">
        <f t="shared" ca="1" si="67"/>
        <v>342.09471623802938</v>
      </c>
      <c r="V221" s="55">
        <f t="shared" ca="1" si="68"/>
        <v>0</v>
      </c>
      <c r="W221" s="55">
        <f t="shared" ca="1" si="73"/>
        <v>-29.070728591425024</v>
      </c>
      <c r="X221" s="55">
        <f t="shared" ca="1" si="74"/>
        <v>145.63803816501223</v>
      </c>
      <c r="Y221" s="55">
        <f t="shared" ca="1" si="75"/>
        <v>15.867601093180197</v>
      </c>
      <c r="Z221" s="55">
        <f t="shared" ca="1" si="76"/>
        <v>6.008212357779712</v>
      </c>
      <c r="AB221">
        <f t="shared" ca="1" si="69"/>
        <v>44.255471714816601</v>
      </c>
      <c r="AC221">
        <f t="shared" ca="1" si="77"/>
        <v>83.290313889792031</v>
      </c>
      <c r="AD221">
        <f t="shared" ca="1" si="70"/>
        <v>0</v>
      </c>
      <c r="AE221">
        <f t="shared" ca="1" si="71"/>
        <v>0.41638348109458734</v>
      </c>
      <c r="AF221" s="83" t="e">
        <f ca="1"/>
        <v>#N/A</v>
      </c>
      <c r="AG221" s="55" t="e">
        <f t="shared" ca="1" si="81"/>
        <v>#N/A</v>
      </c>
      <c r="AH221" s="55" t="e">
        <f t="shared" ca="1" si="82"/>
        <v>#N/A</v>
      </c>
      <c r="AI221" s="55" t="e">
        <f t="shared" ca="1" si="83"/>
        <v>#N/A</v>
      </c>
      <c r="AJ221" s="55" t="e">
        <f t="shared" ca="1" si="84"/>
        <v>#N/A</v>
      </c>
      <c r="AK221" s="55" t="e">
        <f t="shared" ca="1" si="78"/>
        <v>#N/A</v>
      </c>
      <c r="AL221" s="55" t="e">
        <f t="shared" ca="1" si="79"/>
        <v>#N/A</v>
      </c>
      <c r="AM221" s="55" t="e">
        <f t="shared" ca="1" si="80"/>
        <v>#N/A</v>
      </c>
    </row>
    <row r="222" spans="18:39">
      <c r="R222" s="83">
        <f ca="1"/>
        <v>45723</v>
      </c>
      <c r="S222" s="55">
        <f t="shared" ca="1" si="72"/>
        <v>45723</v>
      </c>
      <c r="T222" s="55">
        <f t="shared" ca="1" si="66"/>
        <v>8.7752572685135011</v>
      </c>
      <c r="U222" s="55">
        <f t="shared" ca="1" si="67"/>
        <v>342.64064888202802</v>
      </c>
      <c r="V222" s="55">
        <f t="shared" ca="1" si="68"/>
        <v>0</v>
      </c>
      <c r="W222" s="55">
        <f t="shared" ca="1" si="73"/>
        <v>-29.070728591425024</v>
      </c>
      <c r="X222" s="55">
        <f t="shared" ca="1" si="74"/>
        <v>146.19680250480641</v>
      </c>
      <c r="Y222" s="55">
        <f t="shared" ca="1" si="75"/>
        <v>15.869506804236865</v>
      </c>
      <c r="Z222" s="55">
        <f t="shared" ca="1" si="76"/>
        <v>5.4593264399863983</v>
      </c>
      <c r="AB222">
        <f t="shared" ca="1" si="69"/>
        <v>45.527944837640987</v>
      </c>
      <c r="AC222">
        <f t="shared" ca="1" si="77"/>
        <v>83.290313889792031</v>
      </c>
      <c r="AD222">
        <f t="shared" ca="1" si="70"/>
        <v>0</v>
      </c>
      <c r="AE222">
        <f t="shared" ca="1" si="71"/>
        <v>0.39549230020321391</v>
      </c>
      <c r="AF222" s="83" t="e">
        <f ca="1"/>
        <v>#N/A</v>
      </c>
      <c r="AG222" s="55" t="e">
        <f t="shared" ca="1" si="81"/>
        <v>#N/A</v>
      </c>
      <c r="AH222" s="55" t="e">
        <f t="shared" ca="1" si="82"/>
        <v>#N/A</v>
      </c>
      <c r="AI222" s="55" t="e">
        <f t="shared" ca="1" si="83"/>
        <v>#N/A</v>
      </c>
      <c r="AJ222" s="55" t="e">
        <f t="shared" ca="1" si="84"/>
        <v>#N/A</v>
      </c>
      <c r="AK222" s="55" t="e">
        <f t="shared" ca="1" si="78"/>
        <v>#N/A</v>
      </c>
      <c r="AL222" s="55" t="e">
        <f t="shared" ca="1" si="79"/>
        <v>#N/A</v>
      </c>
      <c r="AM222" s="55" t="e">
        <f t="shared" ca="1" si="80"/>
        <v>#N/A</v>
      </c>
    </row>
    <row r="223" spans="18:39">
      <c r="R223" s="83">
        <f ca="1"/>
        <v>45724</v>
      </c>
      <c r="S223" s="55">
        <f t="shared" ca="1" si="72"/>
        <v>45724</v>
      </c>
      <c r="T223" s="55">
        <f t="shared" ca="1" si="66"/>
        <v>8.8155683182997411</v>
      </c>
      <c r="U223" s="55">
        <f t="shared" ca="1" si="67"/>
        <v>343.16277553121461</v>
      </c>
      <c r="V223" s="55">
        <f t="shared" ca="1" si="68"/>
        <v>0</v>
      </c>
      <c r="W223" s="55">
        <f t="shared" ca="1" si="73"/>
        <v>-29.070728591425024</v>
      </c>
      <c r="X223" s="55">
        <f t="shared" ca="1" si="74"/>
        <v>146.75742052279904</v>
      </c>
      <c r="Y223" s="55">
        <f t="shared" ca="1" si="75"/>
        <v>15.871326485217077</v>
      </c>
      <c r="Z223" s="55">
        <f t="shared" ca="1" si="76"/>
        <v>5.2212664918658902</v>
      </c>
      <c r="AB223">
        <f t="shared" ca="1" si="69"/>
        <v>43.283979319860023</v>
      </c>
      <c r="AC223">
        <f t="shared" ca="1" si="77"/>
        <v>83.290313889792031</v>
      </c>
      <c r="AD223">
        <f t="shared" ca="1" si="70"/>
        <v>0</v>
      </c>
      <c r="AE223">
        <f t="shared" ca="1" si="71"/>
        <v>0.37419010675917164</v>
      </c>
      <c r="AF223" s="83" t="e">
        <f ca="1"/>
        <v>#N/A</v>
      </c>
      <c r="AG223" s="55" t="e">
        <f t="shared" ca="1" si="81"/>
        <v>#N/A</v>
      </c>
      <c r="AH223" s="55" t="e">
        <f t="shared" ca="1" si="82"/>
        <v>#N/A</v>
      </c>
      <c r="AI223" s="55" t="e">
        <f t="shared" ca="1" si="83"/>
        <v>#N/A</v>
      </c>
      <c r="AJ223" s="55" t="e">
        <f t="shared" ca="1" si="84"/>
        <v>#N/A</v>
      </c>
      <c r="AK223" s="55" t="e">
        <f t="shared" ca="1" si="78"/>
        <v>#N/A</v>
      </c>
      <c r="AL223" s="55" t="e">
        <f t="shared" ca="1" si="79"/>
        <v>#N/A</v>
      </c>
      <c r="AM223" s="55" t="e">
        <f t="shared" ca="1" si="80"/>
        <v>#N/A</v>
      </c>
    </row>
    <row r="224" spans="18:39">
      <c r="R224" s="83">
        <f ca="1"/>
        <v>45725</v>
      </c>
      <c r="S224" s="55">
        <f t="shared" ca="1" si="72"/>
        <v>45725</v>
      </c>
      <c r="T224" s="55">
        <f t="shared" ca="1" si="66"/>
        <v>8.9045752793145354</v>
      </c>
      <c r="U224" s="55">
        <f t="shared" ca="1" si="67"/>
        <v>343.65835535291683</v>
      </c>
      <c r="V224" s="55">
        <f t="shared" ca="1" si="68"/>
        <v>0</v>
      </c>
      <c r="W224" s="55">
        <f t="shared" ca="1" si="73"/>
        <v>-29.070728591425024</v>
      </c>
      <c r="X224" s="55">
        <f t="shared" ca="1" si="74"/>
        <v>147.34010965880125</v>
      </c>
      <c r="Y224" s="55">
        <f t="shared" ca="1" si="75"/>
        <v>15.87322413193187</v>
      </c>
      <c r="Z224" s="55">
        <f t="shared" ca="1" si="76"/>
        <v>4.9557982170222203</v>
      </c>
      <c r="AB224">
        <f t="shared" ca="1" si="69"/>
        <v>45.298313494611257</v>
      </c>
      <c r="AC224">
        <f t="shared" ca="1" si="77"/>
        <v>83.290313889792031</v>
      </c>
      <c r="AD224">
        <f t="shared" ca="1" si="70"/>
        <v>0</v>
      </c>
      <c r="AE224">
        <f t="shared" ca="1" si="71"/>
        <v>0.35260607613615613</v>
      </c>
      <c r="AF224" s="83" t="e">
        <f ca="1"/>
        <v>#N/A</v>
      </c>
      <c r="AG224" s="55" t="e">
        <f t="shared" ca="1" si="81"/>
        <v>#N/A</v>
      </c>
      <c r="AH224" s="55" t="e">
        <f t="shared" ca="1" si="82"/>
        <v>#N/A</v>
      </c>
      <c r="AI224" s="55" t="e">
        <f t="shared" ca="1" si="83"/>
        <v>#N/A</v>
      </c>
      <c r="AJ224" s="55" t="e">
        <f t="shared" ca="1" si="84"/>
        <v>#N/A</v>
      </c>
      <c r="AK224" s="55" t="e">
        <f t="shared" ca="1" si="78"/>
        <v>#N/A</v>
      </c>
      <c r="AL224" s="55" t="e">
        <f t="shared" ca="1" si="79"/>
        <v>#N/A</v>
      </c>
      <c r="AM224" s="55" t="e">
        <f t="shared" ca="1" si="80"/>
        <v>#N/A</v>
      </c>
    </row>
    <row r="225" spans="18:39">
      <c r="R225" s="83">
        <f ca="1"/>
        <v>45726</v>
      </c>
      <c r="S225" s="55">
        <f t="shared" ca="1" si="72"/>
        <v>45726</v>
      </c>
      <c r="T225" s="55">
        <f t="shared" ca="1" si="66"/>
        <v>9.0143966005761165</v>
      </c>
      <c r="U225" s="55">
        <f t="shared" ca="1" si="67"/>
        <v>344.11546447852618</v>
      </c>
      <c r="V225" s="55">
        <f t="shared" ca="1" si="68"/>
        <v>0</v>
      </c>
      <c r="W225" s="55">
        <f t="shared" ca="1" si="73"/>
        <v>-29.070728591425024</v>
      </c>
      <c r="X225" s="55">
        <f t="shared" ca="1" si="74"/>
        <v>147.90525399769342</v>
      </c>
      <c r="Y225" s="55">
        <f t="shared" ca="1" si="75"/>
        <v>15.875010239910631</v>
      </c>
      <c r="Z225" s="55">
        <f t="shared" ca="1" si="76"/>
        <v>4.5710912560934958</v>
      </c>
      <c r="AB225">
        <f t="shared" ca="1" si="69"/>
        <v>44.36209519866911</v>
      </c>
      <c r="AC225">
        <f t="shared" ca="1" si="77"/>
        <v>83.290313889792031</v>
      </c>
      <c r="AD225">
        <f t="shared" ca="1" si="70"/>
        <v>0</v>
      </c>
      <c r="AE225">
        <f t="shared" ca="1" si="71"/>
        <v>0.33135085555527599</v>
      </c>
      <c r="AF225" s="83" t="e">
        <f ca="1"/>
        <v>#N/A</v>
      </c>
      <c r="AG225" s="55" t="e">
        <f t="shared" ca="1" si="81"/>
        <v>#N/A</v>
      </c>
      <c r="AH225" s="55" t="e">
        <f t="shared" ca="1" si="82"/>
        <v>#N/A</v>
      </c>
      <c r="AI225" s="55" t="e">
        <f t="shared" ca="1" si="83"/>
        <v>#N/A</v>
      </c>
      <c r="AJ225" s="55" t="e">
        <f t="shared" ca="1" si="84"/>
        <v>#N/A</v>
      </c>
      <c r="AK225" s="55" t="e">
        <f t="shared" ca="1" si="78"/>
        <v>#N/A</v>
      </c>
      <c r="AL225" s="55" t="e">
        <f t="shared" ca="1" si="79"/>
        <v>#N/A</v>
      </c>
      <c r="AM225" s="55" t="e">
        <f t="shared" ca="1" si="80"/>
        <v>#N/A</v>
      </c>
    </row>
    <row r="226" spans="18:39">
      <c r="R226" s="83">
        <f ca="1"/>
        <v>45727</v>
      </c>
      <c r="S226" s="55">
        <f t="shared" ca="1" si="72"/>
        <v>45727</v>
      </c>
      <c r="T226" s="55">
        <f t="shared" ca="1" si="66"/>
        <v>9.2033649472288239</v>
      </c>
      <c r="U226" s="55">
        <f t="shared" ca="1" si="67"/>
        <v>344.53985910431919</v>
      </c>
      <c r="V226" s="55">
        <f t="shared" ca="1" si="68"/>
        <v>0</v>
      </c>
      <c r="W226" s="55">
        <f t="shared" ca="1" si="73"/>
        <v>-29.070728591425024</v>
      </c>
      <c r="X226" s="55">
        <f t="shared" ca="1" si="74"/>
        <v>148.51655157349001</v>
      </c>
      <c r="Y226" s="55">
        <f t="shared" ca="1" si="75"/>
        <v>15.877075636559763</v>
      </c>
      <c r="Z226" s="55">
        <f t="shared" ca="1" si="76"/>
        <v>4.2439462579301335</v>
      </c>
      <c r="AB226">
        <f t="shared" ca="1" si="69"/>
        <v>53.03778125596137</v>
      </c>
      <c r="AC226">
        <f t="shared" ca="1" si="77"/>
        <v>83.290313889792031</v>
      </c>
      <c r="AD226">
        <f t="shared" ca="1" si="70"/>
        <v>0</v>
      </c>
      <c r="AE226">
        <f t="shared" ca="1" si="71"/>
        <v>0.31029526964283516</v>
      </c>
      <c r="AF226" s="83" t="e">
        <f ca="1"/>
        <v>#N/A</v>
      </c>
      <c r="AG226" s="55" t="e">
        <f t="shared" ca="1" si="81"/>
        <v>#N/A</v>
      </c>
      <c r="AH226" s="55" t="e">
        <f t="shared" ca="1" si="82"/>
        <v>#N/A</v>
      </c>
      <c r="AI226" s="55" t="e">
        <f t="shared" ca="1" si="83"/>
        <v>#N/A</v>
      </c>
      <c r="AJ226" s="55" t="e">
        <f t="shared" ca="1" si="84"/>
        <v>#N/A</v>
      </c>
      <c r="AK226" s="55" t="e">
        <f t="shared" ca="1" si="78"/>
        <v>#N/A</v>
      </c>
      <c r="AL226" s="55" t="e">
        <f t="shared" ca="1" si="79"/>
        <v>#N/A</v>
      </c>
      <c r="AM226" s="55" t="e">
        <f t="shared" ca="1" si="80"/>
        <v>#N/A</v>
      </c>
    </row>
    <row r="227" spans="18:39">
      <c r="R227" s="83">
        <f ca="1"/>
        <v>45728</v>
      </c>
      <c r="S227" s="55">
        <f t="shared" ca="1" si="72"/>
        <v>45728</v>
      </c>
      <c r="T227" s="55">
        <f t="shared" ca="1" si="66"/>
        <v>9.434120458516972</v>
      </c>
      <c r="U227" s="55">
        <f t="shared" ca="1" si="67"/>
        <v>344.94153902144336</v>
      </c>
      <c r="V227" s="55">
        <f t="shared" ca="1" si="68"/>
        <v>0</v>
      </c>
      <c r="W227" s="55">
        <f t="shared" ca="1" si="73"/>
        <v>-29.070728591425024</v>
      </c>
      <c r="X227" s="55">
        <f t="shared" ca="1" si="74"/>
        <v>149.14688344911326</v>
      </c>
      <c r="Y227" s="55">
        <f t="shared" ca="1" si="75"/>
        <v>15.879179189348836</v>
      </c>
      <c r="Z227" s="55">
        <f t="shared" ca="1" si="76"/>
        <v>4.0167991712417006</v>
      </c>
      <c r="AB227">
        <f t="shared" ca="1" si="69"/>
        <v>54.628117155248489</v>
      </c>
      <c r="AC227">
        <f t="shared" ca="1" si="77"/>
        <v>83.290313889792031</v>
      </c>
      <c r="AD227">
        <f t="shared" ca="1" si="70"/>
        <v>0</v>
      </c>
      <c r="AE227">
        <f t="shared" ca="1" si="71"/>
        <v>0.28902830584616424</v>
      </c>
      <c r="AF227" s="83" t="e">
        <f ca="1"/>
        <v>#N/A</v>
      </c>
      <c r="AG227" s="55" t="e">
        <f t="shared" ca="1" si="81"/>
        <v>#N/A</v>
      </c>
      <c r="AH227" s="55" t="e">
        <f t="shared" ca="1" si="82"/>
        <v>#N/A</v>
      </c>
      <c r="AI227" s="55" t="e">
        <f t="shared" ca="1" si="83"/>
        <v>#N/A</v>
      </c>
      <c r="AJ227" s="55" t="e">
        <f t="shared" ca="1" si="84"/>
        <v>#N/A</v>
      </c>
      <c r="AK227" s="55" t="e">
        <f t="shared" ca="1" si="78"/>
        <v>#N/A</v>
      </c>
      <c r="AL227" s="55" t="e">
        <f t="shared" ca="1" si="79"/>
        <v>#N/A</v>
      </c>
      <c r="AM227" s="55" t="e">
        <f t="shared" ca="1" si="80"/>
        <v>#N/A</v>
      </c>
    </row>
    <row r="228" spans="18:39">
      <c r="R228" s="83">
        <f ca="1"/>
        <v>45729</v>
      </c>
      <c r="S228" s="55">
        <f t="shared" ca="1" si="72"/>
        <v>45729</v>
      </c>
      <c r="T228" s="55">
        <f t="shared" ca="1" si="66"/>
        <v>9.6765112987641348</v>
      </c>
      <c r="U228" s="55">
        <f t="shared" ca="1" si="67"/>
        <v>345.31031740522587</v>
      </c>
      <c r="V228" s="55">
        <f t="shared" ca="1" si="68"/>
        <v>0</v>
      </c>
      <c r="W228" s="55">
        <f t="shared" ca="1" si="73"/>
        <v>-29.070728591425024</v>
      </c>
      <c r="X228" s="55">
        <f t="shared" ca="1" si="74"/>
        <v>149.75607136057917</v>
      </c>
      <c r="Y228" s="55">
        <f t="shared" ca="1" si="75"/>
        <v>15.881160501912607</v>
      </c>
      <c r="Z228" s="55">
        <f t="shared" ca="1" si="76"/>
        <v>3.6877838378251226</v>
      </c>
      <c r="AB228">
        <f t="shared" ca="1" si="69"/>
        <v>54.053340878495149</v>
      </c>
      <c r="AC228">
        <f t="shared" ca="1" si="77"/>
        <v>83.290313889792031</v>
      </c>
      <c r="AD228">
        <f t="shared" ca="1" si="70"/>
        <v>0</v>
      </c>
      <c r="AE228">
        <f t="shared" ca="1" si="71"/>
        <v>0.26819584103374383</v>
      </c>
      <c r="AF228" s="83" t="e">
        <f ca="1"/>
        <v>#N/A</v>
      </c>
      <c r="AG228" s="55" t="e">
        <f t="shared" ca="1" si="81"/>
        <v>#N/A</v>
      </c>
      <c r="AH228" s="55" t="e">
        <f t="shared" ca="1" si="82"/>
        <v>#N/A</v>
      </c>
      <c r="AI228" s="55" t="e">
        <f t="shared" ca="1" si="83"/>
        <v>#N/A</v>
      </c>
      <c r="AJ228" s="55" t="e">
        <f t="shared" ca="1" si="84"/>
        <v>#N/A</v>
      </c>
      <c r="AK228" s="55" t="e">
        <f t="shared" ca="1" si="78"/>
        <v>#N/A</v>
      </c>
      <c r="AL228" s="55" t="e">
        <f t="shared" ca="1" si="79"/>
        <v>#N/A</v>
      </c>
      <c r="AM228" s="55" t="e">
        <f t="shared" ca="1" si="80"/>
        <v>#N/A</v>
      </c>
    </row>
    <row r="229" spans="18:39">
      <c r="R229" s="83">
        <f ca="1"/>
        <v>45730</v>
      </c>
      <c r="S229" s="55">
        <f t="shared" ca="1" si="72"/>
        <v>45730</v>
      </c>
      <c r="T229" s="55">
        <f t="shared" ca="1" si="66"/>
        <v>9.940257460935646</v>
      </c>
      <c r="U229" s="55">
        <f t="shared" ca="1" si="67"/>
        <v>345.65613587398224</v>
      </c>
      <c r="V229" s="55">
        <f t="shared" ca="1" si="68"/>
        <v>0</v>
      </c>
      <c r="W229" s="55">
        <f t="shared" ca="1" si="73"/>
        <v>-29.070728591425024</v>
      </c>
      <c r="X229" s="55">
        <f t="shared" ca="1" si="74"/>
        <v>150.36370826081475</v>
      </c>
      <c r="Y229" s="55">
        <f t="shared" ca="1" si="75"/>
        <v>15.883088232604917</v>
      </c>
      <c r="Z229" s="55">
        <f t="shared" ca="1" si="76"/>
        <v>3.4581846875636302</v>
      </c>
      <c r="AB229">
        <f t="shared" ca="1" si="69"/>
        <v>53.816618339860874</v>
      </c>
      <c r="AC229">
        <f t="shared" ca="1" si="77"/>
        <v>83.290313889792031</v>
      </c>
      <c r="AD229">
        <f t="shared" ca="1" si="70"/>
        <v>0</v>
      </c>
      <c r="AE229">
        <f t="shared" ca="1" si="71"/>
        <v>0.24736337622132332</v>
      </c>
      <c r="AF229" s="83" t="e">
        <f ca="1"/>
        <v>#N/A</v>
      </c>
      <c r="AG229" s="55" t="e">
        <f t="shared" ca="1" si="81"/>
        <v>#N/A</v>
      </c>
      <c r="AH229" s="55" t="e">
        <f t="shared" ca="1" si="82"/>
        <v>#N/A</v>
      </c>
      <c r="AI229" s="55" t="e">
        <f t="shared" ca="1" si="83"/>
        <v>#N/A</v>
      </c>
      <c r="AJ229" s="55" t="e">
        <f t="shared" ca="1" si="84"/>
        <v>#N/A</v>
      </c>
      <c r="AK229" s="55" t="e">
        <f t="shared" ca="1" si="78"/>
        <v>#N/A</v>
      </c>
      <c r="AL229" s="55" t="e">
        <f t="shared" ca="1" si="79"/>
        <v>#N/A</v>
      </c>
      <c r="AM229" s="55" t="e">
        <f t="shared" ca="1" si="80"/>
        <v>#N/A</v>
      </c>
    </row>
    <row r="230" spans="18:39">
      <c r="R230" s="83">
        <f ca="1"/>
        <v>45731</v>
      </c>
      <c r="S230" s="55">
        <f t="shared" ca="1" si="72"/>
        <v>45731</v>
      </c>
      <c r="T230" s="55">
        <f t="shared" ca="1" si="66"/>
        <v>10.236554329753472</v>
      </c>
      <c r="U230" s="55">
        <f t="shared" ca="1" si="67"/>
        <v>345.97754949174305</v>
      </c>
      <c r="V230" s="55">
        <f t="shared" ca="1" si="68"/>
        <v>0</v>
      </c>
      <c r="W230" s="55">
        <f t="shared" ca="1" si="73"/>
        <v>-29.070728591425024</v>
      </c>
      <c r="X230" s="55">
        <f t="shared" ca="1" si="74"/>
        <v>150.97947446633444</v>
      </c>
      <c r="Y230" s="55">
        <f t="shared" ca="1" si="75"/>
        <v>15.885032513663855</v>
      </c>
      <c r="Z230" s="55">
        <f t="shared" ca="1" si="76"/>
        <v>3.2141361776081112</v>
      </c>
      <c r="AB230">
        <f t="shared" ca="1" si="69"/>
        <v>56.172716408304844</v>
      </c>
      <c r="AC230">
        <f t="shared" ca="1" si="77"/>
        <v>83.290313889792031</v>
      </c>
      <c r="AD230">
        <f t="shared" ca="1" si="70"/>
        <v>0</v>
      </c>
      <c r="AE230">
        <f t="shared" ca="1" si="71"/>
        <v>0.22671880286155133</v>
      </c>
      <c r="AF230" s="83" t="e">
        <f ca="1"/>
        <v>#N/A</v>
      </c>
      <c r="AG230" s="55" t="e">
        <f t="shared" ca="1" si="81"/>
        <v>#N/A</v>
      </c>
      <c r="AH230" s="55" t="e">
        <f t="shared" ca="1" si="82"/>
        <v>#N/A</v>
      </c>
      <c r="AI230" s="55" t="e">
        <f t="shared" ca="1" si="83"/>
        <v>#N/A</v>
      </c>
      <c r="AJ230" s="55" t="e">
        <f t="shared" ca="1" si="84"/>
        <v>#N/A</v>
      </c>
      <c r="AK230" s="55" t="e">
        <f t="shared" ca="1" si="78"/>
        <v>#N/A</v>
      </c>
      <c r="AL230" s="55" t="e">
        <f t="shared" ca="1" si="79"/>
        <v>#N/A</v>
      </c>
      <c r="AM230" s="55" t="e">
        <f t="shared" ca="1" si="80"/>
        <v>#N/A</v>
      </c>
    </row>
    <row r="231" spans="18:39">
      <c r="R231" s="83">
        <f ca="1"/>
        <v>45732</v>
      </c>
      <c r="S231" s="55">
        <f t="shared" ca="1" si="72"/>
        <v>45732</v>
      </c>
      <c r="T231" s="55">
        <f t="shared" ca="1" si="66"/>
        <v>10.5706521464173</v>
      </c>
      <c r="U231" s="55">
        <f t="shared" ca="1" si="67"/>
        <v>346.28137580197796</v>
      </c>
      <c r="V231" s="55">
        <f t="shared" ca="1" si="68"/>
        <v>0</v>
      </c>
      <c r="W231" s="55">
        <f t="shared" ca="1" si="73"/>
        <v>-29.070728591425024</v>
      </c>
      <c r="X231" s="55">
        <f t="shared" ca="1" si="74"/>
        <v>151.61541417530427</v>
      </c>
      <c r="Y231" s="55">
        <f t="shared" ca="1" si="75"/>
        <v>15.887016931592752</v>
      </c>
      <c r="Z231" s="55">
        <f t="shared" ca="1" si="76"/>
        <v>3.0382631023491058</v>
      </c>
      <c r="AB231">
        <f t="shared" ca="1" si="69"/>
        <v>58.156144659250977</v>
      </c>
      <c r="AC231">
        <f t="shared" ca="1" si="77"/>
        <v>83.290313889792031</v>
      </c>
      <c r="AD231">
        <f t="shared" ca="1" si="70"/>
        <v>0</v>
      </c>
      <c r="AE231">
        <f t="shared" ca="1" si="71"/>
        <v>0.20590982448071193</v>
      </c>
      <c r="AF231" s="83" t="e">
        <f ca="1"/>
        <v>#N/A</v>
      </c>
      <c r="AG231" s="55" t="e">
        <f t="shared" ca="1" si="81"/>
        <v>#N/A</v>
      </c>
      <c r="AH231" s="55" t="e">
        <f t="shared" ca="1" si="82"/>
        <v>#N/A</v>
      </c>
      <c r="AI231" s="55" t="e">
        <f t="shared" ca="1" si="83"/>
        <v>#N/A</v>
      </c>
      <c r="AJ231" s="55" t="e">
        <f t="shared" ca="1" si="84"/>
        <v>#N/A</v>
      </c>
      <c r="AK231" s="55" t="e">
        <f t="shared" ca="1" si="78"/>
        <v>#N/A</v>
      </c>
      <c r="AL231" s="55" t="e">
        <f t="shared" ca="1" si="79"/>
        <v>#N/A</v>
      </c>
      <c r="AM231" s="55" t="e">
        <f t="shared" ca="1" si="80"/>
        <v>#N/A</v>
      </c>
    </row>
    <row r="232" spans="18:39">
      <c r="R232" s="83">
        <f ca="1"/>
        <v>45733</v>
      </c>
      <c r="S232" s="55">
        <f t="shared" ca="1" si="72"/>
        <v>45733</v>
      </c>
      <c r="T232" s="55">
        <f t="shared" ca="1" si="66"/>
        <v>10.930875849512569</v>
      </c>
      <c r="U232" s="55">
        <f t="shared" ca="1" si="67"/>
        <v>346.56589090903867</v>
      </c>
      <c r="V232" s="55">
        <f t="shared" ca="1" si="68"/>
        <v>0</v>
      </c>
      <c r="W232" s="55">
        <f t="shared" ca="1" si="73"/>
        <v>-29.070728591425024</v>
      </c>
      <c r="X232" s="55">
        <f t="shared" ca="1" si="74"/>
        <v>152.25818229635195</v>
      </c>
      <c r="Y232" s="55">
        <f t="shared" ca="1" si="75"/>
        <v>15.888987620701052</v>
      </c>
      <c r="Z232" s="55">
        <f t="shared" ca="1" si="76"/>
        <v>2.8451510706071304</v>
      </c>
      <c r="AB232">
        <f t="shared" ca="1" si="69"/>
        <v>59.272769737333689</v>
      </c>
      <c r="AC232">
        <f t="shared" ca="1" si="77"/>
        <v>83.290313889792031</v>
      </c>
      <c r="AD232">
        <f t="shared" ca="1" si="70"/>
        <v>0</v>
      </c>
      <c r="AE232">
        <f t="shared" ca="1" si="71"/>
        <v>0.18512433253145355</v>
      </c>
      <c r="AF232" s="83" t="e">
        <f ca="1"/>
        <v>#N/A</v>
      </c>
      <c r="AG232" s="55" t="e">
        <f t="shared" ca="1" si="81"/>
        <v>#N/A</v>
      </c>
      <c r="AH232" s="55" t="e">
        <f t="shared" ca="1" si="82"/>
        <v>#N/A</v>
      </c>
      <c r="AI232" s="55" t="e">
        <f t="shared" ca="1" si="83"/>
        <v>#N/A</v>
      </c>
      <c r="AJ232" s="55" t="e">
        <f t="shared" ca="1" si="84"/>
        <v>#N/A</v>
      </c>
      <c r="AK232" s="55" t="e">
        <f t="shared" ca="1" si="78"/>
        <v>#N/A</v>
      </c>
      <c r="AL232" s="55" t="e">
        <f t="shared" ca="1" si="79"/>
        <v>#N/A</v>
      </c>
      <c r="AM232" s="55" t="e">
        <f t="shared" ca="1" si="80"/>
        <v>#N/A</v>
      </c>
    </row>
    <row r="233" spans="18:39">
      <c r="R233" s="83">
        <f ca="1"/>
        <v>45734</v>
      </c>
      <c r="S233" s="55">
        <f t="shared" ca="1" si="72"/>
        <v>45734</v>
      </c>
      <c r="T233" s="55">
        <f t="shared" ca="1" si="66"/>
        <v>11.304337062397726</v>
      </c>
      <c r="U233" s="55">
        <f t="shared" ca="1" si="67"/>
        <v>346.83143734474186</v>
      </c>
      <c r="V233" s="55">
        <f t="shared" ca="1" si="68"/>
        <v>0</v>
      </c>
      <c r="W233" s="55">
        <f t="shared" ca="1" si="73"/>
        <v>-29.070728591425024</v>
      </c>
      <c r="X233" s="55">
        <f t="shared" ca="1" si="74"/>
        <v>152.89528578498644</v>
      </c>
      <c r="Y233" s="55">
        <f t="shared" ca="1" si="75"/>
        <v>15.890891780654913</v>
      </c>
      <c r="Z233" s="55">
        <f t="shared" ca="1" si="76"/>
        <v>2.6554643570318603</v>
      </c>
      <c r="AB233">
        <f t="shared" ca="1" si="69"/>
        <v>59.019995108678195</v>
      </c>
      <c r="AC233">
        <f t="shared" ca="1" si="77"/>
        <v>83.290313889792031</v>
      </c>
      <c r="AD233">
        <f t="shared" ca="1" si="70"/>
        <v>0</v>
      </c>
      <c r="AE233">
        <f t="shared" ca="1" si="71"/>
        <v>0.16443278630851943</v>
      </c>
      <c r="AF233" s="83" t="e">
        <f ca="1"/>
        <v>#N/A</v>
      </c>
      <c r="AG233" s="55" t="e">
        <f t="shared" ca="1" si="81"/>
        <v>#N/A</v>
      </c>
      <c r="AH233" s="55" t="e">
        <f t="shared" ca="1" si="82"/>
        <v>#N/A</v>
      </c>
      <c r="AI233" s="55" t="e">
        <f t="shared" ca="1" si="83"/>
        <v>#N/A</v>
      </c>
      <c r="AJ233" s="55" t="e">
        <f t="shared" ca="1" si="84"/>
        <v>#N/A</v>
      </c>
      <c r="AK233" s="55" t="e">
        <f t="shared" ca="1" si="78"/>
        <v>#N/A</v>
      </c>
      <c r="AL233" s="55" t="e">
        <f t="shared" ca="1" si="79"/>
        <v>#N/A</v>
      </c>
      <c r="AM233" s="55" t="e">
        <f t="shared" ca="1" si="80"/>
        <v>#N/A</v>
      </c>
    </row>
    <row r="234" spans="18:39">
      <c r="R234" s="83">
        <f ca="1"/>
        <v>45735</v>
      </c>
      <c r="S234" s="55">
        <f t="shared" ca="1" si="72"/>
        <v>45735</v>
      </c>
      <c r="T234" s="55">
        <f t="shared" ca="1" si="66"/>
        <v>11.674235085507924</v>
      </c>
      <c r="U234" s="55">
        <f t="shared" ca="1" si="67"/>
        <v>347.07425588505606</v>
      </c>
      <c r="V234" s="55">
        <f t="shared" ca="1" si="68"/>
        <v>0</v>
      </c>
      <c r="W234" s="55">
        <f t="shared" ca="1" si="73"/>
        <v>-29.070728591425024</v>
      </c>
      <c r="X234" s="55">
        <f t="shared" ca="1" si="74"/>
        <v>153.50622071491077</v>
      </c>
      <c r="Y234" s="55">
        <f t="shared" ca="1" si="75"/>
        <v>15.892673414154975</v>
      </c>
      <c r="Z234" s="55">
        <f t="shared" ca="1" si="76"/>
        <v>2.428185403142038</v>
      </c>
      <c r="AB234">
        <f t="shared" ca="1" si="69"/>
        <v>58.341395734285804</v>
      </c>
      <c r="AC234">
        <f t="shared" ca="1" si="77"/>
        <v>83.290313889792031</v>
      </c>
      <c r="AD234">
        <f t="shared" ca="1" si="70"/>
        <v>0</v>
      </c>
      <c r="AE234">
        <f t="shared" ca="1" si="71"/>
        <v>0.14426968479615943</v>
      </c>
      <c r="AF234" s="83" t="e">
        <f ca="1"/>
        <v>#N/A</v>
      </c>
      <c r="AG234" s="55" t="e">
        <f t="shared" ca="1" si="81"/>
        <v>#N/A</v>
      </c>
      <c r="AH234" s="55" t="e">
        <f t="shared" ca="1" si="82"/>
        <v>#N/A</v>
      </c>
      <c r="AI234" s="55" t="e">
        <f t="shared" ca="1" si="83"/>
        <v>#N/A</v>
      </c>
      <c r="AJ234" s="55" t="e">
        <f t="shared" ca="1" si="84"/>
        <v>#N/A</v>
      </c>
      <c r="AK234" s="55" t="e">
        <f t="shared" ca="1" si="78"/>
        <v>#N/A</v>
      </c>
      <c r="AL234" s="55" t="e">
        <f t="shared" ca="1" si="79"/>
        <v>#N/A</v>
      </c>
      <c r="AM234" s="55" t="e">
        <f t="shared" ca="1" si="80"/>
        <v>#N/A</v>
      </c>
    </row>
    <row r="235" spans="18:39">
      <c r="R235" s="83">
        <f ca="1"/>
        <v>45736</v>
      </c>
      <c r="S235" s="55">
        <f t="shared" ca="1" si="72"/>
        <v>45736</v>
      </c>
      <c r="T235" s="55">
        <f t="shared" ca="1" si="66"/>
        <v>12.082063651167745</v>
      </c>
      <c r="U235" s="55">
        <f t="shared" ca="1" si="67"/>
        <v>347.30292333072435</v>
      </c>
      <c r="V235" s="55">
        <f t="shared" ca="1" si="68"/>
        <v>0</v>
      </c>
      <c r="W235" s="55">
        <f t="shared" ca="1" si="73"/>
        <v>-29.070728591425024</v>
      </c>
      <c r="X235" s="55">
        <f t="shared" ca="1" si="74"/>
        <v>154.14092074966629</v>
      </c>
      <c r="Y235" s="55">
        <f t="shared" ca="1" si="75"/>
        <v>15.894469390727574</v>
      </c>
      <c r="Z235" s="55">
        <f t="shared" ca="1" si="76"/>
        <v>2.2866744566829311</v>
      </c>
      <c r="AB235">
        <f t="shared" ca="1" si="69"/>
        <v>61.472293631641158</v>
      </c>
      <c r="AC235">
        <f t="shared" ca="1" si="77"/>
        <v>83.290313889792031</v>
      </c>
      <c r="AD235">
        <f t="shared" ca="1" si="70"/>
        <v>0</v>
      </c>
      <c r="AE235">
        <f t="shared" ca="1" si="71"/>
        <v>0.12404786720484706</v>
      </c>
      <c r="AF235" s="83" t="e">
        <f ca="1"/>
        <v>#N/A</v>
      </c>
      <c r="AG235" s="55" t="e">
        <f t="shared" ca="1" si="81"/>
        <v>#N/A</v>
      </c>
      <c r="AH235" s="55" t="e">
        <f t="shared" ca="1" si="82"/>
        <v>#N/A</v>
      </c>
      <c r="AI235" s="55" t="e">
        <f t="shared" ca="1" si="83"/>
        <v>#N/A</v>
      </c>
      <c r="AJ235" s="55" t="e">
        <f t="shared" ca="1" si="84"/>
        <v>#N/A</v>
      </c>
      <c r="AK235" s="55" t="e">
        <f t="shared" ca="1" si="78"/>
        <v>#N/A</v>
      </c>
      <c r="AL235" s="55" t="e">
        <f t="shared" ca="1" si="79"/>
        <v>#N/A</v>
      </c>
      <c r="AM235" s="55" t="e">
        <f t="shared" ca="1" si="80"/>
        <v>#N/A</v>
      </c>
    </row>
    <row r="236" spans="18:39">
      <c r="R236" s="83">
        <f ca="1"/>
        <v>45737</v>
      </c>
      <c r="S236" s="55">
        <f t="shared" ca="1" si="72"/>
        <v>45737</v>
      </c>
      <c r="T236" s="55">
        <f t="shared" ca="1" si="66"/>
        <v>12.501317134252059</v>
      </c>
      <c r="U236" s="55">
        <f t="shared" ca="1" si="67"/>
        <v>347.52098108690063</v>
      </c>
      <c r="V236" s="55">
        <f t="shared" ca="1" si="68"/>
        <v>0</v>
      </c>
      <c r="W236" s="55">
        <f t="shared" ca="1" si="73"/>
        <v>-29.070728591425024</v>
      </c>
      <c r="X236" s="55">
        <f t="shared" ca="1" si="74"/>
        <v>154.7764549906066</v>
      </c>
      <c r="Y236" s="55">
        <f t="shared" ca="1" si="75"/>
        <v>15.896246389047876</v>
      </c>
      <c r="Z236" s="55">
        <f t="shared" ca="1" si="76"/>
        <v>2.1805775617627887</v>
      </c>
      <c r="AB236">
        <f t="shared" ca="1" si="69"/>
        <v>59.631731763018216</v>
      </c>
      <c r="AC236">
        <f t="shared" ca="1" si="77"/>
        <v>83.290313889792031</v>
      </c>
      <c r="AD236">
        <f t="shared" ca="1" si="70"/>
        <v>0</v>
      </c>
      <c r="AE236">
        <f t="shared" ca="1" si="71"/>
        <v>0.10349723957139934</v>
      </c>
      <c r="AF236" s="83" t="e">
        <f ca="1"/>
        <v>#N/A</v>
      </c>
      <c r="AG236" s="55" t="e">
        <f t="shared" ca="1" si="81"/>
        <v>#N/A</v>
      </c>
      <c r="AH236" s="55" t="e">
        <f t="shared" ca="1" si="82"/>
        <v>#N/A</v>
      </c>
      <c r="AI236" s="55" t="e">
        <f t="shared" ca="1" si="83"/>
        <v>#N/A</v>
      </c>
      <c r="AJ236" s="55" t="e">
        <f t="shared" ca="1" si="84"/>
        <v>#N/A</v>
      </c>
      <c r="AK236" s="55" t="e">
        <f t="shared" ca="1" si="78"/>
        <v>#N/A</v>
      </c>
      <c r="AL236" s="55" t="e">
        <f t="shared" ca="1" si="79"/>
        <v>#N/A</v>
      </c>
      <c r="AM236" s="55" t="e">
        <f t="shared" ca="1" si="80"/>
        <v>#N/A</v>
      </c>
    </row>
    <row r="237" spans="18:39">
      <c r="R237" s="83">
        <f ca="1"/>
        <v>45738</v>
      </c>
      <c r="S237" s="55">
        <f t="shared" ca="1" si="72"/>
        <v>45738</v>
      </c>
      <c r="T237" s="55">
        <f t="shared" ca="1" si="66"/>
        <v>12.942832868129047</v>
      </c>
      <c r="U237" s="55">
        <f t="shared" ca="1" si="67"/>
        <v>347.72422696635937</v>
      </c>
      <c r="V237" s="55">
        <f t="shared" ca="1" si="68"/>
        <v>0</v>
      </c>
      <c r="W237" s="55">
        <f t="shared" ca="1" si="73"/>
        <v>-29.070728591425024</v>
      </c>
      <c r="X237" s="55">
        <f t="shared" ca="1" si="74"/>
        <v>155.41948408466035</v>
      </c>
      <c r="Y237" s="55">
        <f t="shared" ca="1" si="75"/>
        <v>15.89797890832984</v>
      </c>
      <c r="Z237" s="55">
        <f t="shared" ca="1" si="76"/>
        <v>2.0324587945873418</v>
      </c>
      <c r="AB237">
        <f t="shared" ca="1" si="69"/>
        <v>61.46833918802929</v>
      </c>
      <c r="AC237">
        <f t="shared" ca="1" si="77"/>
        <v>83.290313889792031</v>
      </c>
      <c r="AD237">
        <f t="shared" ca="1" si="70"/>
        <v>0</v>
      </c>
      <c r="AE237">
        <f t="shared" ca="1" si="71"/>
        <v>8.3075787311647775E-2</v>
      </c>
      <c r="AF237" s="83" t="e">
        <f ca="1"/>
        <v>#N/A</v>
      </c>
      <c r="AG237" s="55" t="e">
        <f t="shared" ca="1" si="81"/>
        <v>#N/A</v>
      </c>
      <c r="AH237" s="55" t="e">
        <f t="shared" ca="1" si="82"/>
        <v>#N/A</v>
      </c>
      <c r="AI237" s="55" t="e">
        <f t="shared" ca="1" si="83"/>
        <v>#N/A</v>
      </c>
      <c r="AJ237" s="55" t="e">
        <f t="shared" ca="1" si="84"/>
        <v>#N/A</v>
      </c>
      <c r="AK237" s="55" t="e">
        <f t="shared" ca="1" si="78"/>
        <v>#N/A</v>
      </c>
      <c r="AL237" s="55" t="e">
        <f t="shared" ca="1" si="79"/>
        <v>#N/A</v>
      </c>
      <c r="AM237" s="55" t="e">
        <f t="shared" ca="1" si="80"/>
        <v>#N/A</v>
      </c>
    </row>
    <row r="238" spans="18:39">
      <c r="R238" s="83">
        <f ca="1"/>
        <v>45739</v>
      </c>
      <c r="S238" s="55">
        <f t="shared" ca="1" si="72"/>
        <v>45739</v>
      </c>
      <c r="T238" s="55">
        <f t="shared" ca="1" si="66"/>
        <v>13.399224876446349</v>
      </c>
      <c r="U238" s="55">
        <f t="shared" ca="1" si="67"/>
        <v>347.91127781438746</v>
      </c>
      <c r="V238" s="55">
        <f t="shared" ca="1" si="68"/>
        <v>0</v>
      </c>
      <c r="W238" s="55">
        <f t="shared" ca="1" si="73"/>
        <v>-29.070728591425024</v>
      </c>
      <c r="X238" s="55">
        <f t="shared" ca="1" si="74"/>
        <v>156.06127400574604</v>
      </c>
      <c r="Y238" s="55">
        <f t="shared" ca="1" si="75"/>
        <v>15.899631843589558</v>
      </c>
      <c r="Z238" s="55">
        <f t="shared" ca="1" si="76"/>
        <v>1.8705084802809324</v>
      </c>
      <c r="AB238">
        <f t="shared" ca="1" si="69"/>
        <v>63.67480383654118</v>
      </c>
      <c r="AC238">
        <f t="shared" ca="1" si="77"/>
        <v>83.290313889792031</v>
      </c>
      <c r="AD238">
        <f t="shared" ca="1" si="70"/>
        <v>0</v>
      </c>
      <c r="AE238">
        <f t="shared" ca="1" si="71"/>
        <v>6.3053604388774165E-2</v>
      </c>
      <c r="AF238" s="83" t="e">
        <f ca="1"/>
        <v>#N/A</v>
      </c>
      <c r="AG238" s="55" t="e">
        <f t="shared" ca="1" si="81"/>
        <v>#N/A</v>
      </c>
      <c r="AH238" s="55" t="e">
        <f t="shared" ca="1" si="82"/>
        <v>#N/A</v>
      </c>
      <c r="AI238" s="55" t="e">
        <f t="shared" ca="1" si="83"/>
        <v>#N/A</v>
      </c>
      <c r="AJ238" s="55" t="e">
        <f t="shared" ca="1" si="84"/>
        <v>#N/A</v>
      </c>
      <c r="AK238" s="55" t="e">
        <f t="shared" ca="1" si="78"/>
        <v>#N/A</v>
      </c>
      <c r="AL238" s="55" t="e">
        <f t="shared" ca="1" si="79"/>
        <v>#N/A</v>
      </c>
      <c r="AM238" s="55" t="e">
        <f t="shared" ca="1" si="80"/>
        <v>#N/A</v>
      </c>
    </row>
    <row r="239" spans="18:39">
      <c r="R239" s="83">
        <f ca="1"/>
        <v>45740</v>
      </c>
      <c r="S239" s="55">
        <f t="shared" ca="1" si="72"/>
        <v>45740</v>
      </c>
      <c r="T239" s="55">
        <f t="shared" ca="1" si="66"/>
        <v>13.865185861224132</v>
      </c>
      <c r="U239" s="55">
        <f t="shared" ca="1" si="67"/>
        <v>348.08615694478954</v>
      </c>
      <c r="V239" s="55">
        <f t="shared" ca="1" si="68"/>
        <v>0</v>
      </c>
      <c r="W239" s="55">
        <f t="shared" ca="1" si="73"/>
        <v>-29.070728591425024</v>
      </c>
      <c r="X239" s="55">
        <f t="shared" ca="1" si="74"/>
        <v>156.70050768881623</v>
      </c>
      <c r="Y239" s="55">
        <f t="shared" ca="1" si="75"/>
        <v>15.901238275699232</v>
      </c>
      <c r="Z239" s="55">
        <f t="shared" ca="1" si="76"/>
        <v>1.7487913040207559</v>
      </c>
      <c r="AB239">
        <f t="shared" ca="1" si="69"/>
        <v>63.876179979610484</v>
      </c>
      <c r="AC239">
        <f t="shared" ca="1" si="77"/>
        <v>83.290313889792031</v>
      </c>
      <c r="AD239">
        <f t="shared" ca="1" si="70"/>
        <v>0</v>
      </c>
      <c r="AE239">
        <f t="shared" ca="1" si="71"/>
        <v>4.3125367192225372E-2</v>
      </c>
      <c r="AF239" s="83" t="e">
        <f ca="1"/>
        <v>#N/A</v>
      </c>
      <c r="AG239" s="55" t="e">
        <f t="shared" ca="1" si="81"/>
        <v>#N/A</v>
      </c>
      <c r="AH239" s="55" t="e">
        <f t="shared" ca="1" si="82"/>
        <v>#N/A</v>
      </c>
      <c r="AI239" s="55" t="e">
        <f t="shared" ca="1" si="83"/>
        <v>#N/A</v>
      </c>
      <c r="AJ239" s="55" t="e">
        <f t="shared" ca="1" si="84"/>
        <v>#N/A</v>
      </c>
      <c r="AK239" s="55" t="e">
        <f t="shared" ca="1" si="78"/>
        <v>#N/A</v>
      </c>
      <c r="AL239" s="55" t="e">
        <f t="shared" ca="1" si="79"/>
        <v>#N/A</v>
      </c>
      <c r="AM239" s="55" t="e">
        <f t="shared" ca="1" si="80"/>
        <v>#N/A</v>
      </c>
    </row>
    <row r="240" spans="18:39">
      <c r="R240" s="83">
        <f ca="1"/>
        <v>45741</v>
      </c>
      <c r="S240" s="55">
        <f t="shared" ca="1" si="72"/>
        <v>45741</v>
      </c>
      <c r="T240" s="55">
        <f t="shared" ca="1" si="66"/>
        <v>14.344245235018876</v>
      </c>
      <c r="U240" s="55">
        <f t="shared" ca="1" si="67"/>
        <v>348.25062878745211</v>
      </c>
      <c r="V240" s="55">
        <f t="shared" ca="1" si="68"/>
        <v>0</v>
      </c>
      <c r="W240" s="55">
        <f t="shared" ca="1" si="73"/>
        <v>-29.070728591425024</v>
      </c>
      <c r="X240" s="55">
        <f t="shared" ca="1" si="74"/>
        <v>157.34246654493876</v>
      </c>
      <c r="Y240" s="55">
        <f t="shared" ca="1" si="75"/>
        <v>15.902810636034033</v>
      </c>
      <c r="Z240" s="55">
        <f t="shared" ca="1" si="76"/>
        <v>1.6447184266257864</v>
      </c>
      <c r="AB240">
        <f t="shared" ca="1" si="69"/>
        <v>64.120668093514041</v>
      </c>
      <c r="AC240">
        <f t="shared" ca="1" si="77"/>
        <v>83.290313889792031</v>
      </c>
      <c r="AD240">
        <f t="shared" ca="1" si="70"/>
        <v>0</v>
      </c>
      <c r="AE240">
        <f t="shared" ca="1" si="71"/>
        <v>2.3173643564095459E-2</v>
      </c>
      <c r="AF240" s="83" t="e">
        <f ca="1"/>
        <v>#N/A</v>
      </c>
      <c r="AG240" s="55" t="e">
        <f t="shared" ca="1" si="81"/>
        <v>#N/A</v>
      </c>
      <c r="AH240" s="55" t="e">
        <f t="shared" ca="1" si="82"/>
        <v>#N/A</v>
      </c>
      <c r="AI240" s="55" t="e">
        <f t="shared" ca="1" si="83"/>
        <v>#N/A</v>
      </c>
      <c r="AJ240" s="55" t="e">
        <f t="shared" ca="1" si="84"/>
        <v>#N/A</v>
      </c>
      <c r="AK240" s="55" t="e">
        <f t="shared" ca="1" si="78"/>
        <v>#N/A</v>
      </c>
      <c r="AL240" s="55" t="e">
        <f t="shared" ca="1" si="79"/>
        <v>#N/A</v>
      </c>
      <c r="AM240" s="55" t="e">
        <f t="shared" ca="1" si="80"/>
        <v>#N/A</v>
      </c>
    </row>
    <row r="241" spans="18:39">
      <c r="R241" s="83">
        <f ca="1"/>
        <v>45742</v>
      </c>
      <c r="S241" s="55">
        <f t="shared" ca="1" si="72"/>
        <v>45742</v>
      </c>
      <c r="T241" s="55">
        <f t="shared" ca="1" si="66"/>
        <v>14.858346020610936</v>
      </c>
      <c r="U241" s="55">
        <f t="shared" ca="1" si="67"/>
        <v>348.40573232936606</v>
      </c>
      <c r="V241" s="55">
        <f t="shared" ca="1" si="68"/>
        <v>0</v>
      </c>
      <c r="W241" s="55">
        <f t="shared" ca="1" si="73"/>
        <v>-29.070728591425024</v>
      </c>
      <c r="X241" s="55">
        <f t="shared" ca="1" si="74"/>
        <v>158.0101264469273</v>
      </c>
      <c r="Y241" s="55">
        <f t="shared" ca="1" si="75"/>
        <v>15.904355061551488</v>
      </c>
      <c r="Z241" s="55">
        <f t="shared" ca="1" si="76"/>
        <v>1.5510354191394526</v>
      </c>
      <c r="AB241">
        <f t="shared" ca="1" si="69"/>
        <v>67.177337715345146</v>
      </c>
      <c r="AC241">
        <f t="shared" ca="1" si="77"/>
        <v>83.290313889792031</v>
      </c>
      <c r="AD241">
        <f t="shared" ca="1" si="70"/>
        <v>0</v>
      </c>
      <c r="AE241">
        <f t="shared" ca="1" si="71"/>
        <v>3.1397174254316207E-3</v>
      </c>
      <c r="AF241" s="83" t="e">
        <f ca="1"/>
        <v>#N/A</v>
      </c>
      <c r="AG241" s="55" t="e">
        <f t="shared" ca="1" si="81"/>
        <v>#N/A</v>
      </c>
      <c r="AH241" s="55" t="e">
        <f t="shared" ca="1" si="82"/>
        <v>#N/A</v>
      </c>
      <c r="AI241" s="55" t="e">
        <f t="shared" ca="1" si="83"/>
        <v>#N/A</v>
      </c>
      <c r="AJ241" s="55" t="e">
        <f t="shared" ca="1" si="84"/>
        <v>#N/A</v>
      </c>
      <c r="AK241" s="55" t="e">
        <f t="shared" ca="1" si="78"/>
        <v>#N/A</v>
      </c>
      <c r="AL241" s="55" t="e">
        <f t="shared" ca="1" si="79"/>
        <v>#N/A</v>
      </c>
      <c r="AM241" s="55" t="e">
        <f t="shared" ca="1" si="80"/>
        <v>#N/A</v>
      </c>
    </row>
    <row r="242" spans="18:39">
      <c r="R242" s="83" t="e">
        <f ca="1"/>
        <v>#N/A</v>
      </c>
      <c r="S242" s="55" t="e">
        <f t="shared" ca="1" si="72"/>
        <v>#N/A</v>
      </c>
      <c r="T242" s="55" t="e">
        <f t="shared" ca="1" si="66"/>
        <v>#N/A</v>
      </c>
      <c r="U242" s="55" t="e">
        <f t="shared" ca="1" si="67"/>
        <v>#N/A</v>
      </c>
      <c r="V242" s="55" t="e">
        <f t="shared" ca="1" si="68"/>
        <v>#N/A</v>
      </c>
      <c r="W242" s="55" t="e">
        <f t="shared" ca="1" si="73"/>
        <v>#N/A</v>
      </c>
      <c r="X242" s="55" t="e">
        <f t="shared" ca="1" si="74"/>
        <v>#N/A</v>
      </c>
      <c r="Y242" s="55" t="e">
        <f t="shared" ca="1" si="75"/>
        <v>#N/A</v>
      </c>
      <c r="Z242" s="55" t="e">
        <f t="shared" ca="1" si="76"/>
        <v>#N/A</v>
      </c>
      <c r="AB242" t="e">
        <f t="shared" ca="1" si="69"/>
        <v>#N/A</v>
      </c>
      <c r="AC242" t="e">
        <f t="shared" ca="1" si="77"/>
        <v>#N/A</v>
      </c>
      <c r="AD242" t="e">
        <f t="shared" ca="1" si="70"/>
        <v>#N/A</v>
      </c>
      <c r="AE242" t="e">
        <f t="shared" ca="1" si="71"/>
        <v>#N/A</v>
      </c>
      <c r="AF242" s="83" t="e">
        <f ca="1"/>
        <v>#N/A</v>
      </c>
      <c r="AG242" s="55" t="e">
        <f t="shared" ca="1" si="81"/>
        <v>#N/A</v>
      </c>
      <c r="AH242" s="55" t="e">
        <f t="shared" ca="1" si="82"/>
        <v>#N/A</v>
      </c>
      <c r="AI242" s="55" t="e">
        <f t="shared" ca="1" si="83"/>
        <v>#N/A</v>
      </c>
      <c r="AJ242" s="55" t="e">
        <f t="shared" ca="1" si="84"/>
        <v>#N/A</v>
      </c>
      <c r="AK242" s="55" t="e">
        <f t="shared" ca="1" si="78"/>
        <v>#N/A</v>
      </c>
      <c r="AL242" s="55" t="e">
        <f t="shared" ca="1" si="79"/>
        <v>#N/A</v>
      </c>
      <c r="AM242" s="55" t="e">
        <f t="shared" ca="1" si="80"/>
        <v>#N/A</v>
      </c>
    </row>
    <row r="243" spans="18:39">
      <c r="R243" s="83" t="e">
        <f ca="1"/>
        <v>#N/A</v>
      </c>
      <c r="S243" s="55" t="e">
        <f t="shared" ca="1" si="72"/>
        <v>#N/A</v>
      </c>
      <c r="T243" s="55" t="e">
        <f t="shared" ca="1" si="66"/>
        <v>#N/A</v>
      </c>
      <c r="U243" s="55" t="e">
        <f t="shared" ca="1" si="67"/>
        <v>#N/A</v>
      </c>
      <c r="V243" s="55" t="e">
        <f t="shared" ca="1" si="68"/>
        <v>#N/A</v>
      </c>
      <c r="W243" s="55" t="e">
        <f t="shared" ca="1" si="73"/>
        <v>#N/A</v>
      </c>
      <c r="X243" s="55" t="e">
        <f t="shared" ca="1" si="74"/>
        <v>#N/A</v>
      </c>
      <c r="Y243" s="55" t="e">
        <f t="shared" ca="1" si="75"/>
        <v>#N/A</v>
      </c>
      <c r="Z243" s="55" t="e">
        <f t="shared" ca="1" si="76"/>
        <v>#N/A</v>
      </c>
      <c r="AB243" t="e">
        <f t="shared" ca="1" si="69"/>
        <v>#N/A</v>
      </c>
      <c r="AC243" t="e">
        <f t="shared" ca="1" si="77"/>
        <v>#N/A</v>
      </c>
      <c r="AD243" t="e">
        <f t="shared" ca="1" si="70"/>
        <v>#N/A</v>
      </c>
      <c r="AE243" t="e">
        <f t="shared" ca="1" si="71"/>
        <v>#N/A</v>
      </c>
      <c r="AF243" s="83" t="e">
        <f ca="1"/>
        <v>#N/A</v>
      </c>
      <c r="AG243" s="55" t="e">
        <f t="shared" ca="1" si="81"/>
        <v>#N/A</v>
      </c>
      <c r="AH243" s="55" t="e">
        <f t="shared" ca="1" si="82"/>
        <v>#N/A</v>
      </c>
      <c r="AI243" s="55" t="e">
        <f t="shared" ca="1" si="83"/>
        <v>#N/A</v>
      </c>
      <c r="AJ243" s="55" t="e">
        <f t="shared" ca="1" si="84"/>
        <v>#N/A</v>
      </c>
      <c r="AK243" s="55" t="e">
        <f t="shared" ca="1" si="78"/>
        <v>#N/A</v>
      </c>
      <c r="AL243" s="55" t="e">
        <f t="shared" ca="1" si="79"/>
        <v>#N/A</v>
      </c>
      <c r="AM243" s="55" t="e">
        <f t="shared" ca="1" si="80"/>
        <v>#N/A</v>
      </c>
    </row>
    <row r="244" spans="18:39">
      <c r="R244" s="83" t="e">
        <f ca="1"/>
        <v>#N/A</v>
      </c>
      <c r="S244" s="55" t="e">
        <f t="shared" ca="1" si="72"/>
        <v>#N/A</v>
      </c>
      <c r="T244" s="55" t="e">
        <f t="shared" ca="1" si="66"/>
        <v>#N/A</v>
      </c>
      <c r="U244" s="55" t="e">
        <f t="shared" ca="1" si="67"/>
        <v>#N/A</v>
      </c>
      <c r="V244" s="55" t="e">
        <f t="shared" ca="1" si="68"/>
        <v>#N/A</v>
      </c>
      <c r="W244" s="55" t="e">
        <f t="shared" ca="1" si="73"/>
        <v>#N/A</v>
      </c>
      <c r="X244" s="55" t="e">
        <f t="shared" ca="1" si="74"/>
        <v>#N/A</v>
      </c>
      <c r="Y244" s="55" t="e">
        <f t="shared" ca="1" si="75"/>
        <v>#N/A</v>
      </c>
      <c r="Z244" s="55" t="e">
        <f t="shared" ca="1" si="76"/>
        <v>#N/A</v>
      </c>
      <c r="AB244" t="e">
        <f t="shared" ca="1" si="69"/>
        <v>#N/A</v>
      </c>
      <c r="AC244" t="e">
        <f t="shared" ca="1" si="77"/>
        <v>#N/A</v>
      </c>
      <c r="AD244" t="e">
        <f t="shared" ca="1" si="70"/>
        <v>#N/A</v>
      </c>
      <c r="AE244" t="e">
        <f t="shared" ca="1" si="71"/>
        <v>#N/A</v>
      </c>
      <c r="AF244" s="83" t="e">
        <f ca="1"/>
        <v>#N/A</v>
      </c>
      <c r="AG244" s="55" t="e">
        <f t="shared" ca="1" si="81"/>
        <v>#N/A</v>
      </c>
      <c r="AH244" s="55" t="e">
        <f t="shared" ca="1" si="82"/>
        <v>#N/A</v>
      </c>
      <c r="AI244" s="55" t="e">
        <f t="shared" ca="1" si="83"/>
        <v>#N/A</v>
      </c>
      <c r="AJ244" s="55" t="e">
        <f t="shared" ca="1" si="84"/>
        <v>#N/A</v>
      </c>
      <c r="AK244" s="55" t="e">
        <f t="shared" ca="1" si="78"/>
        <v>#N/A</v>
      </c>
      <c r="AL244" s="55" t="e">
        <f t="shared" ca="1" si="79"/>
        <v>#N/A</v>
      </c>
      <c r="AM244" s="55" t="e">
        <f t="shared" ca="1" si="80"/>
        <v>#N/A</v>
      </c>
    </row>
    <row r="245" spans="18:39">
      <c r="R245" s="83" t="e">
        <f ca="1"/>
        <v>#N/A</v>
      </c>
      <c r="S245" s="55" t="e">
        <f t="shared" ca="1" si="72"/>
        <v>#N/A</v>
      </c>
      <c r="T245" s="55" t="e">
        <f t="shared" ca="1" si="66"/>
        <v>#N/A</v>
      </c>
      <c r="U245" s="55" t="e">
        <f t="shared" ca="1" si="67"/>
        <v>#N/A</v>
      </c>
      <c r="V245" s="55" t="e">
        <f t="shared" ca="1" si="68"/>
        <v>#N/A</v>
      </c>
      <c r="W245" s="55" t="e">
        <f t="shared" ca="1" si="73"/>
        <v>#N/A</v>
      </c>
      <c r="X245" s="55" t="e">
        <f t="shared" ca="1" si="74"/>
        <v>#N/A</v>
      </c>
      <c r="Y245" s="55" t="e">
        <f t="shared" ca="1" si="75"/>
        <v>#N/A</v>
      </c>
      <c r="Z245" s="55" t="e">
        <f t="shared" ca="1" si="76"/>
        <v>#N/A</v>
      </c>
      <c r="AB245" t="e">
        <f t="shared" ca="1" si="69"/>
        <v>#N/A</v>
      </c>
      <c r="AC245" t="e">
        <f t="shared" ca="1" si="77"/>
        <v>#N/A</v>
      </c>
      <c r="AD245" t="e">
        <f t="shared" ca="1" si="70"/>
        <v>#N/A</v>
      </c>
      <c r="AE245" t="e">
        <f t="shared" ca="1" si="71"/>
        <v>#N/A</v>
      </c>
      <c r="AF245" s="83" t="e">
        <f ca="1"/>
        <v>#N/A</v>
      </c>
      <c r="AG245" s="55" t="e">
        <f t="shared" ca="1" si="81"/>
        <v>#N/A</v>
      </c>
      <c r="AH245" s="55" t="e">
        <f t="shared" ca="1" si="82"/>
        <v>#N/A</v>
      </c>
      <c r="AI245" s="55" t="e">
        <f t="shared" ca="1" si="83"/>
        <v>#N/A</v>
      </c>
      <c r="AJ245" s="55" t="e">
        <f t="shared" ca="1" si="84"/>
        <v>#N/A</v>
      </c>
      <c r="AK245" s="55" t="e">
        <f t="shared" ca="1" si="78"/>
        <v>#N/A</v>
      </c>
      <c r="AL245" s="55" t="e">
        <f t="shared" ca="1" si="79"/>
        <v>#N/A</v>
      </c>
      <c r="AM245" s="55" t="e">
        <f t="shared" ca="1" si="80"/>
        <v>#N/A</v>
      </c>
    </row>
    <row r="246" spans="18:39">
      <c r="R246" s="83" t="e">
        <f ca="1"/>
        <v>#N/A</v>
      </c>
      <c r="S246" s="55" t="e">
        <f t="shared" ca="1" si="72"/>
        <v>#N/A</v>
      </c>
      <c r="T246" s="55" t="e">
        <f t="shared" ca="1" si="66"/>
        <v>#N/A</v>
      </c>
      <c r="U246" s="55" t="e">
        <f t="shared" ca="1" si="67"/>
        <v>#N/A</v>
      </c>
      <c r="V246" s="55" t="e">
        <f t="shared" ca="1" si="68"/>
        <v>#N/A</v>
      </c>
      <c r="W246" s="55" t="e">
        <f t="shared" ca="1" si="73"/>
        <v>#N/A</v>
      </c>
      <c r="X246" s="55" t="e">
        <f t="shared" ca="1" si="74"/>
        <v>#N/A</v>
      </c>
      <c r="Y246" s="55" t="e">
        <f t="shared" ca="1" si="75"/>
        <v>#N/A</v>
      </c>
      <c r="Z246" s="55" t="e">
        <f t="shared" ca="1" si="76"/>
        <v>#N/A</v>
      </c>
      <c r="AB246" t="e">
        <f t="shared" ca="1" si="69"/>
        <v>#N/A</v>
      </c>
      <c r="AC246" t="e">
        <f t="shared" ca="1" si="77"/>
        <v>#N/A</v>
      </c>
      <c r="AD246" t="e">
        <f t="shared" ca="1" si="70"/>
        <v>#N/A</v>
      </c>
      <c r="AE246" t="e">
        <f t="shared" ca="1" si="71"/>
        <v>#N/A</v>
      </c>
      <c r="AF246" s="83" t="e">
        <f ca="1"/>
        <v>#N/A</v>
      </c>
      <c r="AG246" s="55" t="e">
        <f t="shared" ca="1" si="81"/>
        <v>#N/A</v>
      </c>
      <c r="AH246" s="55" t="e">
        <f t="shared" ca="1" si="82"/>
        <v>#N/A</v>
      </c>
      <c r="AI246" s="55" t="e">
        <f t="shared" ca="1" si="83"/>
        <v>#N/A</v>
      </c>
      <c r="AJ246" s="55" t="e">
        <f t="shared" ca="1" si="84"/>
        <v>#N/A</v>
      </c>
      <c r="AK246" s="55" t="e">
        <f t="shared" ca="1" si="78"/>
        <v>#N/A</v>
      </c>
      <c r="AL246" s="55" t="e">
        <f t="shared" ca="1" si="79"/>
        <v>#N/A</v>
      </c>
      <c r="AM246" s="55" t="e">
        <f t="shared" ca="1" si="80"/>
        <v>#N/A</v>
      </c>
    </row>
    <row r="247" spans="18:39">
      <c r="R247" s="83" t="e">
        <f ca="1"/>
        <v>#N/A</v>
      </c>
      <c r="S247" s="55" t="e">
        <f t="shared" ca="1" si="72"/>
        <v>#N/A</v>
      </c>
      <c r="T247" s="55" t="e">
        <f t="shared" ca="1" si="66"/>
        <v>#N/A</v>
      </c>
      <c r="U247" s="55" t="e">
        <f t="shared" ca="1" si="67"/>
        <v>#N/A</v>
      </c>
      <c r="V247" s="55" t="e">
        <f t="shared" ca="1" si="68"/>
        <v>#N/A</v>
      </c>
      <c r="W247" s="55" t="e">
        <f t="shared" ca="1" si="73"/>
        <v>#N/A</v>
      </c>
      <c r="X247" s="55" t="e">
        <f t="shared" ca="1" si="74"/>
        <v>#N/A</v>
      </c>
      <c r="Y247" s="55" t="e">
        <f t="shared" ca="1" si="75"/>
        <v>#N/A</v>
      </c>
      <c r="Z247" s="55" t="e">
        <f t="shared" ca="1" si="76"/>
        <v>#N/A</v>
      </c>
      <c r="AB247" t="e">
        <f t="shared" ca="1" si="69"/>
        <v>#N/A</v>
      </c>
      <c r="AC247" t="e">
        <f t="shared" ca="1" si="77"/>
        <v>#N/A</v>
      </c>
      <c r="AD247" t="e">
        <f t="shared" ca="1" si="70"/>
        <v>#N/A</v>
      </c>
      <c r="AE247" t="e">
        <f t="shared" ca="1" si="71"/>
        <v>#N/A</v>
      </c>
      <c r="AF247" s="83" t="e">
        <f ca="1"/>
        <v>#N/A</v>
      </c>
      <c r="AG247" s="55" t="e">
        <f t="shared" ca="1" si="81"/>
        <v>#N/A</v>
      </c>
      <c r="AH247" s="55" t="e">
        <f t="shared" ca="1" si="82"/>
        <v>#N/A</v>
      </c>
      <c r="AI247" s="55" t="e">
        <f t="shared" ca="1" si="83"/>
        <v>#N/A</v>
      </c>
      <c r="AJ247" s="55" t="e">
        <f t="shared" ca="1" si="84"/>
        <v>#N/A</v>
      </c>
      <c r="AK247" s="55" t="e">
        <f t="shared" ca="1" si="78"/>
        <v>#N/A</v>
      </c>
      <c r="AL247" s="55" t="e">
        <f t="shared" ca="1" si="79"/>
        <v>#N/A</v>
      </c>
      <c r="AM247" s="55" t="e">
        <f t="shared" ca="1" si="80"/>
        <v>#N/A</v>
      </c>
    </row>
    <row r="248" spans="18:39">
      <c r="R248" s="83" t="e">
        <f ca="1"/>
        <v>#N/A</v>
      </c>
      <c r="S248" s="55" t="e">
        <f t="shared" ca="1" si="72"/>
        <v>#N/A</v>
      </c>
      <c r="T248" s="55" t="e">
        <f t="shared" ca="1" si="66"/>
        <v>#N/A</v>
      </c>
      <c r="U248" s="55" t="e">
        <f t="shared" ca="1" si="67"/>
        <v>#N/A</v>
      </c>
      <c r="V248" s="55" t="e">
        <f t="shared" ca="1" si="68"/>
        <v>#N/A</v>
      </c>
      <c r="W248" s="55" t="e">
        <f t="shared" ca="1" si="73"/>
        <v>#N/A</v>
      </c>
      <c r="X248" s="55" t="e">
        <f t="shared" ca="1" si="74"/>
        <v>#N/A</v>
      </c>
      <c r="Y248" s="55" t="e">
        <f t="shared" ca="1" si="75"/>
        <v>#N/A</v>
      </c>
      <c r="Z248" s="55" t="e">
        <f t="shared" ca="1" si="76"/>
        <v>#N/A</v>
      </c>
      <c r="AB248" t="e">
        <f t="shared" ca="1" si="69"/>
        <v>#N/A</v>
      </c>
      <c r="AC248" t="e">
        <f t="shared" ca="1" si="77"/>
        <v>#N/A</v>
      </c>
      <c r="AD248" t="e">
        <f t="shared" ca="1" si="70"/>
        <v>#N/A</v>
      </c>
      <c r="AE248" t="e">
        <f t="shared" ca="1" si="71"/>
        <v>#N/A</v>
      </c>
      <c r="AF248" s="83" t="e">
        <f ca="1"/>
        <v>#N/A</v>
      </c>
      <c r="AG248" s="55" t="e">
        <f t="shared" ca="1" si="81"/>
        <v>#N/A</v>
      </c>
      <c r="AH248" s="55" t="e">
        <f t="shared" ca="1" si="82"/>
        <v>#N/A</v>
      </c>
      <c r="AI248" s="55" t="e">
        <f t="shared" ca="1" si="83"/>
        <v>#N/A</v>
      </c>
      <c r="AJ248" s="55" t="e">
        <f t="shared" ca="1" si="84"/>
        <v>#N/A</v>
      </c>
      <c r="AK248" s="55" t="e">
        <f t="shared" ca="1" si="78"/>
        <v>#N/A</v>
      </c>
      <c r="AL248" s="55" t="e">
        <f t="shared" ca="1" si="79"/>
        <v>#N/A</v>
      </c>
      <c r="AM248" s="55" t="e">
        <f t="shared" ca="1" si="80"/>
        <v>#N/A</v>
      </c>
    </row>
    <row r="249" spans="18:39">
      <c r="R249" s="83" t="e">
        <f ca="1"/>
        <v>#N/A</v>
      </c>
      <c r="S249" s="55" t="e">
        <f t="shared" ca="1" si="72"/>
        <v>#N/A</v>
      </c>
      <c r="T249" s="55" t="e">
        <f t="shared" ca="1" si="66"/>
        <v>#N/A</v>
      </c>
      <c r="U249" s="55" t="e">
        <f t="shared" ca="1" si="67"/>
        <v>#N/A</v>
      </c>
      <c r="V249" s="55" t="e">
        <f t="shared" ca="1" si="68"/>
        <v>#N/A</v>
      </c>
      <c r="W249" s="55" t="e">
        <f t="shared" ca="1" si="73"/>
        <v>#N/A</v>
      </c>
      <c r="X249" s="55" t="e">
        <f t="shared" ca="1" si="74"/>
        <v>#N/A</v>
      </c>
      <c r="Y249" s="55" t="e">
        <f t="shared" ca="1" si="75"/>
        <v>#N/A</v>
      </c>
      <c r="Z249" s="55" t="e">
        <f t="shared" ca="1" si="76"/>
        <v>#N/A</v>
      </c>
      <c r="AB249" t="e">
        <f t="shared" ca="1" si="69"/>
        <v>#N/A</v>
      </c>
      <c r="AC249" t="e">
        <f t="shared" ca="1" si="77"/>
        <v>#N/A</v>
      </c>
      <c r="AD249" t="e">
        <f t="shared" ca="1" si="70"/>
        <v>#N/A</v>
      </c>
      <c r="AE249" t="e">
        <f t="shared" ca="1" si="71"/>
        <v>#N/A</v>
      </c>
      <c r="AF249" s="83" t="e">
        <f ca="1"/>
        <v>#N/A</v>
      </c>
      <c r="AG249" s="55" t="e">
        <f t="shared" ca="1" si="81"/>
        <v>#N/A</v>
      </c>
      <c r="AH249" s="55" t="e">
        <f t="shared" ca="1" si="82"/>
        <v>#N/A</v>
      </c>
      <c r="AI249" s="55" t="e">
        <f t="shared" ca="1" si="83"/>
        <v>#N/A</v>
      </c>
      <c r="AJ249" s="55" t="e">
        <f t="shared" ca="1" si="84"/>
        <v>#N/A</v>
      </c>
      <c r="AK249" s="55" t="e">
        <f t="shared" ca="1" si="78"/>
        <v>#N/A</v>
      </c>
      <c r="AL249" s="55" t="e">
        <f t="shared" ca="1" si="79"/>
        <v>#N/A</v>
      </c>
      <c r="AM249" s="55" t="e">
        <f t="shared" ca="1" si="80"/>
        <v>#N/A</v>
      </c>
    </row>
    <row r="250" spans="18:39">
      <c r="R250" s="83" t="e">
        <f ca="1"/>
        <v>#N/A</v>
      </c>
      <c r="S250" s="55" t="e">
        <f t="shared" ca="1" si="72"/>
        <v>#N/A</v>
      </c>
      <c r="T250" s="55" t="e">
        <f t="shared" ca="1" si="66"/>
        <v>#N/A</v>
      </c>
      <c r="U250" s="55" t="e">
        <f t="shared" ca="1" si="67"/>
        <v>#N/A</v>
      </c>
      <c r="V250" s="55" t="e">
        <f t="shared" ca="1" si="68"/>
        <v>#N/A</v>
      </c>
      <c r="W250" s="55" t="e">
        <f t="shared" ca="1" si="73"/>
        <v>#N/A</v>
      </c>
      <c r="X250" s="55" t="e">
        <f t="shared" ca="1" si="74"/>
        <v>#N/A</v>
      </c>
      <c r="Y250" s="55" t="e">
        <f t="shared" ca="1" si="75"/>
        <v>#N/A</v>
      </c>
      <c r="Z250" s="55" t="e">
        <f t="shared" ca="1" si="76"/>
        <v>#N/A</v>
      </c>
      <c r="AB250" t="e">
        <f t="shared" ca="1" si="69"/>
        <v>#N/A</v>
      </c>
      <c r="AC250" t="e">
        <f t="shared" ca="1" si="77"/>
        <v>#N/A</v>
      </c>
      <c r="AD250" t="e">
        <f t="shared" ca="1" si="70"/>
        <v>#N/A</v>
      </c>
      <c r="AE250" t="e">
        <f t="shared" ca="1" si="71"/>
        <v>#N/A</v>
      </c>
      <c r="AF250" s="83" t="e">
        <f ca="1"/>
        <v>#N/A</v>
      </c>
      <c r="AG250" s="55" t="e">
        <f t="shared" ca="1" si="81"/>
        <v>#N/A</v>
      </c>
      <c r="AH250" s="55" t="e">
        <f t="shared" ca="1" si="82"/>
        <v>#N/A</v>
      </c>
      <c r="AI250" s="55" t="e">
        <f t="shared" ca="1" si="83"/>
        <v>#N/A</v>
      </c>
      <c r="AJ250" s="55" t="e">
        <f t="shared" ca="1" si="84"/>
        <v>#N/A</v>
      </c>
      <c r="AK250" s="55" t="e">
        <f t="shared" ca="1" si="78"/>
        <v>#N/A</v>
      </c>
      <c r="AL250" s="55" t="e">
        <f t="shared" ca="1" si="79"/>
        <v>#N/A</v>
      </c>
      <c r="AM250" s="55" t="e">
        <f t="shared" ca="1" si="80"/>
        <v>#N/A</v>
      </c>
    </row>
    <row r="251" spans="18:39">
      <c r="R251" s="83" t="e">
        <f ca="1"/>
        <v>#N/A</v>
      </c>
      <c r="S251" s="55" t="e">
        <f t="shared" ca="1" si="72"/>
        <v>#N/A</v>
      </c>
      <c r="T251" s="55" t="e">
        <f t="shared" ca="1" si="66"/>
        <v>#N/A</v>
      </c>
      <c r="U251" s="55" t="e">
        <f t="shared" ca="1" si="67"/>
        <v>#N/A</v>
      </c>
      <c r="V251" s="55" t="e">
        <f t="shared" ca="1" si="68"/>
        <v>#N/A</v>
      </c>
      <c r="W251" s="55" t="e">
        <f t="shared" ca="1" si="73"/>
        <v>#N/A</v>
      </c>
      <c r="X251" s="55" t="e">
        <f t="shared" ca="1" si="74"/>
        <v>#N/A</v>
      </c>
      <c r="Y251" s="55" t="e">
        <f t="shared" ca="1" si="75"/>
        <v>#N/A</v>
      </c>
      <c r="Z251" s="55" t="e">
        <f t="shared" ca="1" si="76"/>
        <v>#N/A</v>
      </c>
      <c r="AB251" t="e">
        <f t="shared" ca="1" si="69"/>
        <v>#N/A</v>
      </c>
      <c r="AC251" t="e">
        <f t="shared" ca="1" si="77"/>
        <v>#N/A</v>
      </c>
      <c r="AD251" t="e">
        <f t="shared" ca="1" si="70"/>
        <v>#N/A</v>
      </c>
      <c r="AE251" t="e">
        <f t="shared" ca="1" si="71"/>
        <v>#N/A</v>
      </c>
      <c r="AF251" s="83" t="e">
        <f ca="1"/>
        <v>#N/A</v>
      </c>
      <c r="AG251" s="55" t="e">
        <f t="shared" ca="1" si="81"/>
        <v>#N/A</v>
      </c>
      <c r="AH251" s="55" t="e">
        <f t="shared" ca="1" si="82"/>
        <v>#N/A</v>
      </c>
      <c r="AI251" s="55" t="e">
        <f t="shared" ca="1" si="83"/>
        <v>#N/A</v>
      </c>
      <c r="AJ251" s="55" t="e">
        <f t="shared" ca="1" si="84"/>
        <v>#N/A</v>
      </c>
      <c r="AK251" s="55" t="e">
        <f t="shared" ca="1" si="78"/>
        <v>#N/A</v>
      </c>
      <c r="AL251" s="55" t="e">
        <f t="shared" ca="1" si="79"/>
        <v>#N/A</v>
      </c>
      <c r="AM251" s="55" t="e">
        <f t="shared" ca="1" si="80"/>
        <v>#N/A</v>
      </c>
    </row>
    <row r="252" spans="18:39">
      <c r="R252" s="83" t="e">
        <f ca="1"/>
        <v>#N/A</v>
      </c>
      <c r="S252" s="55" t="e">
        <f t="shared" ca="1" si="72"/>
        <v>#N/A</v>
      </c>
      <c r="T252" s="55" t="e">
        <f t="shared" ca="1" si="66"/>
        <v>#N/A</v>
      </c>
      <c r="U252" s="55" t="e">
        <f t="shared" ca="1" si="67"/>
        <v>#N/A</v>
      </c>
      <c r="V252" s="55" t="e">
        <f t="shared" ca="1" si="68"/>
        <v>#N/A</v>
      </c>
      <c r="W252" s="55" t="e">
        <f t="shared" ca="1" si="73"/>
        <v>#N/A</v>
      </c>
      <c r="X252" s="55" t="e">
        <f t="shared" ca="1" si="74"/>
        <v>#N/A</v>
      </c>
      <c r="Y252" s="55" t="e">
        <f t="shared" ca="1" si="75"/>
        <v>#N/A</v>
      </c>
      <c r="Z252" s="55" t="e">
        <f t="shared" ca="1" si="76"/>
        <v>#N/A</v>
      </c>
      <c r="AB252" t="e">
        <f t="shared" ca="1" si="69"/>
        <v>#N/A</v>
      </c>
      <c r="AC252" t="e">
        <f t="shared" ca="1" si="77"/>
        <v>#N/A</v>
      </c>
      <c r="AD252" t="e">
        <f t="shared" ca="1" si="70"/>
        <v>#N/A</v>
      </c>
      <c r="AE252" t="e">
        <f t="shared" ca="1" si="71"/>
        <v>#N/A</v>
      </c>
      <c r="AF252" s="83" t="e">
        <f ca="1"/>
        <v>#N/A</v>
      </c>
      <c r="AG252" s="55" t="e">
        <f t="shared" ca="1" si="81"/>
        <v>#N/A</v>
      </c>
      <c r="AH252" s="55" t="e">
        <f t="shared" ca="1" si="82"/>
        <v>#N/A</v>
      </c>
      <c r="AI252" s="55" t="e">
        <f t="shared" ca="1" si="83"/>
        <v>#N/A</v>
      </c>
      <c r="AJ252" s="55" t="e">
        <f t="shared" ca="1" si="84"/>
        <v>#N/A</v>
      </c>
      <c r="AK252" s="55" t="e">
        <f t="shared" ca="1" si="78"/>
        <v>#N/A</v>
      </c>
      <c r="AL252" s="55" t="e">
        <f t="shared" ca="1" si="79"/>
        <v>#N/A</v>
      </c>
      <c r="AM252" s="55" t="e">
        <f t="shared" ca="1" si="80"/>
        <v>#N/A</v>
      </c>
    </row>
    <row r="253" spans="18:39">
      <c r="R253" s="83" t="e">
        <f ca="1"/>
        <v>#N/A</v>
      </c>
      <c r="S253" s="55" t="e">
        <f t="shared" ca="1" si="72"/>
        <v>#N/A</v>
      </c>
      <c r="T253" s="55" t="e">
        <f t="shared" ca="1" si="66"/>
        <v>#N/A</v>
      </c>
      <c r="U253" s="55" t="e">
        <f t="shared" ca="1" si="67"/>
        <v>#N/A</v>
      </c>
      <c r="V253" s="55" t="e">
        <f t="shared" ca="1" si="68"/>
        <v>#N/A</v>
      </c>
      <c r="W253" s="55" t="e">
        <f t="shared" ca="1" si="73"/>
        <v>#N/A</v>
      </c>
      <c r="X253" s="55" t="e">
        <f t="shared" ca="1" si="74"/>
        <v>#N/A</v>
      </c>
      <c r="Y253" s="55" t="e">
        <f t="shared" ca="1" si="75"/>
        <v>#N/A</v>
      </c>
      <c r="Z253" s="55" t="e">
        <f t="shared" ca="1" si="76"/>
        <v>#N/A</v>
      </c>
      <c r="AB253" t="e">
        <f t="shared" ca="1" si="69"/>
        <v>#N/A</v>
      </c>
      <c r="AC253" t="e">
        <f t="shared" ca="1" si="77"/>
        <v>#N/A</v>
      </c>
      <c r="AD253" t="e">
        <f t="shared" ca="1" si="70"/>
        <v>#N/A</v>
      </c>
      <c r="AE253" t="e">
        <f t="shared" ca="1" si="71"/>
        <v>#N/A</v>
      </c>
      <c r="AF253" s="83" t="e">
        <f ca="1"/>
        <v>#N/A</v>
      </c>
      <c r="AG253" s="55" t="e">
        <f t="shared" ca="1" si="81"/>
        <v>#N/A</v>
      </c>
      <c r="AH253" s="55" t="e">
        <f t="shared" ca="1" si="82"/>
        <v>#N/A</v>
      </c>
      <c r="AI253" s="55" t="e">
        <f t="shared" ca="1" si="83"/>
        <v>#N/A</v>
      </c>
      <c r="AJ253" s="55" t="e">
        <f t="shared" ca="1" si="84"/>
        <v>#N/A</v>
      </c>
      <c r="AK253" s="55" t="e">
        <f t="shared" ca="1" si="78"/>
        <v>#N/A</v>
      </c>
      <c r="AL253" s="55" t="e">
        <f t="shared" ca="1" si="79"/>
        <v>#N/A</v>
      </c>
      <c r="AM253" s="55" t="e">
        <f t="shared" ca="1" si="80"/>
        <v>#N/A</v>
      </c>
    </row>
    <row r="254" spans="18:39">
      <c r="R254" s="83" t="e">
        <f ca="1"/>
        <v>#N/A</v>
      </c>
      <c r="S254" s="55" t="e">
        <f t="shared" ca="1" si="72"/>
        <v>#N/A</v>
      </c>
      <c r="T254" s="55" t="e">
        <f t="shared" ca="1" si="66"/>
        <v>#N/A</v>
      </c>
      <c r="U254" s="55" t="e">
        <f t="shared" ca="1" si="67"/>
        <v>#N/A</v>
      </c>
      <c r="V254" s="55" t="e">
        <f t="shared" ca="1" si="68"/>
        <v>#N/A</v>
      </c>
      <c r="W254" s="55" t="e">
        <f t="shared" ca="1" si="73"/>
        <v>#N/A</v>
      </c>
      <c r="X254" s="55" t="e">
        <f t="shared" ca="1" si="74"/>
        <v>#N/A</v>
      </c>
      <c r="Y254" s="55" t="e">
        <f t="shared" ca="1" si="75"/>
        <v>#N/A</v>
      </c>
      <c r="Z254" s="55" t="e">
        <f t="shared" ca="1" si="76"/>
        <v>#N/A</v>
      </c>
      <c r="AB254" t="e">
        <f t="shared" ca="1" si="69"/>
        <v>#N/A</v>
      </c>
      <c r="AC254" t="e">
        <f t="shared" ca="1" si="77"/>
        <v>#N/A</v>
      </c>
      <c r="AD254" t="e">
        <f t="shared" ca="1" si="70"/>
        <v>#N/A</v>
      </c>
      <c r="AE254" t="e">
        <f t="shared" ca="1" si="71"/>
        <v>#N/A</v>
      </c>
      <c r="AF254" s="83" t="e">
        <f ca="1"/>
        <v>#N/A</v>
      </c>
      <c r="AG254" s="55" t="e">
        <f t="shared" ca="1" si="81"/>
        <v>#N/A</v>
      </c>
      <c r="AH254" s="55" t="e">
        <f t="shared" ca="1" si="82"/>
        <v>#N/A</v>
      </c>
      <c r="AI254" s="55" t="e">
        <f t="shared" ca="1" si="83"/>
        <v>#N/A</v>
      </c>
      <c r="AJ254" s="55" t="e">
        <f t="shared" ca="1" si="84"/>
        <v>#N/A</v>
      </c>
      <c r="AK254" s="55" t="e">
        <f t="shared" ca="1" si="78"/>
        <v>#N/A</v>
      </c>
      <c r="AL254" s="55" t="e">
        <f t="shared" ca="1" si="79"/>
        <v>#N/A</v>
      </c>
      <c r="AM254" s="55" t="e">
        <f t="shared" ca="1" si="80"/>
        <v>#N/A</v>
      </c>
    </row>
    <row r="255" spans="18:39">
      <c r="R255" s="83" t="e">
        <f ca="1"/>
        <v>#N/A</v>
      </c>
      <c r="S255" s="55" t="e">
        <f t="shared" ca="1" si="72"/>
        <v>#N/A</v>
      </c>
      <c r="T255" s="55" t="e">
        <f t="shared" ca="1" si="66"/>
        <v>#N/A</v>
      </c>
      <c r="U255" s="55" t="e">
        <f t="shared" ca="1" si="67"/>
        <v>#N/A</v>
      </c>
      <c r="V255" s="55" t="e">
        <f t="shared" ca="1" si="68"/>
        <v>#N/A</v>
      </c>
      <c r="W255" s="55" t="e">
        <f t="shared" ca="1" si="73"/>
        <v>#N/A</v>
      </c>
      <c r="X255" s="55" t="e">
        <f t="shared" ca="1" si="74"/>
        <v>#N/A</v>
      </c>
      <c r="Y255" s="55" t="e">
        <f t="shared" ca="1" si="75"/>
        <v>#N/A</v>
      </c>
      <c r="Z255" s="55" t="e">
        <f t="shared" ca="1" si="76"/>
        <v>#N/A</v>
      </c>
      <c r="AB255" t="e">
        <f t="shared" ca="1" si="69"/>
        <v>#N/A</v>
      </c>
      <c r="AC255" t="e">
        <f t="shared" ca="1" si="77"/>
        <v>#N/A</v>
      </c>
      <c r="AD255" t="e">
        <f t="shared" ca="1" si="70"/>
        <v>#N/A</v>
      </c>
      <c r="AE255" t="e">
        <f t="shared" ca="1" si="71"/>
        <v>#N/A</v>
      </c>
      <c r="AF255" s="83" t="e">
        <f ca="1"/>
        <v>#N/A</v>
      </c>
      <c r="AG255" s="55" t="e">
        <f t="shared" ca="1" si="81"/>
        <v>#N/A</v>
      </c>
      <c r="AH255" s="55" t="e">
        <f t="shared" ca="1" si="82"/>
        <v>#N/A</v>
      </c>
      <c r="AI255" s="55" t="e">
        <f t="shared" ca="1" si="83"/>
        <v>#N/A</v>
      </c>
      <c r="AJ255" s="55" t="e">
        <f t="shared" ca="1" si="84"/>
        <v>#N/A</v>
      </c>
      <c r="AK255" s="55" t="e">
        <f t="shared" ca="1" si="78"/>
        <v>#N/A</v>
      </c>
      <c r="AL255" s="55" t="e">
        <f t="shared" ca="1" si="79"/>
        <v>#N/A</v>
      </c>
      <c r="AM255" s="55" t="e">
        <f t="shared" ca="1" si="80"/>
        <v>#N/A</v>
      </c>
    </row>
    <row r="256" spans="18:39">
      <c r="R256" s="83" t="e">
        <f ca="1"/>
        <v>#N/A</v>
      </c>
      <c r="S256" s="55" t="e">
        <f t="shared" ca="1" si="72"/>
        <v>#N/A</v>
      </c>
      <c r="T256" s="55" t="e">
        <f t="shared" ca="1" si="66"/>
        <v>#N/A</v>
      </c>
      <c r="U256" s="55" t="e">
        <f t="shared" ca="1" si="67"/>
        <v>#N/A</v>
      </c>
      <c r="V256" s="55" t="e">
        <f t="shared" ca="1" si="68"/>
        <v>#N/A</v>
      </c>
      <c r="W256" s="55" t="e">
        <f t="shared" ca="1" si="73"/>
        <v>#N/A</v>
      </c>
      <c r="X256" s="55" t="e">
        <f t="shared" ca="1" si="74"/>
        <v>#N/A</v>
      </c>
      <c r="Y256" s="55" t="e">
        <f t="shared" ca="1" si="75"/>
        <v>#N/A</v>
      </c>
      <c r="Z256" s="55" t="e">
        <f t="shared" ca="1" si="76"/>
        <v>#N/A</v>
      </c>
      <c r="AB256" t="e">
        <f t="shared" ca="1" si="69"/>
        <v>#N/A</v>
      </c>
      <c r="AC256" t="e">
        <f t="shared" ca="1" si="77"/>
        <v>#N/A</v>
      </c>
      <c r="AD256" t="e">
        <f t="shared" ca="1" si="70"/>
        <v>#N/A</v>
      </c>
      <c r="AE256" t="e">
        <f t="shared" ca="1" si="71"/>
        <v>#N/A</v>
      </c>
      <c r="AF256" s="83" t="e">
        <f ca="1"/>
        <v>#N/A</v>
      </c>
      <c r="AG256" s="55" t="e">
        <f t="shared" ca="1" si="81"/>
        <v>#N/A</v>
      </c>
      <c r="AH256" s="55" t="e">
        <f t="shared" ca="1" si="82"/>
        <v>#N/A</v>
      </c>
      <c r="AI256" s="55" t="e">
        <f t="shared" ca="1" si="83"/>
        <v>#N/A</v>
      </c>
      <c r="AJ256" s="55" t="e">
        <f t="shared" ca="1" si="84"/>
        <v>#N/A</v>
      </c>
      <c r="AK256" s="55" t="e">
        <f t="shared" ca="1" si="78"/>
        <v>#N/A</v>
      </c>
      <c r="AL256" s="55" t="e">
        <f t="shared" ca="1" si="79"/>
        <v>#N/A</v>
      </c>
      <c r="AM256" s="55" t="e">
        <f t="shared" ca="1" si="80"/>
        <v>#N/A</v>
      </c>
    </row>
    <row r="257" spans="18:39">
      <c r="R257" s="83" t="e">
        <f ca="1"/>
        <v>#N/A</v>
      </c>
      <c r="S257" s="55" t="e">
        <f t="shared" ca="1" si="72"/>
        <v>#N/A</v>
      </c>
      <c r="T257" s="55" t="e">
        <f t="shared" ca="1" si="66"/>
        <v>#N/A</v>
      </c>
      <c r="U257" s="55" t="e">
        <f t="shared" ca="1" si="67"/>
        <v>#N/A</v>
      </c>
      <c r="V257" s="55" t="e">
        <f t="shared" ca="1" si="68"/>
        <v>#N/A</v>
      </c>
      <c r="W257" s="55" t="e">
        <f t="shared" ca="1" si="73"/>
        <v>#N/A</v>
      </c>
      <c r="X257" s="55" t="e">
        <f t="shared" ca="1" si="74"/>
        <v>#N/A</v>
      </c>
      <c r="Y257" s="55" t="e">
        <f t="shared" ca="1" si="75"/>
        <v>#N/A</v>
      </c>
      <c r="Z257" s="55" t="e">
        <f t="shared" ca="1" si="76"/>
        <v>#N/A</v>
      </c>
      <c r="AB257" t="e">
        <f t="shared" ca="1" si="69"/>
        <v>#N/A</v>
      </c>
      <c r="AC257" t="e">
        <f t="shared" ca="1" si="77"/>
        <v>#N/A</v>
      </c>
      <c r="AD257" t="e">
        <f t="shared" ca="1" si="70"/>
        <v>#N/A</v>
      </c>
      <c r="AE257" t="e">
        <f t="shared" ca="1" si="71"/>
        <v>#N/A</v>
      </c>
      <c r="AF257" s="83" t="e">
        <f ca="1"/>
        <v>#N/A</v>
      </c>
      <c r="AG257" s="55" t="e">
        <f t="shared" ca="1" si="81"/>
        <v>#N/A</v>
      </c>
      <c r="AH257" s="55" t="e">
        <f t="shared" ca="1" si="82"/>
        <v>#N/A</v>
      </c>
      <c r="AI257" s="55" t="e">
        <f t="shared" ca="1" si="83"/>
        <v>#N/A</v>
      </c>
      <c r="AJ257" s="55" t="e">
        <f t="shared" ca="1" si="84"/>
        <v>#N/A</v>
      </c>
      <c r="AK257" s="55" t="e">
        <f t="shared" ca="1" si="78"/>
        <v>#N/A</v>
      </c>
      <c r="AL257" s="55" t="e">
        <f t="shared" ca="1" si="79"/>
        <v>#N/A</v>
      </c>
      <c r="AM257" s="55" t="e">
        <f t="shared" ca="1" si="80"/>
        <v>#N/A</v>
      </c>
    </row>
    <row r="258" spans="18:39">
      <c r="R258" s="83" t="e">
        <f ca="1"/>
        <v>#N/A</v>
      </c>
      <c r="S258" s="55" t="e">
        <f t="shared" ca="1" si="72"/>
        <v>#N/A</v>
      </c>
      <c r="T258" s="55" t="e">
        <f t="shared" ca="1" si="66"/>
        <v>#N/A</v>
      </c>
      <c r="U258" s="55" t="e">
        <f t="shared" ca="1" si="67"/>
        <v>#N/A</v>
      </c>
      <c r="V258" s="55" t="e">
        <f t="shared" ca="1" si="68"/>
        <v>#N/A</v>
      </c>
      <c r="W258" s="55" t="e">
        <f t="shared" ca="1" si="73"/>
        <v>#N/A</v>
      </c>
      <c r="X258" s="55" t="e">
        <f t="shared" ca="1" si="74"/>
        <v>#N/A</v>
      </c>
      <c r="Y258" s="55" t="e">
        <f t="shared" ca="1" si="75"/>
        <v>#N/A</v>
      </c>
      <c r="Z258" s="55" t="e">
        <f t="shared" ca="1" si="76"/>
        <v>#N/A</v>
      </c>
      <c r="AB258" t="e">
        <f t="shared" ca="1" si="69"/>
        <v>#N/A</v>
      </c>
      <c r="AC258" t="e">
        <f t="shared" ca="1" si="77"/>
        <v>#N/A</v>
      </c>
      <c r="AD258" t="e">
        <f t="shared" ca="1" si="70"/>
        <v>#N/A</v>
      </c>
      <c r="AE258" t="e">
        <f t="shared" ca="1" si="71"/>
        <v>#N/A</v>
      </c>
      <c r="AF258" s="83" t="e">
        <f ca="1"/>
        <v>#N/A</v>
      </c>
      <c r="AG258" s="55" t="e">
        <f t="shared" ca="1" si="81"/>
        <v>#N/A</v>
      </c>
      <c r="AH258" s="55" t="e">
        <f t="shared" ca="1" si="82"/>
        <v>#N/A</v>
      </c>
      <c r="AI258" s="55" t="e">
        <f t="shared" ca="1" si="83"/>
        <v>#N/A</v>
      </c>
      <c r="AJ258" s="55" t="e">
        <f t="shared" ca="1" si="84"/>
        <v>#N/A</v>
      </c>
      <c r="AK258" s="55" t="e">
        <f t="shared" ca="1" si="78"/>
        <v>#N/A</v>
      </c>
      <c r="AL258" s="55" t="e">
        <f t="shared" ca="1" si="79"/>
        <v>#N/A</v>
      </c>
      <c r="AM258" s="55" t="e">
        <f t="shared" ca="1" si="80"/>
        <v>#N/A</v>
      </c>
    </row>
    <row r="259" spans="18:39">
      <c r="R259" s="83" t="e">
        <f ca="1"/>
        <v>#N/A</v>
      </c>
      <c r="S259" s="55" t="e">
        <f t="shared" ca="1" si="72"/>
        <v>#N/A</v>
      </c>
      <c r="T259" s="55" t="e">
        <f t="shared" ca="1" si="66"/>
        <v>#N/A</v>
      </c>
      <c r="U259" s="55" t="e">
        <f t="shared" ca="1" si="67"/>
        <v>#N/A</v>
      </c>
      <c r="V259" s="55" t="e">
        <f t="shared" ca="1" si="68"/>
        <v>#N/A</v>
      </c>
      <c r="W259" s="55" t="e">
        <f t="shared" ca="1" si="73"/>
        <v>#N/A</v>
      </c>
      <c r="X259" s="55" t="e">
        <f t="shared" ca="1" si="74"/>
        <v>#N/A</v>
      </c>
      <c r="Y259" s="55" t="e">
        <f t="shared" ca="1" si="75"/>
        <v>#N/A</v>
      </c>
      <c r="Z259" s="55" t="e">
        <f t="shared" ca="1" si="76"/>
        <v>#N/A</v>
      </c>
      <c r="AB259" t="e">
        <f t="shared" ca="1" si="69"/>
        <v>#N/A</v>
      </c>
      <c r="AC259" t="e">
        <f t="shared" ca="1" si="77"/>
        <v>#N/A</v>
      </c>
      <c r="AD259" t="e">
        <f t="shared" ca="1" si="70"/>
        <v>#N/A</v>
      </c>
      <c r="AE259" t="e">
        <f t="shared" ca="1" si="71"/>
        <v>#N/A</v>
      </c>
      <c r="AF259" s="83" t="e">
        <f ca="1"/>
        <v>#N/A</v>
      </c>
      <c r="AG259" s="55" t="e">
        <f t="shared" ca="1" si="81"/>
        <v>#N/A</v>
      </c>
      <c r="AH259" s="55" t="e">
        <f t="shared" ca="1" si="82"/>
        <v>#N/A</v>
      </c>
      <c r="AI259" s="55" t="e">
        <f t="shared" ca="1" si="83"/>
        <v>#N/A</v>
      </c>
      <c r="AJ259" s="55" t="e">
        <f t="shared" ca="1" si="84"/>
        <v>#N/A</v>
      </c>
      <c r="AK259" s="55" t="e">
        <f t="shared" ca="1" si="78"/>
        <v>#N/A</v>
      </c>
      <c r="AL259" s="55" t="e">
        <f t="shared" ca="1" si="79"/>
        <v>#N/A</v>
      </c>
      <c r="AM259" s="55" t="e">
        <f t="shared" ca="1" si="80"/>
        <v>#N/A</v>
      </c>
    </row>
    <row r="260" spans="18:39">
      <c r="R260" s="83" t="e">
        <f ca="1"/>
        <v>#N/A</v>
      </c>
      <c r="S260" s="55" t="e">
        <f t="shared" ca="1" si="72"/>
        <v>#N/A</v>
      </c>
      <c r="T260" s="55" t="e">
        <f t="shared" ca="1" si="66"/>
        <v>#N/A</v>
      </c>
      <c r="U260" s="55" t="e">
        <f t="shared" ca="1" si="67"/>
        <v>#N/A</v>
      </c>
      <c r="V260" s="55" t="e">
        <f t="shared" ca="1" si="68"/>
        <v>#N/A</v>
      </c>
      <c r="W260" s="55" t="e">
        <f t="shared" ca="1" si="73"/>
        <v>#N/A</v>
      </c>
      <c r="X260" s="55" t="e">
        <f t="shared" ca="1" si="74"/>
        <v>#N/A</v>
      </c>
      <c r="Y260" s="55" t="e">
        <f t="shared" ca="1" si="75"/>
        <v>#N/A</v>
      </c>
      <c r="Z260" s="55" t="e">
        <f t="shared" ca="1" si="76"/>
        <v>#N/A</v>
      </c>
      <c r="AB260" t="e">
        <f t="shared" ca="1" si="69"/>
        <v>#N/A</v>
      </c>
      <c r="AC260" t="e">
        <f t="shared" ca="1" si="77"/>
        <v>#N/A</v>
      </c>
      <c r="AD260" t="e">
        <f t="shared" ca="1" si="70"/>
        <v>#N/A</v>
      </c>
      <c r="AE260" t="e">
        <f t="shared" ca="1" si="71"/>
        <v>#N/A</v>
      </c>
      <c r="AF260" s="83" t="e">
        <f ca="1"/>
        <v>#N/A</v>
      </c>
      <c r="AG260" s="55" t="e">
        <f t="shared" ca="1" si="81"/>
        <v>#N/A</v>
      </c>
      <c r="AH260" s="55" t="e">
        <f t="shared" ca="1" si="82"/>
        <v>#N/A</v>
      </c>
      <c r="AI260" s="55" t="e">
        <f t="shared" ca="1" si="83"/>
        <v>#N/A</v>
      </c>
      <c r="AJ260" s="55" t="e">
        <f t="shared" ca="1" si="84"/>
        <v>#N/A</v>
      </c>
      <c r="AK260" s="55" t="e">
        <f t="shared" ca="1" si="78"/>
        <v>#N/A</v>
      </c>
      <c r="AL260" s="55" t="e">
        <f t="shared" ca="1" si="79"/>
        <v>#N/A</v>
      </c>
      <c r="AM260" s="55" t="e">
        <f t="shared" ca="1" si="80"/>
        <v>#N/A</v>
      </c>
    </row>
    <row r="261" spans="18:39">
      <c r="R261" s="83" t="e">
        <f ca="1"/>
        <v>#N/A</v>
      </c>
      <c r="S261" s="55" t="e">
        <f t="shared" ca="1" si="72"/>
        <v>#N/A</v>
      </c>
      <c r="T261" s="55" t="e">
        <f t="shared" ca="1" si="66"/>
        <v>#N/A</v>
      </c>
      <c r="U261" s="55" t="e">
        <f t="shared" ca="1" si="67"/>
        <v>#N/A</v>
      </c>
      <c r="V261" s="55" t="e">
        <f t="shared" ca="1" si="68"/>
        <v>#N/A</v>
      </c>
      <c r="W261" s="55" t="e">
        <f t="shared" ca="1" si="73"/>
        <v>#N/A</v>
      </c>
      <c r="X261" s="55" t="e">
        <f t="shared" ca="1" si="74"/>
        <v>#N/A</v>
      </c>
      <c r="Y261" s="55" t="e">
        <f t="shared" ca="1" si="75"/>
        <v>#N/A</v>
      </c>
      <c r="Z261" s="55" t="e">
        <f t="shared" ca="1" si="76"/>
        <v>#N/A</v>
      </c>
      <c r="AB261" t="e">
        <f t="shared" ca="1" si="69"/>
        <v>#N/A</v>
      </c>
      <c r="AC261" t="e">
        <f t="shared" ca="1" si="77"/>
        <v>#N/A</v>
      </c>
      <c r="AD261" t="e">
        <f t="shared" ca="1" si="70"/>
        <v>#N/A</v>
      </c>
      <c r="AE261" t="e">
        <f t="shared" ca="1" si="71"/>
        <v>#N/A</v>
      </c>
      <c r="AF261" s="83" t="e">
        <f ca="1"/>
        <v>#N/A</v>
      </c>
      <c r="AG261" s="55" t="e">
        <f t="shared" ca="1" si="81"/>
        <v>#N/A</v>
      </c>
      <c r="AH261" s="55" t="e">
        <f t="shared" ca="1" si="82"/>
        <v>#N/A</v>
      </c>
      <c r="AI261" s="55" t="e">
        <f t="shared" ca="1" si="83"/>
        <v>#N/A</v>
      </c>
      <c r="AJ261" s="55" t="e">
        <f t="shared" ca="1" si="84"/>
        <v>#N/A</v>
      </c>
      <c r="AK261" s="55" t="e">
        <f t="shared" ca="1" si="78"/>
        <v>#N/A</v>
      </c>
      <c r="AL261" s="55" t="e">
        <f t="shared" ca="1" si="79"/>
        <v>#N/A</v>
      </c>
      <c r="AM261" s="55" t="e">
        <f t="shared" ca="1" si="80"/>
        <v>#N/A</v>
      </c>
    </row>
    <row r="262" spans="18:39">
      <c r="R262" s="83" t="e">
        <f ca="1"/>
        <v>#N/A</v>
      </c>
      <c r="S262" s="55" t="e">
        <f t="shared" ca="1" si="72"/>
        <v>#N/A</v>
      </c>
      <c r="T262" s="55" t="e">
        <f t="shared" ca="1" si="66"/>
        <v>#N/A</v>
      </c>
      <c r="U262" s="55" t="e">
        <f t="shared" ca="1" si="67"/>
        <v>#N/A</v>
      </c>
      <c r="V262" s="55" t="e">
        <f t="shared" ca="1" si="68"/>
        <v>#N/A</v>
      </c>
      <c r="W262" s="55" t="e">
        <f t="shared" ca="1" si="73"/>
        <v>#N/A</v>
      </c>
      <c r="X262" s="55" t="e">
        <f t="shared" ca="1" si="74"/>
        <v>#N/A</v>
      </c>
      <c r="Y262" s="55" t="e">
        <f t="shared" ca="1" si="75"/>
        <v>#N/A</v>
      </c>
      <c r="Z262" s="55" t="e">
        <f t="shared" ca="1" si="76"/>
        <v>#N/A</v>
      </c>
      <c r="AB262" t="e">
        <f t="shared" ca="1" si="69"/>
        <v>#N/A</v>
      </c>
      <c r="AC262" t="e">
        <f t="shared" ca="1" si="77"/>
        <v>#N/A</v>
      </c>
      <c r="AD262" t="e">
        <f t="shared" ca="1" si="70"/>
        <v>#N/A</v>
      </c>
      <c r="AE262" t="e">
        <f t="shared" ca="1" si="71"/>
        <v>#N/A</v>
      </c>
      <c r="AF262" s="83" t="e">
        <f ca="1"/>
        <v>#N/A</v>
      </c>
      <c r="AG262" s="55" t="e">
        <f t="shared" ca="1" si="81"/>
        <v>#N/A</v>
      </c>
      <c r="AH262" s="55" t="e">
        <f t="shared" ca="1" si="82"/>
        <v>#N/A</v>
      </c>
      <c r="AI262" s="55" t="e">
        <f t="shared" ca="1" si="83"/>
        <v>#N/A</v>
      </c>
      <c r="AJ262" s="55" t="e">
        <f t="shared" ca="1" si="84"/>
        <v>#N/A</v>
      </c>
      <c r="AK262" s="55" t="e">
        <f t="shared" ca="1" si="78"/>
        <v>#N/A</v>
      </c>
      <c r="AL262" s="55" t="e">
        <f t="shared" ca="1" si="79"/>
        <v>#N/A</v>
      </c>
      <c r="AM262" s="55" t="e">
        <f t="shared" ca="1" si="80"/>
        <v>#N/A</v>
      </c>
    </row>
    <row r="263" spans="18:39">
      <c r="R263" s="83" t="e">
        <f ca="1"/>
        <v>#N/A</v>
      </c>
      <c r="S263" s="55" t="e">
        <f t="shared" ca="1" si="72"/>
        <v>#N/A</v>
      </c>
      <c r="T263" s="55" t="e">
        <f t="shared" ca="1" si="66"/>
        <v>#N/A</v>
      </c>
      <c r="U263" s="55" t="e">
        <f t="shared" ca="1" si="67"/>
        <v>#N/A</v>
      </c>
      <c r="V263" s="55" t="e">
        <f t="shared" ca="1" si="68"/>
        <v>#N/A</v>
      </c>
      <c r="W263" s="55" t="e">
        <f t="shared" ca="1" si="73"/>
        <v>#N/A</v>
      </c>
      <c r="X263" s="55" t="e">
        <f t="shared" ca="1" si="74"/>
        <v>#N/A</v>
      </c>
      <c r="Y263" s="55" t="e">
        <f t="shared" ca="1" si="75"/>
        <v>#N/A</v>
      </c>
      <c r="Z263" s="55" t="e">
        <f t="shared" ca="1" si="76"/>
        <v>#N/A</v>
      </c>
      <c r="AB263" t="e">
        <f t="shared" ca="1" si="69"/>
        <v>#N/A</v>
      </c>
      <c r="AC263" t="e">
        <f t="shared" ca="1" si="77"/>
        <v>#N/A</v>
      </c>
      <c r="AD263" t="e">
        <f t="shared" ca="1" si="70"/>
        <v>#N/A</v>
      </c>
      <c r="AE263" t="e">
        <f t="shared" ca="1" si="71"/>
        <v>#N/A</v>
      </c>
      <c r="AF263" s="83" t="e">
        <f ca="1"/>
        <v>#N/A</v>
      </c>
      <c r="AG263" s="55" t="e">
        <f t="shared" ca="1" si="81"/>
        <v>#N/A</v>
      </c>
      <c r="AH263" s="55" t="e">
        <f t="shared" ca="1" si="82"/>
        <v>#N/A</v>
      </c>
      <c r="AI263" s="55" t="e">
        <f t="shared" ca="1" si="83"/>
        <v>#N/A</v>
      </c>
      <c r="AJ263" s="55" t="e">
        <f t="shared" ca="1" si="84"/>
        <v>#N/A</v>
      </c>
      <c r="AK263" s="55" t="e">
        <f t="shared" ca="1" si="78"/>
        <v>#N/A</v>
      </c>
      <c r="AL263" s="55" t="e">
        <f t="shared" ca="1" si="79"/>
        <v>#N/A</v>
      </c>
      <c r="AM263" s="55" t="e">
        <f t="shared" ca="1" si="80"/>
        <v>#N/A</v>
      </c>
    </row>
    <row r="264" spans="18:39">
      <c r="R264" s="83" t="e">
        <f ca="1"/>
        <v>#N/A</v>
      </c>
      <c r="S264" s="55" t="e">
        <f t="shared" ca="1" si="72"/>
        <v>#N/A</v>
      </c>
      <c r="T264" s="55" t="e">
        <f t="shared" ca="1" si="66"/>
        <v>#N/A</v>
      </c>
      <c r="U264" s="55" t="e">
        <f t="shared" ca="1" si="67"/>
        <v>#N/A</v>
      </c>
      <c r="V264" s="55" t="e">
        <f t="shared" ca="1" si="68"/>
        <v>#N/A</v>
      </c>
      <c r="W264" s="55" t="e">
        <f t="shared" ca="1" si="73"/>
        <v>#N/A</v>
      </c>
      <c r="X264" s="55" t="e">
        <f t="shared" ca="1" si="74"/>
        <v>#N/A</v>
      </c>
      <c r="Y264" s="55" t="e">
        <f t="shared" ca="1" si="75"/>
        <v>#N/A</v>
      </c>
      <c r="Z264" s="55" t="e">
        <f t="shared" ca="1" si="76"/>
        <v>#N/A</v>
      </c>
      <c r="AB264" t="e">
        <f t="shared" ca="1" si="69"/>
        <v>#N/A</v>
      </c>
      <c r="AC264" t="e">
        <f t="shared" ca="1" si="77"/>
        <v>#N/A</v>
      </c>
      <c r="AD264" t="e">
        <f t="shared" ca="1" si="70"/>
        <v>#N/A</v>
      </c>
      <c r="AE264" t="e">
        <f t="shared" ca="1" si="71"/>
        <v>#N/A</v>
      </c>
      <c r="AF264" s="83" t="e">
        <f ca="1"/>
        <v>#N/A</v>
      </c>
      <c r="AG264" s="55" t="e">
        <f t="shared" ca="1" si="81"/>
        <v>#N/A</v>
      </c>
      <c r="AH264" s="55" t="e">
        <f t="shared" ca="1" si="82"/>
        <v>#N/A</v>
      </c>
      <c r="AI264" s="55" t="e">
        <f t="shared" ca="1" si="83"/>
        <v>#N/A</v>
      </c>
      <c r="AJ264" s="55" t="e">
        <f t="shared" ca="1" si="84"/>
        <v>#N/A</v>
      </c>
      <c r="AK264" s="55" t="e">
        <f t="shared" ca="1" si="78"/>
        <v>#N/A</v>
      </c>
      <c r="AL264" s="55" t="e">
        <f t="shared" ca="1" si="79"/>
        <v>#N/A</v>
      </c>
      <c r="AM264" s="55" t="e">
        <f t="shared" ca="1" si="80"/>
        <v>#N/A</v>
      </c>
    </row>
    <row r="265" spans="18:39">
      <c r="R265" s="83" t="e">
        <f ca="1"/>
        <v>#N/A</v>
      </c>
      <c r="S265" s="55" t="e">
        <f t="shared" ca="1" si="72"/>
        <v>#N/A</v>
      </c>
      <c r="T265" s="55" t="e">
        <f t="shared" ca="1" si="66"/>
        <v>#N/A</v>
      </c>
      <c r="U265" s="55" t="e">
        <f t="shared" ca="1" si="67"/>
        <v>#N/A</v>
      </c>
      <c r="V265" s="55" t="e">
        <f t="shared" ca="1" si="68"/>
        <v>#N/A</v>
      </c>
      <c r="W265" s="55" t="e">
        <f t="shared" ca="1" si="73"/>
        <v>#N/A</v>
      </c>
      <c r="X265" s="55" t="e">
        <f t="shared" ca="1" si="74"/>
        <v>#N/A</v>
      </c>
      <c r="Y265" s="55" t="e">
        <f t="shared" ca="1" si="75"/>
        <v>#N/A</v>
      </c>
      <c r="Z265" s="55" t="e">
        <f t="shared" ca="1" si="76"/>
        <v>#N/A</v>
      </c>
      <c r="AB265" t="e">
        <f t="shared" ca="1" si="69"/>
        <v>#N/A</v>
      </c>
      <c r="AC265" t="e">
        <f t="shared" ca="1" si="77"/>
        <v>#N/A</v>
      </c>
      <c r="AD265" t="e">
        <f t="shared" ca="1" si="70"/>
        <v>#N/A</v>
      </c>
      <c r="AE265" t="e">
        <f t="shared" ca="1" si="71"/>
        <v>#N/A</v>
      </c>
      <c r="AF265" s="83" t="e">
        <f ca="1"/>
        <v>#N/A</v>
      </c>
      <c r="AG265" s="55" t="e">
        <f t="shared" ca="1" si="81"/>
        <v>#N/A</v>
      </c>
      <c r="AH265" s="55" t="e">
        <f t="shared" ca="1" si="82"/>
        <v>#N/A</v>
      </c>
      <c r="AI265" s="55" t="e">
        <f t="shared" ca="1" si="83"/>
        <v>#N/A</v>
      </c>
      <c r="AJ265" s="55" t="e">
        <f t="shared" ca="1" si="84"/>
        <v>#N/A</v>
      </c>
      <c r="AK265" s="55" t="e">
        <f t="shared" ca="1" si="78"/>
        <v>#N/A</v>
      </c>
      <c r="AL265" s="55" t="e">
        <f t="shared" ca="1" si="79"/>
        <v>#N/A</v>
      </c>
      <c r="AM265" s="55" t="e">
        <f t="shared" ca="1" si="80"/>
        <v>#N/A</v>
      </c>
    </row>
    <row r="266" spans="18:39">
      <c r="R266" s="83" t="e">
        <f ca="1"/>
        <v>#N/A</v>
      </c>
      <c r="S266" s="55" t="e">
        <f t="shared" ca="1" si="72"/>
        <v>#N/A</v>
      </c>
      <c r="T266" s="55" t="e">
        <f t="shared" ca="1" si="66"/>
        <v>#N/A</v>
      </c>
      <c r="U266" s="55" t="e">
        <f t="shared" ca="1" si="67"/>
        <v>#N/A</v>
      </c>
      <c r="V266" s="55" t="e">
        <f t="shared" ca="1" si="68"/>
        <v>#N/A</v>
      </c>
      <c r="W266" s="55" t="e">
        <f t="shared" ca="1" si="73"/>
        <v>#N/A</v>
      </c>
      <c r="X266" s="55" t="e">
        <f t="shared" ca="1" si="74"/>
        <v>#N/A</v>
      </c>
      <c r="Y266" s="55" t="e">
        <f t="shared" ca="1" si="75"/>
        <v>#N/A</v>
      </c>
      <c r="Z266" s="55" t="e">
        <f t="shared" ca="1" si="76"/>
        <v>#N/A</v>
      </c>
      <c r="AB266" t="e">
        <f t="shared" ca="1" si="69"/>
        <v>#N/A</v>
      </c>
      <c r="AC266" t="e">
        <f t="shared" ca="1" si="77"/>
        <v>#N/A</v>
      </c>
      <c r="AD266" t="e">
        <f t="shared" ca="1" si="70"/>
        <v>#N/A</v>
      </c>
      <c r="AE266" t="e">
        <f t="shared" ca="1" si="71"/>
        <v>#N/A</v>
      </c>
      <c r="AF266" s="83" t="e">
        <f ca="1"/>
        <v>#N/A</v>
      </c>
      <c r="AG266" s="55" t="e">
        <f t="shared" ca="1" si="81"/>
        <v>#N/A</v>
      </c>
      <c r="AH266" s="55" t="e">
        <f t="shared" ca="1" si="82"/>
        <v>#N/A</v>
      </c>
      <c r="AI266" s="55" t="e">
        <f t="shared" ca="1" si="83"/>
        <v>#N/A</v>
      </c>
      <c r="AJ266" s="55" t="e">
        <f t="shared" ca="1" si="84"/>
        <v>#N/A</v>
      </c>
      <c r="AK266" s="55" t="e">
        <f t="shared" ca="1" si="78"/>
        <v>#N/A</v>
      </c>
      <c r="AL266" s="55" t="e">
        <f t="shared" ca="1" si="79"/>
        <v>#N/A</v>
      </c>
      <c r="AM266" s="55" t="e">
        <f t="shared" ca="1" si="80"/>
        <v>#N/A</v>
      </c>
    </row>
    <row r="267" spans="18:39">
      <c r="R267" s="83" t="e">
        <f ca="1"/>
        <v>#N/A</v>
      </c>
      <c r="S267" s="55" t="e">
        <f t="shared" ca="1" si="72"/>
        <v>#N/A</v>
      </c>
      <c r="T267" s="55" t="e">
        <f t="shared" ca="1" si="66"/>
        <v>#N/A</v>
      </c>
      <c r="U267" s="55" t="e">
        <f t="shared" ca="1" si="67"/>
        <v>#N/A</v>
      </c>
      <c r="V267" s="55" t="e">
        <f t="shared" ca="1" si="68"/>
        <v>#N/A</v>
      </c>
      <c r="W267" s="55" t="e">
        <f t="shared" ca="1" si="73"/>
        <v>#N/A</v>
      </c>
      <c r="X267" s="55" t="e">
        <f t="shared" ca="1" si="74"/>
        <v>#N/A</v>
      </c>
      <c r="Y267" s="55" t="e">
        <f t="shared" ca="1" si="75"/>
        <v>#N/A</v>
      </c>
      <c r="Z267" s="55" t="e">
        <f t="shared" ca="1" si="76"/>
        <v>#N/A</v>
      </c>
      <c r="AB267" t="e">
        <f t="shared" ca="1" si="69"/>
        <v>#N/A</v>
      </c>
      <c r="AC267" t="e">
        <f t="shared" ca="1" si="77"/>
        <v>#N/A</v>
      </c>
      <c r="AD267" t="e">
        <f t="shared" ca="1" si="70"/>
        <v>#N/A</v>
      </c>
      <c r="AE267" t="e">
        <f t="shared" ca="1" si="71"/>
        <v>#N/A</v>
      </c>
      <c r="AF267" s="83" t="e">
        <f ca="1"/>
        <v>#N/A</v>
      </c>
      <c r="AG267" s="55" t="e">
        <f t="shared" ca="1" si="81"/>
        <v>#N/A</v>
      </c>
      <c r="AH267" s="55" t="e">
        <f t="shared" ca="1" si="82"/>
        <v>#N/A</v>
      </c>
      <c r="AI267" s="55" t="e">
        <f t="shared" ca="1" si="83"/>
        <v>#N/A</v>
      </c>
      <c r="AJ267" s="55" t="e">
        <f t="shared" ca="1" si="84"/>
        <v>#N/A</v>
      </c>
      <c r="AK267" s="55" t="e">
        <f t="shared" ca="1" si="78"/>
        <v>#N/A</v>
      </c>
      <c r="AL267" s="55" t="e">
        <f t="shared" ca="1" si="79"/>
        <v>#N/A</v>
      </c>
      <c r="AM267" s="55" t="e">
        <f t="shared" ca="1" si="80"/>
        <v>#N/A</v>
      </c>
    </row>
    <row r="268" spans="18:39">
      <c r="R268" s="83" t="e">
        <f ca="1"/>
        <v>#N/A</v>
      </c>
      <c r="S268" s="55" t="e">
        <f t="shared" ca="1" si="72"/>
        <v>#N/A</v>
      </c>
      <c r="T268" s="55" t="e">
        <f t="shared" ca="1" si="66"/>
        <v>#N/A</v>
      </c>
      <c r="U268" s="55" t="e">
        <f t="shared" ca="1" si="67"/>
        <v>#N/A</v>
      </c>
      <c r="V268" s="55" t="e">
        <f t="shared" ca="1" si="68"/>
        <v>#N/A</v>
      </c>
      <c r="W268" s="55" t="e">
        <f t="shared" ca="1" si="73"/>
        <v>#N/A</v>
      </c>
      <c r="X268" s="55" t="e">
        <f t="shared" ca="1" si="74"/>
        <v>#N/A</v>
      </c>
      <c r="Y268" s="55" t="e">
        <f t="shared" ca="1" si="75"/>
        <v>#N/A</v>
      </c>
      <c r="Z268" s="55" t="e">
        <f t="shared" ca="1" si="76"/>
        <v>#N/A</v>
      </c>
      <c r="AB268" t="e">
        <f t="shared" ca="1" si="69"/>
        <v>#N/A</v>
      </c>
      <c r="AC268" t="e">
        <f t="shared" ca="1" si="77"/>
        <v>#N/A</v>
      </c>
      <c r="AD268" t="e">
        <f t="shared" ca="1" si="70"/>
        <v>#N/A</v>
      </c>
      <c r="AE268" t="e">
        <f t="shared" ca="1" si="71"/>
        <v>#N/A</v>
      </c>
      <c r="AF268" s="83" t="e">
        <f ca="1"/>
        <v>#N/A</v>
      </c>
      <c r="AG268" s="55" t="e">
        <f t="shared" ca="1" si="81"/>
        <v>#N/A</v>
      </c>
      <c r="AH268" s="55" t="e">
        <f t="shared" ca="1" si="82"/>
        <v>#N/A</v>
      </c>
      <c r="AI268" s="55" t="e">
        <f t="shared" ca="1" si="83"/>
        <v>#N/A</v>
      </c>
      <c r="AJ268" s="55" t="e">
        <f t="shared" ca="1" si="84"/>
        <v>#N/A</v>
      </c>
      <c r="AK268" s="55" t="e">
        <f t="shared" ca="1" si="78"/>
        <v>#N/A</v>
      </c>
      <c r="AL268" s="55" t="e">
        <f t="shared" ca="1" si="79"/>
        <v>#N/A</v>
      </c>
      <c r="AM268" s="55" t="e">
        <f t="shared" ca="1" si="80"/>
        <v>#N/A</v>
      </c>
    </row>
    <row r="269" spans="18:39">
      <c r="R269" s="83" t="e">
        <f ca="1"/>
        <v>#N/A</v>
      </c>
      <c r="S269" s="55" t="e">
        <f t="shared" ca="1" si="72"/>
        <v>#N/A</v>
      </c>
      <c r="T269" s="55" t="e">
        <f t="shared" ca="1" si="66"/>
        <v>#N/A</v>
      </c>
      <c r="U269" s="55" t="e">
        <f t="shared" ca="1" si="67"/>
        <v>#N/A</v>
      </c>
      <c r="V269" s="55" t="e">
        <f t="shared" ca="1" si="68"/>
        <v>#N/A</v>
      </c>
      <c r="W269" s="55" t="e">
        <f t="shared" ca="1" si="73"/>
        <v>#N/A</v>
      </c>
      <c r="X269" s="55" t="e">
        <f t="shared" ca="1" si="74"/>
        <v>#N/A</v>
      </c>
      <c r="Y269" s="55" t="e">
        <f t="shared" ca="1" si="75"/>
        <v>#N/A</v>
      </c>
      <c r="Z269" s="55" t="e">
        <f t="shared" ca="1" si="76"/>
        <v>#N/A</v>
      </c>
      <c r="AB269" t="e">
        <f t="shared" ca="1" si="69"/>
        <v>#N/A</v>
      </c>
      <c r="AC269" t="e">
        <f t="shared" ca="1" si="77"/>
        <v>#N/A</v>
      </c>
      <c r="AD269" t="e">
        <f t="shared" ca="1" si="70"/>
        <v>#N/A</v>
      </c>
      <c r="AE269" t="e">
        <f t="shared" ca="1" si="71"/>
        <v>#N/A</v>
      </c>
      <c r="AF269" s="83" t="e">
        <f ca="1"/>
        <v>#N/A</v>
      </c>
      <c r="AG269" s="55" t="e">
        <f t="shared" ca="1" si="81"/>
        <v>#N/A</v>
      </c>
      <c r="AH269" s="55" t="e">
        <f t="shared" ca="1" si="82"/>
        <v>#N/A</v>
      </c>
      <c r="AI269" s="55" t="e">
        <f t="shared" ca="1" si="83"/>
        <v>#N/A</v>
      </c>
      <c r="AJ269" s="55" t="e">
        <f t="shared" ca="1" si="84"/>
        <v>#N/A</v>
      </c>
      <c r="AK269" s="55" t="e">
        <f t="shared" ca="1" si="78"/>
        <v>#N/A</v>
      </c>
      <c r="AL269" s="55" t="e">
        <f t="shared" ca="1" si="79"/>
        <v>#N/A</v>
      </c>
      <c r="AM269" s="55" t="e">
        <f t="shared" ca="1" si="80"/>
        <v>#N/A</v>
      </c>
    </row>
    <row r="270" spans="18:39">
      <c r="R270" s="83" t="e">
        <f ca="1"/>
        <v>#N/A</v>
      </c>
      <c r="S270" s="55" t="e">
        <f t="shared" ca="1" si="72"/>
        <v>#N/A</v>
      </c>
      <c r="T270" s="55" t="e">
        <f t="shared" ca="1" si="66"/>
        <v>#N/A</v>
      </c>
      <c r="U270" s="55" t="e">
        <f t="shared" ca="1" si="67"/>
        <v>#N/A</v>
      </c>
      <c r="V270" s="55" t="e">
        <f t="shared" ca="1" si="68"/>
        <v>#N/A</v>
      </c>
      <c r="W270" s="55" t="e">
        <f t="shared" ca="1" si="73"/>
        <v>#N/A</v>
      </c>
      <c r="X270" s="55" t="e">
        <f t="shared" ca="1" si="74"/>
        <v>#N/A</v>
      </c>
      <c r="Y270" s="55" t="e">
        <f t="shared" ca="1" si="75"/>
        <v>#N/A</v>
      </c>
      <c r="Z270" s="55" t="e">
        <f t="shared" ca="1" si="76"/>
        <v>#N/A</v>
      </c>
      <c r="AB270" t="e">
        <f t="shared" ca="1" si="69"/>
        <v>#N/A</v>
      </c>
      <c r="AC270" t="e">
        <f t="shared" ca="1" si="77"/>
        <v>#N/A</v>
      </c>
      <c r="AD270" t="e">
        <f t="shared" ca="1" si="70"/>
        <v>#N/A</v>
      </c>
      <c r="AE270" t="e">
        <f t="shared" ca="1" si="71"/>
        <v>#N/A</v>
      </c>
      <c r="AF270" s="83" t="e">
        <f ca="1"/>
        <v>#N/A</v>
      </c>
      <c r="AG270" s="55" t="e">
        <f t="shared" ca="1" si="81"/>
        <v>#N/A</v>
      </c>
      <c r="AH270" s="55" t="e">
        <f t="shared" ca="1" si="82"/>
        <v>#N/A</v>
      </c>
      <c r="AI270" s="55" t="e">
        <f t="shared" ca="1" si="83"/>
        <v>#N/A</v>
      </c>
      <c r="AJ270" s="55" t="e">
        <f t="shared" ca="1" si="84"/>
        <v>#N/A</v>
      </c>
      <c r="AK270" s="55" t="e">
        <f t="shared" ca="1" si="78"/>
        <v>#N/A</v>
      </c>
      <c r="AL270" s="55" t="e">
        <f t="shared" ca="1" si="79"/>
        <v>#N/A</v>
      </c>
      <c r="AM270" s="55" t="e">
        <f t="shared" ca="1" si="80"/>
        <v>#N/A</v>
      </c>
    </row>
    <row r="271" spans="18:39">
      <c r="R271" s="83" t="e">
        <f ca="1"/>
        <v>#N/A</v>
      </c>
      <c r="S271" s="55" t="e">
        <f t="shared" ca="1" si="72"/>
        <v>#N/A</v>
      </c>
      <c r="T271" s="55" t="e">
        <f t="shared" ca="1" si="66"/>
        <v>#N/A</v>
      </c>
      <c r="U271" s="55" t="e">
        <f t="shared" ca="1" si="67"/>
        <v>#N/A</v>
      </c>
      <c r="V271" s="55" t="e">
        <f t="shared" ca="1" si="68"/>
        <v>#N/A</v>
      </c>
      <c r="W271" s="55" t="e">
        <f t="shared" ca="1" si="73"/>
        <v>#N/A</v>
      </c>
      <c r="X271" s="55" t="e">
        <f t="shared" ca="1" si="74"/>
        <v>#N/A</v>
      </c>
      <c r="Y271" s="55" t="e">
        <f t="shared" ca="1" si="75"/>
        <v>#N/A</v>
      </c>
      <c r="Z271" s="55" t="e">
        <f t="shared" ca="1" si="76"/>
        <v>#N/A</v>
      </c>
      <c r="AB271" t="e">
        <f t="shared" ca="1" si="69"/>
        <v>#N/A</v>
      </c>
      <c r="AC271" t="e">
        <f t="shared" ca="1" si="77"/>
        <v>#N/A</v>
      </c>
      <c r="AD271" t="e">
        <f t="shared" ca="1" si="70"/>
        <v>#N/A</v>
      </c>
      <c r="AE271" t="e">
        <f t="shared" ca="1" si="71"/>
        <v>#N/A</v>
      </c>
      <c r="AF271" s="83" t="e">
        <f ca="1"/>
        <v>#N/A</v>
      </c>
      <c r="AG271" s="55" t="e">
        <f t="shared" ca="1" si="81"/>
        <v>#N/A</v>
      </c>
      <c r="AH271" s="55" t="e">
        <f t="shared" ca="1" si="82"/>
        <v>#N/A</v>
      </c>
      <c r="AI271" s="55" t="e">
        <f t="shared" ca="1" si="83"/>
        <v>#N/A</v>
      </c>
      <c r="AJ271" s="55" t="e">
        <f t="shared" ca="1" si="84"/>
        <v>#N/A</v>
      </c>
      <c r="AK271" s="55" t="e">
        <f t="shared" ca="1" si="78"/>
        <v>#N/A</v>
      </c>
      <c r="AL271" s="55" t="e">
        <f t="shared" ca="1" si="79"/>
        <v>#N/A</v>
      </c>
      <c r="AM271" s="55" t="e">
        <f t="shared" ca="1" si="80"/>
        <v>#N/A</v>
      </c>
    </row>
    <row r="272" spans="18:39">
      <c r="R272" s="83" t="e">
        <f ca="1"/>
        <v>#N/A</v>
      </c>
      <c r="S272" s="55" t="e">
        <f t="shared" ca="1" si="72"/>
        <v>#N/A</v>
      </c>
      <c r="T272" s="55" t="e">
        <f t="shared" ca="1" si="66"/>
        <v>#N/A</v>
      </c>
      <c r="U272" s="55" t="e">
        <f t="shared" ca="1" si="67"/>
        <v>#N/A</v>
      </c>
      <c r="V272" s="55" t="e">
        <f t="shared" ca="1" si="68"/>
        <v>#N/A</v>
      </c>
      <c r="W272" s="55" t="e">
        <f t="shared" ca="1" si="73"/>
        <v>#N/A</v>
      </c>
      <c r="X272" s="55" t="e">
        <f t="shared" ca="1" si="74"/>
        <v>#N/A</v>
      </c>
      <c r="Y272" s="55" t="e">
        <f t="shared" ca="1" si="75"/>
        <v>#N/A</v>
      </c>
      <c r="Z272" s="55" t="e">
        <f t="shared" ca="1" si="76"/>
        <v>#N/A</v>
      </c>
      <c r="AB272" t="e">
        <f t="shared" ca="1" si="69"/>
        <v>#N/A</v>
      </c>
      <c r="AC272" t="e">
        <f t="shared" ca="1" si="77"/>
        <v>#N/A</v>
      </c>
      <c r="AD272" t="e">
        <f t="shared" ca="1" si="70"/>
        <v>#N/A</v>
      </c>
      <c r="AE272" t="e">
        <f t="shared" ca="1" si="71"/>
        <v>#N/A</v>
      </c>
      <c r="AF272" s="83" t="e">
        <f ca="1"/>
        <v>#N/A</v>
      </c>
      <c r="AG272" s="55" t="e">
        <f t="shared" ca="1" si="81"/>
        <v>#N/A</v>
      </c>
      <c r="AH272" s="55" t="e">
        <f t="shared" ca="1" si="82"/>
        <v>#N/A</v>
      </c>
      <c r="AI272" s="55" t="e">
        <f t="shared" ca="1" si="83"/>
        <v>#N/A</v>
      </c>
      <c r="AJ272" s="55" t="e">
        <f t="shared" ca="1" si="84"/>
        <v>#N/A</v>
      </c>
      <c r="AK272" s="55" t="e">
        <f t="shared" ca="1" si="78"/>
        <v>#N/A</v>
      </c>
      <c r="AL272" s="55" t="e">
        <f t="shared" ca="1" si="79"/>
        <v>#N/A</v>
      </c>
      <c r="AM272" s="55" t="e">
        <f t="shared" ca="1" si="80"/>
        <v>#N/A</v>
      </c>
    </row>
    <row r="273" spans="18:39">
      <c r="R273" s="83" t="e">
        <f ca="1"/>
        <v>#N/A</v>
      </c>
      <c r="S273" s="55" t="e">
        <f t="shared" ca="1" si="72"/>
        <v>#N/A</v>
      </c>
      <c r="T273" s="55" t="e">
        <f t="shared" ca="1" si="66"/>
        <v>#N/A</v>
      </c>
      <c r="U273" s="55" t="e">
        <f t="shared" ca="1" si="67"/>
        <v>#N/A</v>
      </c>
      <c r="V273" s="55" t="e">
        <f t="shared" ca="1" si="68"/>
        <v>#N/A</v>
      </c>
      <c r="W273" s="55" t="e">
        <f t="shared" ca="1" si="73"/>
        <v>#N/A</v>
      </c>
      <c r="X273" s="55" t="e">
        <f t="shared" ca="1" si="74"/>
        <v>#N/A</v>
      </c>
      <c r="Y273" s="55" t="e">
        <f t="shared" ca="1" si="75"/>
        <v>#N/A</v>
      </c>
      <c r="Z273" s="55" t="e">
        <f t="shared" ca="1" si="76"/>
        <v>#N/A</v>
      </c>
      <c r="AB273" t="e">
        <f t="shared" ca="1" si="69"/>
        <v>#N/A</v>
      </c>
      <c r="AC273" t="e">
        <f t="shared" ca="1" si="77"/>
        <v>#N/A</v>
      </c>
      <c r="AD273" t="e">
        <f t="shared" ca="1" si="70"/>
        <v>#N/A</v>
      </c>
      <c r="AE273" t="e">
        <f t="shared" ca="1" si="71"/>
        <v>#N/A</v>
      </c>
      <c r="AF273" s="83" t="e">
        <f ca="1"/>
        <v>#N/A</v>
      </c>
      <c r="AG273" s="55" t="e">
        <f t="shared" ca="1" si="81"/>
        <v>#N/A</v>
      </c>
      <c r="AH273" s="55" t="e">
        <f t="shared" ca="1" si="82"/>
        <v>#N/A</v>
      </c>
      <c r="AI273" s="55" t="e">
        <f t="shared" ca="1" si="83"/>
        <v>#N/A</v>
      </c>
      <c r="AJ273" s="55" t="e">
        <f t="shared" ca="1" si="84"/>
        <v>#N/A</v>
      </c>
      <c r="AK273" s="55" t="e">
        <f t="shared" ca="1" si="78"/>
        <v>#N/A</v>
      </c>
      <c r="AL273" s="55" t="e">
        <f t="shared" ca="1" si="79"/>
        <v>#N/A</v>
      </c>
      <c r="AM273" s="55" t="e">
        <f t="shared" ca="1" si="80"/>
        <v>#N/A</v>
      </c>
    </row>
    <row r="274" spans="18:39">
      <c r="R274" s="83" t="e">
        <f ca="1"/>
        <v>#N/A</v>
      </c>
      <c r="S274" s="55" t="e">
        <f t="shared" ca="1" si="72"/>
        <v>#N/A</v>
      </c>
      <c r="T274" s="55" t="e">
        <f t="shared" ref="T274:T337" ca="1" si="85">VLOOKUP(S274,ModelOutputs,2,FALSE)</f>
        <v>#N/A</v>
      </c>
      <c r="U274" s="55" t="e">
        <f t="shared" ref="U274:U337" ca="1" si="86">VLOOKUP(S274,ModelOutputs,7,FALSE)</f>
        <v>#N/A</v>
      </c>
      <c r="V274" s="55" t="e">
        <f t="shared" ref="V274:V337" ca="1" si="87">VLOOKUP(S274,ModelOutputs,6,FALSE)</f>
        <v>#N/A</v>
      </c>
      <c r="W274" s="55" t="e">
        <f t="shared" ca="1" si="73"/>
        <v>#N/A</v>
      </c>
      <c r="X274" s="55" t="e">
        <f t="shared" ca="1" si="74"/>
        <v>#N/A</v>
      </c>
      <c r="Y274" s="55" t="e">
        <f t="shared" ca="1" si="75"/>
        <v>#N/A</v>
      </c>
      <c r="Z274" s="55" t="e">
        <f t="shared" ca="1" si="76"/>
        <v>#N/A</v>
      </c>
      <c r="AB274" t="e">
        <f t="shared" ref="AB274:AB337" ca="1" si="88">VLOOKUP(S274,ModelOutputs,10,FALSE)*AWC</f>
        <v>#N/A</v>
      </c>
      <c r="AC274" t="e">
        <f t="shared" ca="1" si="77"/>
        <v>#N/A</v>
      </c>
      <c r="AD274" t="e">
        <f t="shared" ref="AD274:AD337" ca="1" si="89">VLOOKUP(S274,ModelOutputs,12,FALSE)</f>
        <v>#N/A</v>
      </c>
      <c r="AE274" t="e">
        <f t="shared" ref="AE274:AE337" ca="1" si="90">VLOOKUP(S274,ModelOutputs,13,FALSE)</f>
        <v>#N/A</v>
      </c>
      <c r="AF274" s="83" t="e">
        <f ca="1"/>
        <v>#N/A</v>
      </c>
      <c r="AG274" s="55" t="e">
        <f t="shared" ca="1" si="81"/>
        <v>#N/A</v>
      </c>
      <c r="AH274" s="55" t="e">
        <f t="shared" ca="1" si="82"/>
        <v>#N/A</v>
      </c>
      <c r="AI274" s="55" t="e">
        <f t="shared" ca="1" si="83"/>
        <v>#N/A</v>
      </c>
      <c r="AJ274" s="55" t="e">
        <f t="shared" ca="1" si="84"/>
        <v>#N/A</v>
      </c>
      <c r="AK274" s="55" t="e">
        <f t="shared" ca="1" si="78"/>
        <v>#N/A</v>
      </c>
      <c r="AL274" s="55" t="e">
        <f t="shared" ca="1" si="79"/>
        <v>#N/A</v>
      </c>
      <c r="AM274" s="55" t="e">
        <f t="shared" ca="1" si="80"/>
        <v>#N/A</v>
      </c>
    </row>
    <row r="275" spans="18:39">
      <c r="R275" s="83" t="e">
        <f ca="1"/>
        <v>#N/A</v>
      </c>
      <c r="S275" s="55" t="e">
        <f t="shared" ref="S275:S338" ca="1" si="91">IF(R275&gt;1,R275,"")</f>
        <v>#N/A</v>
      </c>
      <c r="T275" s="55" t="e">
        <f t="shared" ca="1" si="85"/>
        <v>#N/A</v>
      </c>
      <c r="U275" s="55" t="e">
        <f t="shared" ca="1" si="86"/>
        <v>#N/A</v>
      </c>
      <c r="V275" s="55" t="e">
        <f t="shared" ca="1" si="87"/>
        <v>#N/A</v>
      </c>
      <c r="W275" s="55" t="e">
        <f t="shared" ref="W275:W338" ca="1" si="92">-VLOOKUP(S275,ModelOutputs,9,FALSE)+W274</f>
        <v>#N/A</v>
      </c>
      <c r="X275" s="55" t="e">
        <f t="shared" ref="X275:X338" ca="1" si="93">VLOOKUP(S275,ModelOutputs,5,FALSE)+X274</f>
        <v>#N/A</v>
      </c>
      <c r="Y275" s="55" t="e">
        <f t="shared" ref="Y275:Y338" ca="1" si="94">VLOOKUP(S275,ModelOutputs,4,FALSE)+Y274</f>
        <v>#N/A</v>
      </c>
      <c r="Z275" s="55" t="e">
        <f t="shared" ref="Z275:Z338" ca="1" si="95">VLOOKUP(S275,ModelOutputs,3,FALSE)*10</f>
        <v>#N/A</v>
      </c>
      <c r="AB275" t="e">
        <f t="shared" ca="1" si="88"/>
        <v>#N/A</v>
      </c>
      <c r="AC275" t="e">
        <f t="shared" ref="AC275:AC338" ca="1" si="96">VLOOKUP(S275,ModelOutputs,11,FALSE)+AC274</f>
        <v>#N/A</v>
      </c>
      <c r="AD275" t="e">
        <f t="shared" ca="1" si="89"/>
        <v>#N/A</v>
      </c>
      <c r="AE275" t="e">
        <f t="shared" ca="1" si="90"/>
        <v>#N/A</v>
      </c>
      <c r="AF275" s="83" t="e">
        <f ca="1"/>
        <v>#N/A</v>
      </c>
      <c r="AG275" s="55" t="e">
        <f t="shared" ca="1" si="81"/>
        <v>#N/A</v>
      </c>
      <c r="AH275" s="55" t="e">
        <f t="shared" ca="1" si="82"/>
        <v>#N/A</v>
      </c>
      <c r="AI275" s="55" t="e">
        <f t="shared" ca="1" si="83"/>
        <v>#N/A</v>
      </c>
      <c r="AJ275" s="55" t="e">
        <f t="shared" ca="1" si="84"/>
        <v>#N/A</v>
      </c>
      <c r="AK275" s="55" t="e">
        <f t="shared" ref="AK275:AK338" ca="1" si="97">-VLOOKUP(AG275,ModelOutputs,9,FALSE)+AK274</f>
        <v>#N/A</v>
      </c>
      <c r="AL275" s="55" t="e">
        <f t="shared" ref="AL275:AL338" ca="1" si="98">VLOOKUP(AG275,ModelOutputs,5,FALSE)+AL274</f>
        <v>#N/A</v>
      </c>
      <c r="AM275" s="55" t="e">
        <f t="shared" ref="AM275:AM338" ca="1" si="99">VLOOKUP(AG275,ModelOutputs,4,FALSE)+AM274</f>
        <v>#N/A</v>
      </c>
    </row>
    <row r="276" spans="18:39">
      <c r="R276" s="83" t="e">
        <f ca="1"/>
        <v>#N/A</v>
      </c>
      <c r="S276" s="55" t="e">
        <f t="shared" ca="1" si="91"/>
        <v>#N/A</v>
      </c>
      <c r="T276" s="55" t="e">
        <f t="shared" ca="1" si="85"/>
        <v>#N/A</v>
      </c>
      <c r="U276" s="55" t="e">
        <f t="shared" ca="1" si="86"/>
        <v>#N/A</v>
      </c>
      <c r="V276" s="55" t="e">
        <f t="shared" ca="1" si="87"/>
        <v>#N/A</v>
      </c>
      <c r="W276" s="55" t="e">
        <f t="shared" ca="1" si="92"/>
        <v>#N/A</v>
      </c>
      <c r="X276" s="55" t="e">
        <f t="shared" ca="1" si="93"/>
        <v>#N/A</v>
      </c>
      <c r="Y276" s="55" t="e">
        <f t="shared" ca="1" si="94"/>
        <v>#N/A</v>
      </c>
      <c r="Z276" s="55" t="e">
        <f t="shared" ca="1" si="95"/>
        <v>#N/A</v>
      </c>
      <c r="AB276" t="e">
        <f t="shared" ca="1" si="88"/>
        <v>#N/A</v>
      </c>
      <c r="AC276" t="e">
        <f t="shared" ca="1" si="96"/>
        <v>#N/A</v>
      </c>
      <c r="AD276" t="e">
        <f t="shared" ca="1" si="89"/>
        <v>#N/A</v>
      </c>
      <c r="AE276" t="e">
        <f t="shared" ca="1" si="90"/>
        <v>#N/A</v>
      </c>
      <c r="AF276" s="83" t="e">
        <f ca="1"/>
        <v>#N/A</v>
      </c>
      <c r="AG276" s="55" t="e">
        <f t="shared" ca="1" si="81"/>
        <v>#N/A</v>
      </c>
      <c r="AH276" s="55" t="e">
        <f t="shared" ca="1" si="82"/>
        <v>#N/A</v>
      </c>
      <c r="AI276" s="55" t="e">
        <f t="shared" ca="1" si="83"/>
        <v>#N/A</v>
      </c>
      <c r="AJ276" s="55" t="e">
        <f t="shared" ca="1" si="84"/>
        <v>#N/A</v>
      </c>
      <c r="AK276" s="55" t="e">
        <f t="shared" ca="1" si="97"/>
        <v>#N/A</v>
      </c>
      <c r="AL276" s="55" t="e">
        <f t="shared" ca="1" si="98"/>
        <v>#N/A</v>
      </c>
      <c r="AM276" s="55" t="e">
        <f t="shared" ca="1" si="99"/>
        <v>#N/A</v>
      </c>
    </row>
    <row r="277" spans="18:39">
      <c r="R277" s="83" t="e">
        <f ca="1"/>
        <v>#N/A</v>
      </c>
      <c r="S277" s="55" t="e">
        <f t="shared" ca="1" si="91"/>
        <v>#N/A</v>
      </c>
      <c r="T277" s="55" t="e">
        <f t="shared" ca="1" si="85"/>
        <v>#N/A</v>
      </c>
      <c r="U277" s="55" t="e">
        <f t="shared" ca="1" si="86"/>
        <v>#N/A</v>
      </c>
      <c r="V277" s="55" t="e">
        <f t="shared" ca="1" si="87"/>
        <v>#N/A</v>
      </c>
      <c r="W277" s="55" t="e">
        <f t="shared" ca="1" si="92"/>
        <v>#N/A</v>
      </c>
      <c r="X277" s="55" t="e">
        <f t="shared" ca="1" si="93"/>
        <v>#N/A</v>
      </c>
      <c r="Y277" s="55" t="e">
        <f t="shared" ca="1" si="94"/>
        <v>#N/A</v>
      </c>
      <c r="Z277" s="55" t="e">
        <f t="shared" ca="1" si="95"/>
        <v>#N/A</v>
      </c>
      <c r="AB277" t="e">
        <f t="shared" ca="1" si="88"/>
        <v>#N/A</v>
      </c>
      <c r="AC277" t="e">
        <f t="shared" ca="1" si="96"/>
        <v>#N/A</v>
      </c>
      <c r="AD277" t="e">
        <f t="shared" ca="1" si="89"/>
        <v>#N/A</v>
      </c>
      <c r="AE277" t="e">
        <f t="shared" ca="1" si="90"/>
        <v>#N/A</v>
      </c>
      <c r="AF277" s="83" t="e">
        <f ca="1"/>
        <v>#N/A</v>
      </c>
      <c r="AG277" s="55" t="e">
        <f t="shared" ref="AG277:AG340" ca="1" si="100">IF(AF277&gt;1,AF277,"")</f>
        <v>#N/A</v>
      </c>
      <c r="AH277" s="55" t="e">
        <f t="shared" ref="AH277:AH340" ca="1" si="101">VLOOKUP(AG277,ModelOutputs,2,FALSE)</f>
        <v>#N/A</v>
      </c>
      <c r="AI277" s="55" t="e">
        <f t="shared" ref="AI277:AI340" ca="1" si="102">VLOOKUP(AG277,ModelOutputs,7,FALSE)</f>
        <v>#N/A</v>
      </c>
      <c r="AJ277" s="55" t="e">
        <f t="shared" ref="AJ277:AJ340" ca="1" si="103">VLOOKUP(AG277,ModelOutputs,6,FALSE)</f>
        <v>#N/A</v>
      </c>
      <c r="AK277" s="55" t="e">
        <f t="shared" ca="1" si="97"/>
        <v>#N/A</v>
      </c>
      <c r="AL277" s="55" t="e">
        <f t="shared" ca="1" si="98"/>
        <v>#N/A</v>
      </c>
      <c r="AM277" s="55" t="e">
        <f t="shared" ca="1" si="99"/>
        <v>#N/A</v>
      </c>
    </row>
    <row r="278" spans="18:39">
      <c r="R278" s="83" t="e">
        <f ca="1"/>
        <v>#N/A</v>
      </c>
      <c r="S278" s="55" t="e">
        <f t="shared" ca="1" si="91"/>
        <v>#N/A</v>
      </c>
      <c r="T278" s="55" t="e">
        <f t="shared" ca="1" si="85"/>
        <v>#N/A</v>
      </c>
      <c r="U278" s="55" t="e">
        <f t="shared" ca="1" si="86"/>
        <v>#N/A</v>
      </c>
      <c r="V278" s="55" t="e">
        <f t="shared" ca="1" si="87"/>
        <v>#N/A</v>
      </c>
      <c r="W278" s="55" t="e">
        <f t="shared" ca="1" si="92"/>
        <v>#N/A</v>
      </c>
      <c r="X278" s="55" t="e">
        <f t="shared" ca="1" si="93"/>
        <v>#N/A</v>
      </c>
      <c r="Y278" s="55" t="e">
        <f t="shared" ca="1" si="94"/>
        <v>#N/A</v>
      </c>
      <c r="Z278" s="55" t="e">
        <f t="shared" ca="1" si="95"/>
        <v>#N/A</v>
      </c>
      <c r="AB278" t="e">
        <f t="shared" ca="1" si="88"/>
        <v>#N/A</v>
      </c>
      <c r="AC278" t="e">
        <f t="shared" ca="1" si="96"/>
        <v>#N/A</v>
      </c>
      <c r="AD278" t="e">
        <f t="shared" ca="1" si="89"/>
        <v>#N/A</v>
      </c>
      <c r="AE278" t="e">
        <f t="shared" ca="1" si="90"/>
        <v>#N/A</v>
      </c>
      <c r="AF278" s="83" t="e">
        <f ca="1"/>
        <v>#N/A</v>
      </c>
      <c r="AG278" s="55" t="e">
        <f t="shared" ca="1" si="100"/>
        <v>#N/A</v>
      </c>
      <c r="AH278" s="55" t="e">
        <f t="shared" ca="1" si="101"/>
        <v>#N/A</v>
      </c>
      <c r="AI278" s="55" t="e">
        <f t="shared" ca="1" si="102"/>
        <v>#N/A</v>
      </c>
      <c r="AJ278" s="55" t="e">
        <f t="shared" ca="1" si="103"/>
        <v>#N/A</v>
      </c>
      <c r="AK278" s="55" t="e">
        <f t="shared" ca="1" si="97"/>
        <v>#N/A</v>
      </c>
      <c r="AL278" s="55" t="e">
        <f t="shared" ca="1" si="98"/>
        <v>#N/A</v>
      </c>
      <c r="AM278" s="55" t="e">
        <f t="shared" ca="1" si="99"/>
        <v>#N/A</v>
      </c>
    </row>
    <row r="279" spans="18:39">
      <c r="R279" s="83" t="e">
        <f ca="1"/>
        <v>#N/A</v>
      </c>
      <c r="S279" s="55" t="e">
        <f t="shared" ca="1" si="91"/>
        <v>#N/A</v>
      </c>
      <c r="T279" s="55" t="e">
        <f t="shared" ca="1" si="85"/>
        <v>#N/A</v>
      </c>
      <c r="U279" s="55" t="e">
        <f t="shared" ca="1" si="86"/>
        <v>#N/A</v>
      </c>
      <c r="V279" s="55" t="e">
        <f t="shared" ca="1" si="87"/>
        <v>#N/A</v>
      </c>
      <c r="W279" s="55" t="e">
        <f t="shared" ca="1" si="92"/>
        <v>#N/A</v>
      </c>
      <c r="X279" s="55" t="e">
        <f t="shared" ca="1" si="93"/>
        <v>#N/A</v>
      </c>
      <c r="Y279" s="55" t="e">
        <f t="shared" ca="1" si="94"/>
        <v>#N/A</v>
      </c>
      <c r="Z279" s="55" t="e">
        <f t="shared" ca="1" si="95"/>
        <v>#N/A</v>
      </c>
      <c r="AB279" t="e">
        <f t="shared" ca="1" si="88"/>
        <v>#N/A</v>
      </c>
      <c r="AC279" t="e">
        <f t="shared" ca="1" si="96"/>
        <v>#N/A</v>
      </c>
      <c r="AD279" t="e">
        <f t="shared" ca="1" si="89"/>
        <v>#N/A</v>
      </c>
      <c r="AE279" t="e">
        <f t="shared" ca="1" si="90"/>
        <v>#N/A</v>
      </c>
      <c r="AF279" s="83" t="e">
        <f ca="1"/>
        <v>#N/A</v>
      </c>
      <c r="AG279" s="55" t="e">
        <f t="shared" ca="1" si="100"/>
        <v>#N/A</v>
      </c>
      <c r="AH279" s="55" t="e">
        <f t="shared" ca="1" si="101"/>
        <v>#N/A</v>
      </c>
      <c r="AI279" s="55" t="e">
        <f t="shared" ca="1" si="102"/>
        <v>#N/A</v>
      </c>
      <c r="AJ279" s="55" t="e">
        <f t="shared" ca="1" si="103"/>
        <v>#N/A</v>
      </c>
      <c r="AK279" s="55" t="e">
        <f t="shared" ca="1" si="97"/>
        <v>#N/A</v>
      </c>
      <c r="AL279" s="55" t="e">
        <f t="shared" ca="1" si="98"/>
        <v>#N/A</v>
      </c>
      <c r="AM279" s="55" t="e">
        <f t="shared" ca="1" si="99"/>
        <v>#N/A</v>
      </c>
    </row>
    <row r="280" spans="18:39">
      <c r="R280" s="83" t="e">
        <f ca="1"/>
        <v>#N/A</v>
      </c>
      <c r="S280" s="55" t="e">
        <f t="shared" ca="1" si="91"/>
        <v>#N/A</v>
      </c>
      <c r="T280" s="55" t="e">
        <f t="shared" ca="1" si="85"/>
        <v>#N/A</v>
      </c>
      <c r="U280" s="55" t="e">
        <f t="shared" ca="1" si="86"/>
        <v>#N/A</v>
      </c>
      <c r="V280" s="55" t="e">
        <f t="shared" ca="1" si="87"/>
        <v>#N/A</v>
      </c>
      <c r="W280" s="55" t="e">
        <f t="shared" ca="1" si="92"/>
        <v>#N/A</v>
      </c>
      <c r="X280" s="55" t="e">
        <f t="shared" ca="1" si="93"/>
        <v>#N/A</v>
      </c>
      <c r="Y280" s="55" t="e">
        <f t="shared" ca="1" si="94"/>
        <v>#N/A</v>
      </c>
      <c r="Z280" s="55" t="e">
        <f t="shared" ca="1" si="95"/>
        <v>#N/A</v>
      </c>
      <c r="AB280" t="e">
        <f t="shared" ca="1" si="88"/>
        <v>#N/A</v>
      </c>
      <c r="AC280" t="e">
        <f t="shared" ca="1" si="96"/>
        <v>#N/A</v>
      </c>
      <c r="AD280" t="e">
        <f t="shared" ca="1" si="89"/>
        <v>#N/A</v>
      </c>
      <c r="AE280" t="e">
        <f t="shared" ca="1" si="90"/>
        <v>#N/A</v>
      </c>
      <c r="AF280" s="83" t="e">
        <f ca="1"/>
        <v>#N/A</v>
      </c>
      <c r="AG280" s="55" t="e">
        <f t="shared" ca="1" si="100"/>
        <v>#N/A</v>
      </c>
      <c r="AH280" s="55" t="e">
        <f t="shared" ca="1" si="101"/>
        <v>#N/A</v>
      </c>
      <c r="AI280" s="55" t="e">
        <f t="shared" ca="1" si="102"/>
        <v>#N/A</v>
      </c>
      <c r="AJ280" s="55" t="e">
        <f t="shared" ca="1" si="103"/>
        <v>#N/A</v>
      </c>
      <c r="AK280" s="55" t="e">
        <f t="shared" ca="1" si="97"/>
        <v>#N/A</v>
      </c>
      <c r="AL280" s="55" t="e">
        <f t="shared" ca="1" si="98"/>
        <v>#N/A</v>
      </c>
      <c r="AM280" s="55" t="e">
        <f t="shared" ca="1" si="99"/>
        <v>#N/A</v>
      </c>
    </row>
    <row r="281" spans="18:39">
      <c r="R281" s="83" t="e">
        <f ca="1"/>
        <v>#N/A</v>
      </c>
      <c r="S281" s="55" t="e">
        <f t="shared" ca="1" si="91"/>
        <v>#N/A</v>
      </c>
      <c r="T281" s="55" t="e">
        <f t="shared" ca="1" si="85"/>
        <v>#N/A</v>
      </c>
      <c r="U281" s="55" t="e">
        <f t="shared" ca="1" si="86"/>
        <v>#N/A</v>
      </c>
      <c r="V281" s="55" t="e">
        <f t="shared" ca="1" si="87"/>
        <v>#N/A</v>
      </c>
      <c r="W281" s="55" t="e">
        <f t="shared" ca="1" si="92"/>
        <v>#N/A</v>
      </c>
      <c r="X281" s="55" t="e">
        <f t="shared" ca="1" si="93"/>
        <v>#N/A</v>
      </c>
      <c r="Y281" s="55" t="e">
        <f t="shared" ca="1" si="94"/>
        <v>#N/A</v>
      </c>
      <c r="Z281" s="55" t="e">
        <f t="shared" ca="1" si="95"/>
        <v>#N/A</v>
      </c>
      <c r="AB281" t="e">
        <f t="shared" ca="1" si="88"/>
        <v>#N/A</v>
      </c>
      <c r="AC281" t="e">
        <f t="shared" ca="1" si="96"/>
        <v>#N/A</v>
      </c>
      <c r="AD281" t="e">
        <f t="shared" ca="1" si="89"/>
        <v>#N/A</v>
      </c>
      <c r="AE281" t="e">
        <f t="shared" ca="1" si="90"/>
        <v>#N/A</v>
      </c>
      <c r="AF281" s="83" t="e">
        <f ca="1"/>
        <v>#N/A</v>
      </c>
      <c r="AG281" s="55" t="e">
        <f t="shared" ca="1" si="100"/>
        <v>#N/A</v>
      </c>
      <c r="AH281" s="55" t="e">
        <f t="shared" ca="1" si="101"/>
        <v>#N/A</v>
      </c>
      <c r="AI281" s="55" t="e">
        <f t="shared" ca="1" si="102"/>
        <v>#N/A</v>
      </c>
      <c r="AJ281" s="55" t="e">
        <f t="shared" ca="1" si="103"/>
        <v>#N/A</v>
      </c>
      <c r="AK281" s="55" t="e">
        <f t="shared" ca="1" si="97"/>
        <v>#N/A</v>
      </c>
      <c r="AL281" s="55" t="e">
        <f t="shared" ca="1" si="98"/>
        <v>#N/A</v>
      </c>
      <c r="AM281" s="55" t="e">
        <f t="shared" ca="1" si="99"/>
        <v>#N/A</v>
      </c>
    </row>
    <row r="282" spans="18:39">
      <c r="R282" s="83" t="e">
        <f ca="1"/>
        <v>#N/A</v>
      </c>
      <c r="S282" s="55" t="e">
        <f t="shared" ca="1" si="91"/>
        <v>#N/A</v>
      </c>
      <c r="T282" s="55" t="e">
        <f t="shared" ca="1" si="85"/>
        <v>#N/A</v>
      </c>
      <c r="U282" s="55" t="e">
        <f t="shared" ca="1" si="86"/>
        <v>#N/A</v>
      </c>
      <c r="V282" s="55" t="e">
        <f t="shared" ca="1" si="87"/>
        <v>#N/A</v>
      </c>
      <c r="W282" s="55" t="e">
        <f t="shared" ca="1" si="92"/>
        <v>#N/A</v>
      </c>
      <c r="X282" s="55" t="e">
        <f t="shared" ca="1" si="93"/>
        <v>#N/A</v>
      </c>
      <c r="Y282" s="55" t="e">
        <f t="shared" ca="1" si="94"/>
        <v>#N/A</v>
      </c>
      <c r="Z282" s="55" t="e">
        <f t="shared" ca="1" si="95"/>
        <v>#N/A</v>
      </c>
      <c r="AB282" t="e">
        <f t="shared" ca="1" si="88"/>
        <v>#N/A</v>
      </c>
      <c r="AC282" t="e">
        <f t="shared" ca="1" si="96"/>
        <v>#N/A</v>
      </c>
      <c r="AD282" t="e">
        <f t="shared" ca="1" si="89"/>
        <v>#N/A</v>
      </c>
      <c r="AE282" t="e">
        <f t="shared" ca="1" si="90"/>
        <v>#N/A</v>
      </c>
      <c r="AF282" s="83" t="e">
        <f ca="1"/>
        <v>#N/A</v>
      </c>
      <c r="AG282" s="55" t="e">
        <f t="shared" ca="1" si="100"/>
        <v>#N/A</v>
      </c>
      <c r="AH282" s="55" t="e">
        <f t="shared" ca="1" si="101"/>
        <v>#N/A</v>
      </c>
      <c r="AI282" s="55" t="e">
        <f t="shared" ca="1" si="102"/>
        <v>#N/A</v>
      </c>
      <c r="AJ282" s="55" t="e">
        <f t="shared" ca="1" si="103"/>
        <v>#N/A</v>
      </c>
      <c r="AK282" s="55" t="e">
        <f t="shared" ca="1" si="97"/>
        <v>#N/A</v>
      </c>
      <c r="AL282" s="55" t="e">
        <f t="shared" ca="1" si="98"/>
        <v>#N/A</v>
      </c>
      <c r="AM282" s="55" t="e">
        <f t="shared" ca="1" si="99"/>
        <v>#N/A</v>
      </c>
    </row>
    <row r="283" spans="18:39">
      <c r="R283" s="83" t="e">
        <f ca="1"/>
        <v>#N/A</v>
      </c>
      <c r="S283" s="55" t="e">
        <f t="shared" ca="1" si="91"/>
        <v>#N/A</v>
      </c>
      <c r="T283" s="55" t="e">
        <f t="shared" ca="1" si="85"/>
        <v>#N/A</v>
      </c>
      <c r="U283" s="55" t="e">
        <f t="shared" ca="1" si="86"/>
        <v>#N/A</v>
      </c>
      <c r="V283" s="55" t="e">
        <f t="shared" ca="1" si="87"/>
        <v>#N/A</v>
      </c>
      <c r="W283" s="55" t="e">
        <f t="shared" ca="1" si="92"/>
        <v>#N/A</v>
      </c>
      <c r="X283" s="55" t="e">
        <f t="shared" ca="1" si="93"/>
        <v>#N/A</v>
      </c>
      <c r="Y283" s="55" t="e">
        <f t="shared" ca="1" si="94"/>
        <v>#N/A</v>
      </c>
      <c r="Z283" s="55" t="e">
        <f t="shared" ca="1" si="95"/>
        <v>#N/A</v>
      </c>
      <c r="AB283" t="e">
        <f t="shared" ca="1" si="88"/>
        <v>#N/A</v>
      </c>
      <c r="AC283" t="e">
        <f t="shared" ca="1" si="96"/>
        <v>#N/A</v>
      </c>
      <c r="AD283" t="e">
        <f t="shared" ca="1" si="89"/>
        <v>#N/A</v>
      </c>
      <c r="AE283" t="e">
        <f t="shared" ca="1" si="90"/>
        <v>#N/A</v>
      </c>
      <c r="AF283" s="83" t="e">
        <f ca="1"/>
        <v>#N/A</v>
      </c>
      <c r="AG283" s="55" t="e">
        <f t="shared" ca="1" si="100"/>
        <v>#N/A</v>
      </c>
      <c r="AH283" s="55" t="e">
        <f t="shared" ca="1" si="101"/>
        <v>#N/A</v>
      </c>
      <c r="AI283" s="55" t="e">
        <f t="shared" ca="1" si="102"/>
        <v>#N/A</v>
      </c>
      <c r="AJ283" s="55" t="e">
        <f t="shared" ca="1" si="103"/>
        <v>#N/A</v>
      </c>
      <c r="AK283" s="55" t="e">
        <f t="shared" ca="1" si="97"/>
        <v>#N/A</v>
      </c>
      <c r="AL283" s="55" t="e">
        <f t="shared" ca="1" si="98"/>
        <v>#N/A</v>
      </c>
      <c r="AM283" s="55" t="e">
        <f t="shared" ca="1" si="99"/>
        <v>#N/A</v>
      </c>
    </row>
    <row r="284" spans="18:39">
      <c r="R284" s="83" t="e">
        <f ca="1"/>
        <v>#N/A</v>
      </c>
      <c r="S284" s="55" t="e">
        <f t="shared" ca="1" si="91"/>
        <v>#N/A</v>
      </c>
      <c r="T284" s="55" t="e">
        <f t="shared" ca="1" si="85"/>
        <v>#N/A</v>
      </c>
      <c r="U284" s="55" t="e">
        <f t="shared" ca="1" si="86"/>
        <v>#N/A</v>
      </c>
      <c r="V284" s="55" t="e">
        <f t="shared" ca="1" si="87"/>
        <v>#N/A</v>
      </c>
      <c r="W284" s="55" t="e">
        <f t="shared" ca="1" si="92"/>
        <v>#N/A</v>
      </c>
      <c r="X284" s="55" t="e">
        <f t="shared" ca="1" si="93"/>
        <v>#N/A</v>
      </c>
      <c r="Y284" s="55" t="e">
        <f t="shared" ca="1" si="94"/>
        <v>#N/A</v>
      </c>
      <c r="Z284" s="55" t="e">
        <f t="shared" ca="1" si="95"/>
        <v>#N/A</v>
      </c>
      <c r="AB284" t="e">
        <f t="shared" ca="1" si="88"/>
        <v>#N/A</v>
      </c>
      <c r="AC284" t="e">
        <f t="shared" ca="1" si="96"/>
        <v>#N/A</v>
      </c>
      <c r="AD284" t="e">
        <f t="shared" ca="1" si="89"/>
        <v>#N/A</v>
      </c>
      <c r="AE284" t="e">
        <f t="shared" ca="1" si="90"/>
        <v>#N/A</v>
      </c>
      <c r="AF284" s="83" t="e">
        <f ca="1"/>
        <v>#N/A</v>
      </c>
      <c r="AG284" s="55" t="e">
        <f t="shared" ca="1" si="100"/>
        <v>#N/A</v>
      </c>
      <c r="AH284" s="55" t="e">
        <f t="shared" ca="1" si="101"/>
        <v>#N/A</v>
      </c>
      <c r="AI284" s="55" t="e">
        <f t="shared" ca="1" si="102"/>
        <v>#N/A</v>
      </c>
      <c r="AJ284" s="55" t="e">
        <f t="shared" ca="1" si="103"/>
        <v>#N/A</v>
      </c>
      <c r="AK284" s="55" t="e">
        <f t="shared" ca="1" si="97"/>
        <v>#N/A</v>
      </c>
      <c r="AL284" s="55" t="e">
        <f t="shared" ca="1" si="98"/>
        <v>#N/A</v>
      </c>
      <c r="AM284" s="55" t="e">
        <f t="shared" ca="1" si="99"/>
        <v>#N/A</v>
      </c>
    </row>
    <row r="285" spans="18:39">
      <c r="R285" s="83" t="e">
        <f ca="1"/>
        <v>#N/A</v>
      </c>
      <c r="S285" s="55" t="e">
        <f t="shared" ca="1" si="91"/>
        <v>#N/A</v>
      </c>
      <c r="T285" s="55" t="e">
        <f t="shared" ca="1" si="85"/>
        <v>#N/A</v>
      </c>
      <c r="U285" s="55" t="e">
        <f t="shared" ca="1" si="86"/>
        <v>#N/A</v>
      </c>
      <c r="V285" s="55" t="e">
        <f t="shared" ca="1" si="87"/>
        <v>#N/A</v>
      </c>
      <c r="W285" s="55" t="e">
        <f t="shared" ca="1" si="92"/>
        <v>#N/A</v>
      </c>
      <c r="X285" s="55" t="e">
        <f t="shared" ca="1" si="93"/>
        <v>#N/A</v>
      </c>
      <c r="Y285" s="55" t="e">
        <f t="shared" ca="1" si="94"/>
        <v>#N/A</v>
      </c>
      <c r="Z285" s="55" t="e">
        <f t="shared" ca="1" si="95"/>
        <v>#N/A</v>
      </c>
      <c r="AB285" t="e">
        <f t="shared" ca="1" si="88"/>
        <v>#N/A</v>
      </c>
      <c r="AC285" t="e">
        <f t="shared" ca="1" si="96"/>
        <v>#N/A</v>
      </c>
      <c r="AD285" t="e">
        <f t="shared" ca="1" si="89"/>
        <v>#N/A</v>
      </c>
      <c r="AE285" t="e">
        <f t="shared" ca="1" si="90"/>
        <v>#N/A</v>
      </c>
      <c r="AF285" s="83" t="e">
        <f ca="1"/>
        <v>#N/A</v>
      </c>
      <c r="AG285" s="55" t="e">
        <f t="shared" ca="1" si="100"/>
        <v>#N/A</v>
      </c>
      <c r="AH285" s="55" t="e">
        <f t="shared" ca="1" si="101"/>
        <v>#N/A</v>
      </c>
      <c r="AI285" s="55" t="e">
        <f t="shared" ca="1" si="102"/>
        <v>#N/A</v>
      </c>
      <c r="AJ285" s="55" t="e">
        <f t="shared" ca="1" si="103"/>
        <v>#N/A</v>
      </c>
      <c r="AK285" s="55" t="e">
        <f t="shared" ca="1" si="97"/>
        <v>#N/A</v>
      </c>
      <c r="AL285" s="55" t="e">
        <f t="shared" ca="1" si="98"/>
        <v>#N/A</v>
      </c>
      <c r="AM285" s="55" t="e">
        <f t="shared" ca="1" si="99"/>
        <v>#N/A</v>
      </c>
    </row>
    <row r="286" spans="18:39">
      <c r="R286" s="83" t="e">
        <f ca="1"/>
        <v>#N/A</v>
      </c>
      <c r="S286" s="55" t="e">
        <f t="shared" ca="1" si="91"/>
        <v>#N/A</v>
      </c>
      <c r="T286" s="55" t="e">
        <f t="shared" ca="1" si="85"/>
        <v>#N/A</v>
      </c>
      <c r="U286" s="55" t="e">
        <f t="shared" ca="1" si="86"/>
        <v>#N/A</v>
      </c>
      <c r="V286" s="55" t="e">
        <f t="shared" ca="1" si="87"/>
        <v>#N/A</v>
      </c>
      <c r="W286" s="55" t="e">
        <f t="shared" ca="1" si="92"/>
        <v>#N/A</v>
      </c>
      <c r="X286" s="55" t="e">
        <f t="shared" ca="1" si="93"/>
        <v>#N/A</v>
      </c>
      <c r="Y286" s="55" t="e">
        <f t="shared" ca="1" si="94"/>
        <v>#N/A</v>
      </c>
      <c r="Z286" s="55" t="e">
        <f t="shared" ca="1" si="95"/>
        <v>#N/A</v>
      </c>
      <c r="AB286" t="e">
        <f t="shared" ca="1" si="88"/>
        <v>#N/A</v>
      </c>
      <c r="AC286" t="e">
        <f t="shared" ca="1" si="96"/>
        <v>#N/A</v>
      </c>
      <c r="AD286" t="e">
        <f t="shared" ca="1" si="89"/>
        <v>#N/A</v>
      </c>
      <c r="AE286" t="e">
        <f t="shared" ca="1" si="90"/>
        <v>#N/A</v>
      </c>
      <c r="AF286" s="83" t="e">
        <f ca="1"/>
        <v>#N/A</v>
      </c>
      <c r="AG286" s="55" t="e">
        <f t="shared" ca="1" si="100"/>
        <v>#N/A</v>
      </c>
      <c r="AH286" s="55" t="e">
        <f t="shared" ca="1" si="101"/>
        <v>#N/A</v>
      </c>
      <c r="AI286" s="55" t="e">
        <f t="shared" ca="1" si="102"/>
        <v>#N/A</v>
      </c>
      <c r="AJ286" s="55" t="e">
        <f t="shared" ca="1" si="103"/>
        <v>#N/A</v>
      </c>
      <c r="AK286" s="55" t="e">
        <f t="shared" ca="1" si="97"/>
        <v>#N/A</v>
      </c>
      <c r="AL286" s="55" t="e">
        <f t="shared" ca="1" si="98"/>
        <v>#N/A</v>
      </c>
      <c r="AM286" s="55" t="e">
        <f t="shared" ca="1" si="99"/>
        <v>#N/A</v>
      </c>
    </row>
    <row r="287" spans="18:39">
      <c r="R287" s="83" t="e">
        <f ca="1"/>
        <v>#N/A</v>
      </c>
      <c r="S287" s="55" t="e">
        <f t="shared" ca="1" si="91"/>
        <v>#N/A</v>
      </c>
      <c r="T287" s="55" t="e">
        <f t="shared" ca="1" si="85"/>
        <v>#N/A</v>
      </c>
      <c r="U287" s="55" t="e">
        <f t="shared" ca="1" si="86"/>
        <v>#N/A</v>
      </c>
      <c r="V287" s="55" t="e">
        <f t="shared" ca="1" si="87"/>
        <v>#N/A</v>
      </c>
      <c r="W287" s="55" t="e">
        <f t="shared" ca="1" si="92"/>
        <v>#N/A</v>
      </c>
      <c r="X287" s="55" t="e">
        <f t="shared" ca="1" si="93"/>
        <v>#N/A</v>
      </c>
      <c r="Y287" s="55" t="e">
        <f t="shared" ca="1" si="94"/>
        <v>#N/A</v>
      </c>
      <c r="Z287" s="55" t="e">
        <f t="shared" ca="1" si="95"/>
        <v>#N/A</v>
      </c>
      <c r="AB287" t="e">
        <f t="shared" ca="1" si="88"/>
        <v>#N/A</v>
      </c>
      <c r="AC287" t="e">
        <f t="shared" ca="1" si="96"/>
        <v>#N/A</v>
      </c>
      <c r="AD287" t="e">
        <f t="shared" ca="1" si="89"/>
        <v>#N/A</v>
      </c>
      <c r="AE287" t="e">
        <f t="shared" ca="1" si="90"/>
        <v>#N/A</v>
      </c>
      <c r="AF287" s="83" t="e">
        <f ca="1"/>
        <v>#N/A</v>
      </c>
      <c r="AG287" s="55" t="e">
        <f t="shared" ca="1" si="100"/>
        <v>#N/A</v>
      </c>
      <c r="AH287" s="55" t="e">
        <f t="shared" ca="1" si="101"/>
        <v>#N/A</v>
      </c>
      <c r="AI287" s="55" t="e">
        <f t="shared" ca="1" si="102"/>
        <v>#N/A</v>
      </c>
      <c r="AJ287" s="55" t="e">
        <f t="shared" ca="1" si="103"/>
        <v>#N/A</v>
      </c>
      <c r="AK287" s="55" t="e">
        <f t="shared" ca="1" si="97"/>
        <v>#N/A</v>
      </c>
      <c r="AL287" s="55" t="e">
        <f t="shared" ca="1" si="98"/>
        <v>#N/A</v>
      </c>
      <c r="AM287" s="55" t="e">
        <f t="shared" ca="1" si="99"/>
        <v>#N/A</v>
      </c>
    </row>
    <row r="288" spans="18:39">
      <c r="R288" s="83" t="e">
        <f ca="1"/>
        <v>#N/A</v>
      </c>
      <c r="S288" s="55" t="e">
        <f t="shared" ca="1" si="91"/>
        <v>#N/A</v>
      </c>
      <c r="T288" s="55" t="e">
        <f t="shared" ca="1" si="85"/>
        <v>#N/A</v>
      </c>
      <c r="U288" s="55" t="e">
        <f t="shared" ca="1" si="86"/>
        <v>#N/A</v>
      </c>
      <c r="V288" s="55" t="e">
        <f t="shared" ca="1" si="87"/>
        <v>#N/A</v>
      </c>
      <c r="W288" s="55" t="e">
        <f t="shared" ca="1" si="92"/>
        <v>#N/A</v>
      </c>
      <c r="X288" s="55" t="e">
        <f t="shared" ca="1" si="93"/>
        <v>#N/A</v>
      </c>
      <c r="Y288" s="55" t="e">
        <f t="shared" ca="1" si="94"/>
        <v>#N/A</v>
      </c>
      <c r="Z288" s="55" t="e">
        <f t="shared" ca="1" si="95"/>
        <v>#N/A</v>
      </c>
      <c r="AB288" t="e">
        <f t="shared" ca="1" si="88"/>
        <v>#N/A</v>
      </c>
      <c r="AC288" t="e">
        <f t="shared" ca="1" si="96"/>
        <v>#N/A</v>
      </c>
      <c r="AD288" t="e">
        <f t="shared" ca="1" si="89"/>
        <v>#N/A</v>
      </c>
      <c r="AE288" t="e">
        <f t="shared" ca="1" si="90"/>
        <v>#N/A</v>
      </c>
      <c r="AF288" s="83" t="e">
        <f ca="1"/>
        <v>#N/A</v>
      </c>
      <c r="AG288" s="55" t="e">
        <f t="shared" ca="1" si="100"/>
        <v>#N/A</v>
      </c>
      <c r="AH288" s="55" t="e">
        <f t="shared" ca="1" si="101"/>
        <v>#N/A</v>
      </c>
      <c r="AI288" s="55" t="e">
        <f t="shared" ca="1" si="102"/>
        <v>#N/A</v>
      </c>
      <c r="AJ288" s="55" t="e">
        <f t="shared" ca="1" si="103"/>
        <v>#N/A</v>
      </c>
      <c r="AK288" s="55" t="e">
        <f t="shared" ca="1" si="97"/>
        <v>#N/A</v>
      </c>
      <c r="AL288" s="55" t="e">
        <f t="shared" ca="1" si="98"/>
        <v>#N/A</v>
      </c>
      <c r="AM288" s="55" t="e">
        <f t="shared" ca="1" si="99"/>
        <v>#N/A</v>
      </c>
    </row>
    <row r="289" spans="18:39">
      <c r="R289" s="83" t="e">
        <f ca="1"/>
        <v>#N/A</v>
      </c>
      <c r="S289" s="55" t="e">
        <f t="shared" ca="1" si="91"/>
        <v>#N/A</v>
      </c>
      <c r="T289" s="55" t="e">
        <f t="shared" ca="1" si="85"/>
        <v>#N/A</v>
      </c>
      <c r="U289" s="55" t="e">
        <f t="shared" ca="1" si="86"/>
        <v>#N/A</v>
      </c>
      <c r="V289" s="55" t="e">
        <f t="shared" ca="1" si="87"/>
        <v>#N/A</v>
      </c>
      <c r="W289" s="55" t="e">
        <f t="shared" ca="1" si="92"/>
        <v>#N/A</v>
      </c>
      <c r="X289" s="55" t="e">
        <f t="shared" ca="1" si="93"/>
        <v>#N/A</v>
      </c>
      <c r="Y289" s="55" t="e">
        <f t="shared" ca="1" si="94"/>
        <v>#N/A</v>
      </c>
      <c r="Z289" s="55" t="e">
        <f t="shared" ca="1" si="95"/>
        <v>#N/A</v>
      </c>
      <c r="AB289" t="e">
        <f t="shared" ca="1" si="88"/>
        <v>#N/A</v>
      </c>
      <c r="AC289" t="e">
        <f t="shared" ca="1" si="96"/>
        <v>#N/A</v>
      </c>
      <c r="AD289" t="e">
        <f t="shared" ca="1" si="89"/>
        <v>#N/A</v>
      </c>
      <c r="AE289" t="e">
        <f t="shared" ca="1" si="90"/>
        <v>#N/A</v>
      </c>
      <c r="AF289" s="83" t="e">
        <f ca="1"/>
        <v>#N/A</v>
      </c>
      <c r="AG289" s="55" t="e">
        <f t="shared" ca="1" si="100"/>
        <v>#N/A</v>
      </c>
      <c r="AH289" s="55" t="e">
        <f t="shared" ca="1" si="101"/>
        <v>#N/A</v>
      </c>
      <c r="AI289" s="55" t="e">
        <f t="shared" ca="1" si="102"/>
        <v>#N/A</v>
      </c>
      <c r="AJ289" s="55" t="e">
        <f t="shared" ca="1" si="103"/>
        <v>#N/A</v>
      </c>
      <c r="AK289" s="55" t="e">
        <f t="shared" ca="1" si="97"/>
        <v>#N/A</v>
      </c>
      <c r="AL289" s="55" t="e">
        <f t="shared" ca="1" si="98"/>
        <v>#N/A</v>
      </c>
      <c r="AM289" s="55" t="e">
        <f t="shared" ca="1" si="99"/>
        <v>#N/A</v>
      </c>
    </row>
    <row r="290" spans="18:39">
      <c r="R290" s="83" t="e">
        <f ca="1"/>
        <v>#N/A</v>
      </c>
      <c r="S290" s="55" t="e">
        <f t="shared" ca="1" si="91"/>
        <v>#N/A</v>
      </c>
      <c r="T290" s="55" t="e">
        <f t="shared" ca="1" si="85"/>
        <v>#N/A</v>
      </c>
      <c r="U290" s="55" t="e">
        <f t="shared" ca="1" si="86"/>
        <v>#N/A</v>
      </c>
      <c r="V290" s="55" t="e">
        <f t="shared" ca="1" si="87"/>
        <v>#N/A</v>
      </c>
      <c r="W290" s="55" t="e">
        <f t="shared" ca="1" si="92"/>
        <v>#N/A</v>
      </c>
      <c r="X290" s="55" t="e">
        <f t="shared" ca="1" si="93"/>
        <v>#N/A</v>
      </c>
      <c r="Y290" s="55" t="e">
        <f t="shared" ca="1" si="94"/>
        <v>#N/A</v>
      </c>
      <c r="Z290" s="55" t="e">
        <f t="shared" ca="1" si="95"/>
        <v>#N/A</v>
      </c>
      <c r="AB290" t="e">
        <f t="shared" ca="1" si="88"/>
        <v>#N/A</v>
      </c>
      <c r="AC290" t="e">
        <f t="shared" ca="1" si="96"/>
        <v>#N/A</v>
      </c>
      <c r="AD290" t="e">
        <f t="shared" ca="1" si="89"/>
        <v>#N/A</v>
      </c>
      <c r="AE290" t="e">
        <f t="shared" ca="1" si="90"/>
        <v>#N/A</v>
      </c>
      <c r="AF290" s="83" t="e">
        <f ca="1"/>
        <v>#N/A</v>
      </c>
      <c r="AG290" s="55" t="e">
        <f t="shared" ca="1" si="100"/>
        <v>#N/A</v>
      </c>
      <c r="AH290" s="55" t="e">
        <f t="shared" ca="1" si="101"/>
        <v>#N/A</v>
      </c>
      <c r="AI290" s="55" t="e">
        <f t="shared" ca="1" si="102"/>
        <v>#N/A</v>
      </c>
      <c r="AJ290" s="55" t="e">
        <f t="shared" ca="1" si="103"/>
        <v>#N/A</v>
      </c>
      <c r="AK290" s="55" t="e">
        <f t="shared" ca="1" si="97"/>
        <v>#N/A</v>
      </c>
      <c r="AL290" s="55" t="e">
        <f t="shared" ca="1" si="98"/>
        <v>#N/A</v>
      </c>
      <c r="AM290" s="55" t="e">
        <f t="shared" ca="1" si="99"/>
        <v>#N/A</v>
      </c>
    </row>
    <row r="291" spans="18:39">
      <c r="R291" s="83" t="e">
        <f ca="1"/>
        <v>#N/A</v>
      </c>
      <c r="S291" s="55" t="e">
        <f t="shared" ca="1" si="91"/>
        <v>#N/A</v>
      </c>
      <c r="T291" s="55" t="e">
        <f t="shared" ca="1" si="85"/>
        <v>#N/A</v>
      </c>
      <c r="U291" s="55" t="e">
        <f t="shared" ca="1" si="86"/>
        <v>#N/A</v>
      </c>
      <c r="V291" s="55" t="e">
        <f t="shared" ca="1" si="87"/>
        <v>#N/A</v>
      </c>
      <c r="W291" s="55" t="e">
        <f t="shared" ca="1" si="92"/>
        <v>#N/A</v>
      </c>
      <c r="X291" s="55" t="e">
        <f t="shared" ca="1" si="93"/>
        <v>#N/A</v>
      </c>
      <c r="Y291" s="55" t="e">
        <f t="shared" ca="1" si="94"/>
        <v>#N/A</v>
      </c>
      <c r="Z291" s="55" t="e">
        <f t="shared" ca="1" si="95"/>
        <v>#N/A</v>
      </c>
      <c r="AB291" t="e">
        <f t="shared" ca="1" si="88"/>
        <v>#N/A</v>
      </c>
      <c r="AC291" t="e">
        <f t="shared" ca="1" si="96"/>
        <v>#N/A</v>
      </c>
      <c r="AD291" t="e">
        <f t="shared" ca="1" si="89"/>
        <v>#N/A</v>
      </c>
      <c r="AE291" t="e">
        <f t="shared" ca="1" si="90"/>
        <v>#N/A</v>
      </c>
      <c r="AF291" s="83" t="e">
        <f ca="1"/>
        <v>#N/A</v>
      </c>
      <c r="AG291" s="55" t="e">
        <f t="shared" ca="1" si="100"/>
        <v>#N/A</v>
      </c>
      <c r="AH291" s="55" t="e">
        <f t="shared" ca="1" si="101"/>
        <v>#N/A</v>
      </c>
      <c r="AI291" s="55" t="e">
        <f t="shared" ca="1" si="102"/>
        <v>#N/A</v>
      </c>
      <c r="AJ291" s="55" t="e">
        <f t="shared" ca="1" si="103"/>
        <v>#N/A</v>
      </c>
      <c r="AK291" s="55" t="e">
        <f t="shared" ca="1" si="97"/>
        <v>#N/A</v>
      </c>
      <c r="AL291" s="55" t="e">
        <f t="shared" ca="1" si="98"/>
        <v>#N/A</v>
      </c>
      <c r="AM291" s="55" t="e">
        <f t="shared" ca="1" si="99"/>
        <v>#N/A</v>
      </c>
    </row>
    <row r="292" spans="18:39">
      <c r="R292" s="83" t="e">
        <f ca="1"/>
        <v>#N/A</v>
      </c>
      <c r="S292" s="55" t="e">
        <f t="shared" ca="1" si="91"/>
        <v>#N/A</v>
      </c>
      <c r="T292" s="55" t="e">
        <f t="shared" ca="1" si="85"/>
        <v>#N/A</v>
      </c>
      <c r="U292" s="55" t="e">
        <f t="shared" ca="1" si="86"/>
        <v>#N/A</v>
      </c>
      <c r="V292" s="55" t="e">
        <f t="shared" ca="1" si="87"/>
        <v>#N/A</v>
      </c>
      <c r="W292" s="55" t="e">
        <f t="shared" ca="1" si="92"/>
        <v>#N/A</v>
      </c>
      <c r="X292" s="55" t="e">
        <f t="shared" ca="1" si="93"/>
        <v>#N/A</v>
      </c>
      <c r="Y292" s="55" t="e">
        <f t="shared" ca="1" si="94"/>
        <v>#N/A</v>
      </c>
      <c r="Z292" s="55" t="e">
        <f t="shared" ca="1" si="95"/>
        <v>#N/A</v>
      </c>
      <c r="AB292" t="e">
        <f t="shared" ca="1" si="88"/>
        <v>#N/A</v>
      </c>
      <c r="AC292" t="e">
        <f t="shared" ca="1" si="96"/>
        <v>#N/A</v>
      </c>
      <c r="AD292" t="e">
        <f t="shared" ca="1" si="89"/>
        <v>#N/A</v>
      </c>
      <c r="AE292" t="e">
        <f t="shared" ca="1" si="90"/>
        <v>#N/A</v>
      </c>
      <c r="AF292" s="83" t="e">
        <f ca="1"/>
        <v>#N/A</v>
      </c>
      <c r="AG292" s="55" t="e">
        <f t="shared" ca="1" si="100"/>
        <v>#N/A</v>
      </c>
      <c r="AH292" s="55" t="e">
        <f t="shared" ca="1" si="101"/>
        <v>#N/A</v>
      </c>
      <c r="AI292" s="55" t="e">
        <f t="shared" ca="1" si="102"/>
        <v>#N/A</v>
      </c>
      <c r="AJ292" s="55" t="e">
        <f t="shared" ca="1" si="103"/>
        <v>#N/A</v>
      </c>
      <c r="AK292" s="55" t="e">
        <f t="shared" ca="1" si="97"/>
        <v>#N/A</v>
      </c>
      <c r="AL292" s="55" t="e">
        <f t="shared" ca="1" si="98"/>
        <v>#N/A</v>
      </c>
      <c r="AM292" s="55" t="e">
        <f t="shared" ca="1" si="99"/>
        <v>#N/A</v>
      </c>
    </row>
    <row r="293" spans="18:39">
      <c r="R293" s="83" t="e">
        <f ca="1"/>
        <v>#N/A</v>
      </c>
      <c r="S293" s="55" t="e">
        <f t="shared" ca="1" si="91"/>
        <v>#N/A</v>
      </c>
      <c r="T293" s="55" t="e">
        <f t="shared" ca="1" si="85"/>
        <v>#N/A</v>
      </c>
      <c r="U293" s="55" t="e">
        <f t="shared" ca="1" si="86"/>
        <v>#N/A</v>
      </c>
      <c r="V293" s="55" t="e">
        <f t="shared" ca="1" si="87"/>
        <v>#N/A</v>
      </c>
      <c r="W293" s="55" t="e">
        <f t="shared" ca="1" si="92"/>
        <v>#N/A</v>
      </c>
      <c r="X293" s="55" t="e">
        <f t="shared" ca="1" si="93"/>
        <v>#N/A</v>
      </c>
      <c r="Y293" s="55" t="e">
        <f t="shared" ca="1" si="94"/>
        <v>#N/A</v>
      </c>
      <c r="Z293" s="55" t="e">
        <f t="shared" ca="1" si="95"/>
        <v>#N/A</v>
      </c>
      <c r="AB293" t="e">
        <f t="shared" ca="1" si="88"/>
        <v>#N/A</v>
      </c>
      <c r="AC293" t="e">
        <f t="shared" ca="1" si="96"/>
        <v>#N/A</v>
      </c>
      <c r="AD293" t="e">
        <f t="shared" ca="1" si="89"/>
        <v>#N/A</v>
      </c>
      <c r="AE293" t="e">
        <f t="shared" ca="1" si="90"/>
        <v>#N/A</v>
      </c>
      <c r="AF293" s="83" t="e">
        <f ca="1"/>
        <v>#N/A</v>
      </c>
      <c r="AG293" s="55" t="e">
        <f t="shared" ca="1" si="100"/>
        <v>#N/A</v>
      </c>
      <c r="AH293" s="55" t="e">
        <f t="shared" ca="1" si="101"/>
        <v>#N/A</v>
      </c>
      <c r="AI293" s="55" t="e">
        <f t="shared" ca="1" si="102"/>
        <v>#N/A</v>
      </c>
      <c r="AJ293" s="55" t="e">
        <f t="shared" ca="1" si="103"/>
        <v>#N/A</v>
      </c>
      <c r="AK293" s="55" t="e">
        <f t="shared" ca="1" si="97"/>
        <v>#N/A</v>
      </c>
      <c r="AL293" s="55" t="e">
        <f t="shared" ca="1" si="98"/>
        <v>#N/A</v>
      </c>
      <c r="AM293" s="55" t="e">
        <f t="shared" ca="1" si="99"/>
        <v>#N/A</v>
      </c>
    </row>
    <row r="294" spans="18:39">
      <c r="R294" s="83" t="e">
        <f ca="1"/>
        <v>#N/A</v>
      </c>
      <c r="S294" s="55" t="e">
        <f t="shared" ca="1" si="91"/>
        <v>#N/A</v>
      </c>
      <c r="T294" s="55" t="e">
        <f t="shared" ca="1" si="85"/>
        <v>#N/A</v>
      </c>
      <c r="U294" s="55" t="e">
        <f t="shared" ca="1" si="86"/>
        <v>#N/A</v>
      </c>
      <c r="V294" s="55" t="e">
        <f t="shared" ca="1" si="87"/>
        <v>#N/A</v>
      </c>
      <c r="W294" s="55" t="e">
        <f t="shared" ca="1" si="92"/>
        <v>#N/A</v>
      </c>
      <c r="X294" s="55" t="e">
        <f t="shared" ca="1" si="93"/>
        <v>#N/A</v>
      </c>
      <c r="Y294" s="55" t="e">
        <f t="shared" ca="1" si="94"/>
        <v>#N/A</v>
      </c>
      <c r="Z294" s="55" t="e">
        <f t="shared" ca="1" si="95"/>
        <v>#N/A</v>
      </c>
      <c r="AB294" t="e">
        <f t="shared" ca="1" si="88"/>
        <v>#N/A</v>
      </c>
      <c r="AC294" t="e">
        <f t="shared" ca="1" si="96"/>
        <v>#N/A</v>
      </c>
      <c r="AD294" t="e">
        <f t="shared" ca="1" si="89"/>
        <v>#N/A</v>
      </c>
      <c r="AE294" t="e">
        <f t="shared" ca="1" si="90"/>
        <v>#N/A</v>
      </c>
      <c r="AF294" s="83" t="e">
        <f ca="1"/>
        <v>#N/A</v>
      </c>
      <c r="AG294" s="55" t="e">
        <f t="shared" ca="1" si="100"/>
        <v>#N/A</v>
      </c>
      <c r="AH294" s="55" t="e">
        <f t="shared" ca="1" si="101"/>
        <v>#N/A</v>
      </c>
      <c r="AI294" s="55" t="e">
        <f t="shared" ca="1" si="102"/>
        <v>#N/A</v>
      </c>
      <c r="AJ294" s="55" t="e">
        <f t="shared" ca="1" si="103"/>
        <v>#N/A</v>
      </c>
      <c r="AK294" s="55" t="e">
        <f t="shared" ca="1" si="97"/>
        <v>#N/A</v>
      </c>
      <c r="AL294" s="55" t="e">
        <f t="shared" ca="1" si="98"/>
        <v>#N/A</v>
      </c>
      <c r="AM294" s="55" t="e">
        <f t="shared" ca="1" si="99"/>
        <v>#N/A</v>
      </c>
    </row>
    <row r="295" spans="18:39">
      <c r="R295" s="83" t="e">
        <f ca="1"/>
        <v>#N/A</v>
      </c>
      <c r="S295" s="55" t="e">
        <f t="shared" ca="1" si="91"/>
        <v>#N/A</v>
      </c>
      <c r="T295" s="55" t="e">
        <f t="shared" ca="1" si="85"/>
        <v>#N/A</v>
      </c>
      <c r="U295" s="55" t="e">
        <f t="shared" ca="1" si="86"/>
        <v>#N/A</v>
      </c>
      <c r="V295" s="55" t="e">
        <f t="shared" ca="1" si="87"/>
        <v>#N/A</v>
      </c>
      <c r="W295" s="55" t="e">
        <f t="shared" ca="1" si="92"/>
        <v>#N/A</v>
      </c>
      <c r="X295" s="55" t="e">
        <f t="shared" ca="1" si="93"/>
        <v>#N/A</v>
      </c>
      <c r="Y295" s="55" t="e">
        <f t="shared" ca="1" si="94"/>
        <v>#N/A</v>
      </c>
      <c r="Z295" s="55" t="e">
        <f t="shared" ca="1" si="95"/>
        <v>#N/A</v>
      </c>
      <c r="AB295" t="e">
        <f t="shared" ca="1" si="88"/>
        <v>#N/A</v>
      </c>
      <c r="AC295" t="e">
        <f t="shared" ca="1" si="96"/>
        <v>#N/A</v>
      </c>
      <c r="AD295" t="e">
        <f t="shared" ca="1" si="89"/>
        <v>#N/A</v>
      </c>
      <c r="AE295" t="e">
        <f t="shared" ca="1" si="90"/>
        <v>#N/A</v>
      </c>
      <c r="AF295" s="83" t="e">
        <f ca="1"/>
        <v>#N/A</v>
      </c>
      <c r="AG295" s="55" t="e">
        <f t="shared" ca="1" si="100"/>
        <v>#N/A</v>
      </c>
      <c r="AH295" s="55" t="e">
        <f t="shared" ca="1" si="101"/>
        <v>#N/A</v>
      </c>
      <c r="AI295" s="55" t="e">
        <f t="shared" ca="1" si="102"/>
        <v>#N/A</v>
      </c>
      <c r="AJ295" s="55" t="e">
        <f t="shared" ca="1" si="103"/>
        <v>#N/A</v>
      </c>
      <c r="AK295" s="55" t="e">
        <f t="shared" ca="1" si="97"/>
        <v>#N/A</v>
      </c>
      <c r="AL295" s="55" t="e">
        <f t="shared" ca="1" si="98"/>
        <v>#N/A</v>
      </c>
      <c r="AM295" s="55" t="e">
        <f t="shared" ca="1" si="99"/>
        <v>#N/A</v>
      </c>
    </row>
    <row r="296" spans="18:39">
      <c r="R296" s="83" t="e">
        <f ca="1"/>
        <v>#N/A</v>
      </c>
      <c r="S296" s="55" t="e">
        <f t="shared" ca="1" si="91"/>
        <v>#N/A</v>
      </c>
      <c r="T296" s="55" t="e">
        <f t="shared" ca="1" si="85"/>
        <v>#N/A</v>
      </c>
      <c r="U296" s="55" t="e">
        <f t="shared" ca="1" si="86"/>
        <v>#N/A</v>
      </c>
      <c r="V296" s="55" t="e">
        <f t="shared" ca="1" si="87"/>
        <v>#N/A</v>
      </c>
      <c r="W296" s="55" t="e">
        <f t="shared" ca="1" si="92"/>
        <v>#N/A</v>
      </c>
      <c r="X296" s="55" t="e">
        <f t="shared" ca="1" si="93"/>
        <v>#N/A</v>
      </c>
      <c r="Y296" s="55" t="e">
        <f t="shared" ca="1" si="94"/>
        <v>#N/A</v>
      </c>
      <c r="Z296" s="55" t="e">
        <f t="shared" ca="1" si="95"/>
        <v>#N/A</v>
      </c>
      <c r="AB296" t="e">
        <f t="shared" ca="1" si="88"/>
        <v>#N/A</v>
      </c>
      <c r="AC296" t="e">
        <f t="shared" ca="1" si="96"/>
        <v>#N/A</v>
      </c>
      <c r="AD296" t="e">
        <f t="shared" ca="1" si="89"/>
        <v>#N/A</v>
      </c>
      <c r="AE296" t="e">
        <f t="shared" ca="1" si="90"/>
        <v>#N/A</v>
      </c>
      <c r="AF296" s="83" t="e">
        <f ca="1"/>
        <v>#N/A</v>
      </c>
      <c r="AG296" s="55" t="e">
        <f t="shared" ca="1" si="100"/>
        <v>#N/A</v>
      </c>
      <c r="AH296" s="55" t="e">
        <f t="shared" ca="1" si="101"/>
        <v>#N/A</v>
      </c>
      <c r="AI296" s="55" t="e">
        <f t="shared" ca="1" si="102"/>
        <v>#N/A</v>
      </c>
      <c r="AJ296" s="55" t="e">
        <f t="shared" ca="1" si="103"/>
        <v>#N/A</v>
      </c>
      <c r="AK296" s="55" t="e">
        <f t="shared" ca="1" si="97"/>
        <v>#N/A</v>
      </c>
      <c r="AL296" s="55" t="e">
        <f t="shared" ca="1" si="98"/>
        <v>#N/A</v>
      </c>
      <c r="AM296" s="55" t="e">
        <f t="shared" ca="1" si="99"/>
        <v>#N/A</v>
      </c>
    </row>
    <row r="297" spans="18:39">
      <c r="R297" s="83" t="e">
        <f ca="1"/>
        <v>#N/A</v>
      </c>
      <c r="S297" s="55" t="e">
        <f t="shared" ca="1" si="91"/>
        <v>#N/A</v>
      </c>
      <c r="T297" s="55" t="e">
        <f t="shared" ca="1" si="85"/>
        <v>#N/A</v>
      </c>
      <c r="U297" s="55" t="e">
        <f t="shared" ca="1" si="86"/>
        <v>#N/A</v>
      </c>
      <c r="V297" s="55" t="e">
        <f t="shared" ca="1" si="87"/>
        <v>#N/A</v>
      </c>
      <c r="W297" s="55" t="e">
        <f t="shared" ca="1" si="92"/>
        <v>#N/A</v>
      </c>
      <c r="X297" s="55" t="e">
        <f t="shared" ca="1" si="93"/>
        <v>#N/A</v>
      </c>
      <c r="Y297" s="55" t="e">
        <f t="shared" ca="1" si="94"/>
        <v>#N/A</v>
      </c>
      <c r="Z297" s="55" t="e">
        <f t="shared" ca="1" si="95"/>
        <v>#N/A</v>
      </c>
      <c r="AB297" t="e">
        <f t="shared" ca="1" si="88"/>
        <v>#N/A</v>
      </c>
      <c r="AC297" t="e">
        <f t="shared" ca="1" si="96"/>
        <v>#N/A</v>
      </c>
      <c r="AD297" t="e">
        <f t="shared" ca="1" si="89"/>
        <v>#N/A</v>
      </c>
      <c r="AE297" t="e">
        <f t="shared" ca="1" si="90"/>
        <v>#N/A</v>
      </c>
      <c r="AF297" s="83" t="e">
        <f ca="1"/>
        <v>#N/A</v>
      </c>
      <c r="AG297" s="55" t="e">
        <f t="shared" ca="1" si="100"/>
        <v>#N/A</v>
      </c>
      <c r="AH297" s="55" t="e">
        <f t="shared" ca="1" si="101"/>
        <v>#N/A</v>
      </c>
      <c r="AI297" s="55" t="e">
        <f t="shared" ca="1" si="102"/>
        <v>#N/A</v>
      </c>
      <c r="AJ297" s="55" t="e">
        <f t="shared" ca="1" si="103"/>
        <v>#N/A</v>
      </c>
      <c r="AK297" s="55" t="e">
        <f t="shared" ca="1" si="97"/>
        <v>#N/A</v>
      </c>
      <c r="AL297" s="55" t="e">
        <f t="shared" ca="1" si="98"/>
        <v>#N/A</v>
      </c>
      <c r="AM297" s="55" t="e">
        <f t="shared" ca="1" si="99"/>
        <v>#N/A</v>
      </c>
    </row>
    <row r="298" spans="18:39">
      <c r="R298" s="83" t="e">
        <f ca="1"/>
        <v>#N/A</v>
      </c>
      <c r="S298" s="55" t="e">
        <f t="shared" ca="1" si="91"/>
        <v>#N/A</v>
      </c>
      <c r="T298" s="55" t="e">
        <f t="shared" ca="1" si="85"/>
        <v>#N/A</v>
      </c>
      <c r="U298" s="55" t="e">
        <f t="shared" ca="1" si="86"/>
        <v>#N/A</v>
      </c>
      <c r="V298" s="55" t="e">
        <f t="shared" ca="1" si="87"/>
        <v>#N/A</v>
      </c>
      <c r="W298" s="55" t="e">
        <f t="shared" ca="1" si="92"/>
        <v>#N/A</v>
      </c>
      <c r="X298" s="55" t="e">
        <f t="shared" ca="1" si="93"/>
        <v>#N/A</v>
      </c>
      <c r="Y298" s="55" t="e">
        <f t="shared" ca="1" si="94"/>
        <v>#N/A</v>
      </c>
      <c r="Z298" s="55" t="e">
        <f t="shared" ca="1" si="95"/>
        <v>#N/A</v>
      </c>
      <c r="AB298" t="e">
        <f t="shared" ca="1" si="88"/>
        <v>#N/A</v>
      </c>
      <c r="AC298" t="e">
        <f t="shared" ca="1" si="96"/>
        <v>#N/A</v>
      </c>
      <c r="AD298" t="e">
        <f t="shared" ca="1" si="89"/>
        <v>#N/A</v>
      </c>
      <c r="AE298" t="e">
        <f t="shared" ca="1" si="90"/>
        <v>#N/A</v>
      </c>
      <c r="AF298" s="83" t="e">
        <f ca="1"/>
        <v>#N/A</v>
      </c>
      <c r="AG298" s="55" t="e">
        <f t="shared" ca="1" si="100"/>
        <v>#N/A</v>
      </c>
      <c r="AH298" s="55" t="e">
        <f t="shared" ca="1" si="101"/>
        <v>#N/A</v>
      </c>
      <c r="AI298" s="55" t="e">
        <f t="shared" ca="1" si="102"/>
        <v>#N/A</v>
      </c>
      <c r="AJ298" s="55" t="e">
        <f t="shared" ca="1" si="103"/>
        <v>#N/A</v>
      </c>
      <c r="AK298" s="55" t="e">
        <f t="shared" ca="1" si="97"/>
        <v>#N/A</v>
      </c>
      <c r="AL298" s="55" t="e">
        <f t="shared" ca="1" si="98"/>
        <v>#N/A</v>
      </c>
      <c r="AM298" s="55" t="e">
        <f t="shared" ca="1" si="99"/>
        <v>#N/A</v>
      </c>
    </row>
    <row r="299" spans="18:39">
      <c r="R299" s="83" t="e">
        <f ca="1"/>
        <v>#N/A</v>
      </c>
      <c r="S299" s="55" t="e">
        <f t="shared" ca="1" si="91"/>
        <v>#N/A</v>
      </c>
      <c r="T299" s="55" t="e">
        <f t="shared" ca="1" si="85"/>
        <v>#N/A</v>
      </c>
      <c r="U299" s="55" t="e">
        <f t="shared" ca="1" si="86"/>
        <v>#N/A</v>
      </c>
      <c r="V299" s="55" t="e">
        <f t="shared" ca="1" si="87"/>
        <v>#N/A</v>
      </c>
      <c r="W299" s="55" t="e">
        <f t="shared" ca="1" si="92"/>
        <v>#N/A</v>
      </c>
      <c r="X299" s="55" t="e">
        <f t="shared" ca="1" si="93"/>
        <v>#N/A</v>
      </c>
      <c r="Y299" s="55" t="e">
        <f t="shared" ca="1" si="94"/>
        <v>#N/A</v>
      </c>
      <c r="Z299" s="55" t="e">
        <f t="shared" ca="1" si="95"/>
        <v>#N/A</v>
      </c>
      <c r="AB299" t="e">
        <f t="shared" ca="1" si="88"/>
        <v>#N/A</v>
      </c>
      <c r="AC299" t="e">
        <f t="shared" ca="1" si="96"/>
        <v>#N/A</v>
      </c>
      <c r="AD299" t="e">
        <f t="shared" ca="1" si="89"/>
        <v>#N/A</v>
      </c>
      <c r="AE299" t="e">
        <f t="shared" ca="1" si="90"/>
        <v>#N/A</v>
      </c>
      <c r="AF299" s="83" t="e">
        <f ca="1"/>
        <v>#N/A</v>
      </c>
      <c r="AG299" s="55" t="e">
        <f t="shared" ca="1" si="100"/>
        <v>#N/A</v>
      </c>
      <c r="AH299" s="55" t="e">
        <f t="shared" ca="1" si="101"/>
        <v>#N/A</v>
      </c>
      <c r="AI299" s="55" t="e">
        <f t="shared" ca="1" si="102"/>
        <v>#N/A</v>
      </c>
      <c r="AJ299" s="55" t="e">
        <f t="shared" ca="1" si="103"/>
        <v>#N/A</v>
      </c>
      <c r="AK299" s="55" t="e">
        <f t="shared" ca="1" si="97"/>
        <v>#N/A</v>
      </c>
      <c r="AL299" s="55" t="e">
        <f t="shared" ca="1" si="98"/>
        <v>#N/A</v>
      </c>
      <c r="AM299" s="55" t="e">
        <f t="shared" ca="1" si="99"/>
        <v>#N/A</v>
      </c>
    </row>
    <row r="300" spans="18:39">
      <c r="R300" s="83" t="e">
        <f ca="1"/>
        <v>#N/A</v>
      </c>
      <c r="S300" s="55" t="e">
        <f t="shared" ca="1" si="91"/>
        <v>#N/A</v>
      </c>
      <c r="T300" s="55" t="e">
        <f t="shared" ca="1" si="85"/>
        <v>#N/A</v>
      </c>
      <c r="U300" s="55" t="e">
        <f t="shared" ca="1" si="86"/>
        <v>#N/A</v>
      </c>
      <c r="V300" s="55" t="e">
        <f t="shared" ca="1" si="87"/>
        <v>#N/A</v>
      </c>
      <c r="W300" s="55" t="e">
        <f t="shared" ca="1" si="92"/>
        <v>#N/A</v>
      </c>
      <c r="X300" s="55" t="e">
        <f t="shared" ca="1" si="93"/>
        <v>#N/A</v>
      </c>
      <c r="Y300" s="55" t="e">
        <f t="shared" ca="1" si="94"/>
        <v>#N/A</v>
      </c>
      <c r="Z300" s="55" t="e">
        <f t="shared" ca="1" si="95"/>
        <v>#N/A</v>
      </c>
      <c r="AB300" t="e">
        <f t="shared" ca="1" si="88"/>
        <v>#N/A</v>
      </c>
      <c r="AC300" t="e">
        <f t="shared" ca="1" si="96"/>
        <v>#N/A</v>
      </c>
      <c r="AD300" t="e">
        <f t="shared" ca="1" si="89"/>
        <v>#N/A</v>
      </c>
      <c r="AE300" t="e">
        <f t="shared" ca="1" si="90"/>
        <v>#N/A</v>
      </c>
      <c r="AF300" s="83" t="e">
        <f ca="1"/>
        <v>#N/A</v>
      </c>
      <c r="AG300" s="55" t="e">
        <f t="shared" ca="1" si="100"/>
        <v>#N/A</v>
      </c>
      <c r="AH300" s="55" t="e">
        <f t="shared" ca="1" si="101"/>
        <v>#N/A</v>
      </c>
      <c r="AI300" s="55" t="e">
        <f t="shared" ca="1" si="102"/>
        <v>#N/A</v>
      </c>
      <c r="AJ300" s="55" t="e">
        <f t="shared" ca="1" si="103"/>
        <v>#N/A</v>
      </c>
      <c r="AK300" s="55" t="e">
        <f t="shared" ca="1" si="97"/>
        <v>#N/A</v>
      </c>
      <c r="AL300" s="55" t="e">
        <f t="shared" ca="1" si="98"/>
        <v>#N/A</v>
      </c>
      <c r="AM300" s="55" t="e">
        <f t="shared" ca="1" si="99"/>
        <v>#N/A</v>
      </c>
    </row>
    <row r="301" spans="18:39">
      <c r="R301" s="83" t="e">
        <f ca="1"/>
        <v>#N/A</v>
      </c>
      <c r="S301" s="55" t="e">
        <f t="shared" ca="1" si="91"/>
        <v>#N/A</v>
      </c>
      <c r="T301" s="55" t="e">
        <f t="shared" ca="1" si="85"/>
        <v>#N/A</v>
      </c>
      <c r="U301" s="55" t="e">
        <f t="shared" ca="1" si="86"/>
        <v>#N/A</v>
      </c>
      <c r="V301" s="55" t="e">
        <f t="shared" ca="1" si="87"/>
        <v>#N/A</v>
      </c>
      <c r="W301" s="55" t="e">
        <f t="shared" ca="1" si="92"/>
        <v>#N/A</v>
      </c>
      <c r="X301" s="55" t="e">
        <f t="shared" ca="1" si="93"/>
        <v>#N/A</v>
      </c>
      <c r="Y301" s="55" t="e">
        <f t="shared" ca="1" si="94"/>
        <v>#N/A</v>
      </c>
      <c r="Z301" s="55" t="e">
        <f t="shared" ca="1" si="95"/>
        <v>#N/A</v>
      </c>
      <c r="AB301" t="e">
        <f t="shared" ca="1" si="88"/>
        <v>#N/A</v>
      </c>
      <c r="AC301" t="e">
        <f t="shared" ca="1" si="96"/>
        <v>#N/A</v>
      </c>
      <c r="AD301" t="e">
        <f t="shared" ca="1" si="89"/>
        <v>#N/A</v>
      </c>
      <c r="AE301" t="e">
        <f t="shared" ca="1" si="90"/>
        <v>#N/A</v>
      </c>
      <c r="AF301" s="83" t="e">
        <f ca="1"/>
        <v>#N/A</v>
      </c>
      <c r="AG301" s="55" t="e">
        <f t="shared" ca="1" si="100"/>
        <v>#N/A</v>
      </c>
      <c r="AH301" s="55" t="e">
        <f t="shared" ca="1" si="101"/>
        <v>#N/A</v>
      </c>
      <c r="AI301" s="55" t="e">
        <f t="shared" ca="1" si="102"/>
        <v>#N/A</v>
      </c>
      <c r="AJ301" s="55" t="e">
        <f t="shared" ca="1" si="103"/>
        <v>#N/A</v>
      </c>
      <c r="AK301" s="55" t="e">
        <f t="shared" ca="1" si="97"/>
        <v>#N/A</v>
      </c>
      <c r="AL301" s="55" t="e">
        <f t="shared" ca="1" si="98"/>
        <v>#N/A</v>
      </c>
      <c r="AM301" s="55" t="e">
        <f t="shared" ca="1" si="99"/>
        <v>#N/A</v>
      </c>
    </row>
    <row r="302" spans="18:39">
      <c r="R302" s="83" t="e">
        <f ca="1"/>
        <v>#N/A</v>
      </c>
      <c r="S302" s="55" t="e">
        <f t="shared" ca="1" si="91"/>
        <v>#N/A</v>
      </c>
      <c r="T302" s="55" t="e">
        <f t="shared" ca="1" si="85"/>
        <v>#N/A</v>
      </c>
      <c r="U302" s="55" t="e">
        <f t="shared" ca="1" si="86"/>
        <v>#N/A</v>
      </c>
      <c r="V302" s="55" t="e">
        <f t="shared" ca="1" si="87"/>
        <v>#N/A</v>
      </c>
      <c r="W302" s="55" t="e">
        <f t="shared" ca="1" si="92"/>
        <v>#N/A</v>
      </c>
      <c r="X302" s="55" t="e">
        <f t="shared" ca="1" si="93"/>
        <v>#N/A</v>
      </c>
      <c r="Y302" s="55" t="e">
        <f t="shared" ca="1" si="94"/>
        <v>#N/A</v>
      </c>
      <c r="Z302" s="55" t="e">
        <f t="shared" ca="1" si="95"/>
        <v>#N/A</v>
      </c>
      <c r="AB302" t="e">
        <f t="shared" ca="1" si="88"/>
        <v>#N/A</v>
      </c>
      <c r="AC302" t="e">
        <f t="shared" ca="1" si="96"/>
        <v>#N/A</v>
      </c>
      <c r="AD302" t="e">
        <f t="shared" ca="1" si="89"/>
        <v>#N/A</v>
      </c>
      <c r="AE302" t="e">
        <f t="shared" ca="1" si="90"/>
        <v>#N/A</v>
      </c>
      <c r="AF302" s="83" t="e">
        <f ca="1"/>
        <v>#N/A</v>
      </c>
      <c r="AG302" s="55" t="e">
        <f t="shared" ca="1" si="100"/>
        <v>#N/A</v>
      </c>
      <c r="AH302" s="55" t="e">
        <f t="shared" ca="1" si="101"/>
        <v>#N/A</v>
      </c>
      <c r="AI302" s="55" t="e">
        <f t="shared" ca="1" si="102"/>
        <v>#N/A</v>
      </c>
      <c r="AJ302" s="55" t="e">
        <f t="shared" ca="1" si="103"/>
        <v>#N/A</v>
      </c>
      <c r="AK302" s="55" t="e">
        <f t="shared" ca="1" si="97"/>
        <v>#N/A</v>
      </c>
      <c r="AL302" s="55" t="e">
        <f t="shared" ca="1" si="98"/>
        <v>#N/A</v>
      </c>
      <c r="AM302" s="55" t="e">
        <f t="shared" ca="1" si="99"/>
        <v>#N/A</v>
      </c>
    </row>
    <row r="303" spans="18:39">
      <c r="R303" s="83" t="e">
        <f ca="1"/>
        <v>#N/A</v>
      </c>
      <c r="S303" s="55" t="e">
        <f t="shared" ca="1" si="91"/>
        <v>#N/A</v>
      </c>
      <c r="T303" s="55" t="e">
        <f t="shared" ca="1" si="85"/>
        <v>#N/A</v>
      </c>
      <c r="U303" s="55" t="e">
        <f t="shared" ca="1" si="86"/>
        <v>#N/A</v>
      </c>
      <c r="V303" s="55" t="e">
        <f t="shared" ca="1" si="87"/>
        <v>#N/A</v>
      </c>
      <c r="W303" s="55" t="e">
        <f t="shared" ca="1" si="92"/>
        <v>#N/A</v>
      </c>
      <c r="X303" s="55" t="e">
        <f t="shared" ca="1" si="93"/>
        <v>#N/A</v>
      </c>
      <c r="Y303" s="55" t="e">
        <f t="shared" ca="1" si="94"/>
        <v>#N/A</v>
      </c>
      <c r="Z303" s="55" t="e">
        <f t="shared" ca="1" si="95"/>
        <v>#N/A</v>
      </c>
      <c r="AB303" t="e">
        <f t="shared" ca="1" si="88"/>
        <v>#N/A</v>
      </c>
      <c r="AC303" t="e">
        <f t="shared" ca="1" si="96"/>
        <v>#N/A</v>
      </c>
      <c r="AD303" t="e">
        <f t="shared" ca="1" si="89"/>
        <v>#N/A</v>
      </c>
      <c r="AE303" t="e">
        <f t="shared" ca="1" si="90"/>
        <v>#N/A</v>
      </c>
      <c r="AF303" s="83" t="e">
        <f ca="1"/>
        <v>#N/A</v>
      </c>
      <c r="AG303" s="55" t="e">
        <f t="shared" ca="1" si="100"/>
        <v>#N/A</v>
      </c>
      <c r="AH303" s="55" t="e">
        <f t="shared" ca="1" si="101"/>
        <v>#N/A</v>
      </c>
      <c r="AI303" s="55" t="e">
        <f t="shared" ca="1" si="102"/>
        <v>#N/A</v>
      </c>
      <c r="AJ303" s="55" t="e">
        <f t="shared" ca="1" si="103"/>
        <v>#N/A</v>
      </c>
      <c r="AK303" s="55" t="e">
        <f t="shared" ca="1" si="97"/>
        <v>#N/A</v>
      </c>
      <c r="AL303" s="55" t="e">
        <f t="shared" ca="1" si="98"/>
        <v>#N/A</v>
      </c>
      <c r="AM303" s="55" t="e">
        <f t="shared" ca="1" si="99"/>
        <v>#N/A</v>
      </c>
    </row>
    <row r="304" spans="18:39">
      <c r="R304" s="83" t="e">
        <f ca="1"/>
        <v>#N/A</v>
      </c>
      <c r="S304" s="55" t="e">
        <f t="shared" ca="1" si="91"/>
        <v>#N/A</v>
      </c>
      <c r="T304" s="55" t="e">
        <f t="shared" ca="1" si="85"/>
        <v>#N/A</v>
      </c>
      <c r="U304" s="55" t="e">
        <f t="shared" ca="1" si="86"/>
        <v>#N/A</v>
      </c>
      <c r="V304" s="55" t="e">
        <f t="shared" ca="1" si="87"/>
        <v>#N/A</v>
      </c>
      <c r="W304" s="55" t="e">
        <f t="shared" ca="1" si="92"/>
        <v>#N/A</v>
      </c>
      <c r="X304" s="55" t="e">
        <f t="shared" ca="1" si="93"/>
        <v>#N/A</v>
      </c>
      <c r="Y304" s="55" t="e">
        <f t="shared" ca="1" si="94"/>
        <v>#N/A</v>
      </c>
      <c r="Z304" s="55" t="e">
        <f t="shared" ca="1" si="95"/>
        <v>#N/A</v>
      </c>
      <c r="AB304" t="e">
        <f t="shared" ca="1" si="88"/>
        <v>#N/A</v>
      </c>
      <c r="AC304" t="e">
        <f t="shared" ca="1" si="96"/>
        <v>#N/A</v>
      </c>
      <c r="AD304" t="e">
        <f t="shared" ca="1" si="89"/>
        <v>#N/A</v>
      </c>
      <c r="AE304" t="e">
        <f t="shared" ca="1" si="90"/>
        <v>#N/A</v>
      </c>
      <c r="AF304" s="83" t="e">
        <f ca="1"/>
        <v>#N/A</v>
      </c>
      <c r="AG304" s="55" t="e">
        <f t="shared" ca="1" si="100"/>
        <v>#N/A</v>
      </c>
      <c r="AH304" s="55" t="e">
        <f t="shared" ca="1" si="101"/>
        <v>#N/A</v>
      </c>
      <c r="AI304" s="55" t="e">
        <f t="shared" ca="1" si="102"/>
        <v>#N/A</v>
      </c>
      <c r="AJ304" s="55" t="e">
        <f t="shared" ca="1" si="103"/>
        <v>#N/A</v>
      </c>
      <c r="AK304" s="55" t="e">
        <f t="shared" ca="1" si="97"/>
        <v>#N/A</v>
      </c>
      <c r="AL304" s="55" t="e">
        <f t="shared" ca="1" si="98"/>
        <v>#N/A</v>
      </c>
      <c r="AM304" s="55" t="e">
        <f t="shared" ca="1" si="99"/>
        <v>#N/A</v>
      </c>
    </row>
    <row r="305" spans="18:39">
      <c r="R305" s="83" t="e">
        <f ca="1"/>
        <v>#N/A</v>
      </c>
      <c r="S305" s="55" t="e">
        <f t="shared" ca="1" si="91"/>
        <v>#N/A</v>
      </c>
      <c r="T305" s="55" t="e">
        <f t="shared" ca="1" si="85"/>
        <v>#N/A</v>
      </c>
      <c r="U305" s="55" t="e">
        <f t="shared" ca="1" si="86"/>
        <v>#N/A</v>
      </c>
      <c r="V305" s="55" t="e">
        <f t="shared" ca="1" si="87"/>
        <v>#N/A</v>
      </c>
      <c r="W305" s="55" t="e">
        <f t="shared" ca="1" si="92"/>
        <v>#N/A</v>
      </c>
      <c r="X305" s="55" t="e">
        <f t="shared" ca="1" si="93"/>
        <v>#N/A</v>
      </c>
      <c r="Y305" s="55" t="e">
        <f t="shared" ca="1" si="94"/>
        <v>#N/A</v>
      </c>
      <c r="Z305" s="55" t="e">
        <f t="shared" ca="1" si="95"/>
        <v>#N/A</v>
      </c>
      <c r="AB305" t="e">
        <f t="shared" ca="1" si="88"/>
        <v>#N/A</v>
      </c>
      <c r="AC305" t="e">
        <f t="shared" ca="1" si="96"/>
        <v>#N/A</v>
      </c>
      <c r="AD305" t="e">
        <f t="shared" ca="1" si="89"/>
        <v>#N/A</v>
      </c>
      <c r="AE305" t="e">
        <f t="shared" ca="1" si="90"/>
        <v>#N/A</v>
      </c>
      <c r="AF305" s="83" t="e">
        <f ca="1"/>
        <v>#N/A</v>
      </c>
      <c r="AG305" s="55" t="e">
        <f t="shared" ca="1" si="100"/>
        <v>#N/A</v>
      </c>
      <c r="AH305" s="55" t="e">
        <f t="shared" ca="1" si="101"/>
        <v>#N/A</v>
      </c>
      <c r="AI305" s="55" t="e">
        <f t="shared" ca="1" si="102"/>
        <v>#N/A</v>
      </c>
      <c r="AJ305" s="55" t="e">
        <f t="shared" ca="1" si="103"/>
        <v>#N/A</v>
      </c>
      <c r="AK305" s="55" t="e">
        <f t="shared" ca="1" si="97"/>
        <v>#N/A</v>
      </c>
      <c r="AL305" s="55" t="e">
        <f t="shared" ca="1" si="98"/>
        <v>#N/A</v>
      </c>
      <c r="AM305" s="55" t="e">
        <f t="shared" ca="1" si="99"/>
        <v>#N/A</v>
      </c>
    </row>
    <row r="306" spans="18:39">
      <c r="R306" s="83" t="e">
        <f ca="1"/>
        <v>#N/A</v>
      </c>
      <c r="S306" s="55" t="e">
        <f t="shared" ca="1" si="91"/>
        <v>#N/A</v>
      </c>
      <c r="T306" s="55" t="e">
        <f t="shared" ca="1" si="85"/>
        <v>#N/A</v>
      </c>
      <c r="U306" s="55" t="e">
        <f t="shared" ca="1" si="86"/>
        <v>#N/A</v>
      </c>
      <c r="V306" s="55" t="e">
        <f t="shared" ca="1" si="87"/>
        <v>#N/A</v>
      </c>
      <c r="W306" s="55" t="e">
        <f t="shared" ca="1" si="92"/>
        <v>#N/A</v>
      </c>
      <c r="X306" s="55" t="e">
        <f t="shared" ca="1" si="93"/>
        <v>#N/A</v>
      </c>
      <c r="Y306" s="55" t="e">
        <f t="shared" ca="1" si="94"/>
        <v>#N/A</v>
      </c>
      <c r="Z306" s="55" t="e">
        <f t="shared" ca="1" si="95"/>
        <v>#N/A</v>
      </c>
      <c r="AB306" t="e">
        <f t="shared" ca="1" si="88"/>
        <v>#N/A</v>
      </c>
      <c r="AC306" t="e">
        <f t="shared" ca="1" si="96"/>
        <v>#N/A</v>
      </c>
      <c r="AD306" t="e">
        <f t="shared" ca="1" si="89"/>
        <v>#N/A</v>
      </c>
      <c r="AE306" t="e">
        <f t="shared" ca="1" si="90"/>
        <v>#N/A</v>
      </c>
      <c r="AF306" s="83" t="e">
        <f ca="1"/>
        <v>#N/A</v>
      </c>
      <c r="AG306" s="55" t="e">
        <f t="shared" ca="1" si="100"/>
        <v>#N/A</v>
      </c>
      <c r="AH306" s="55" t="e">
        <f t="shared" ca="1" si="101"/>
        <v>#N/A</v>
      </c>
      <c r="AI306" s="55" t="e">
        <f t="shared" ca="1" si="102"/>
        <v>#N/A</v>
      </c>
      <c r="AJ306" s="55" t="e">
        <f t="shared" ca="1" si="103"/>
        <v>#N/A</v>
      </c>
      <c r="AK306" s="55" t="e">
        <f t="shared" ca="1" si="97"/>
        <v>#N/A</v>
      </c>
      <c r="AL306" s="55" t="e">
        <f t="shared" ca="1" si="98"/>
        <v>#N/A</v>
      </c>
      <c r="AM306" s="55" t="e">
        <f t="shared" ca="1" si="99"/>
        <v>#N/A</v>
      </c>
    </row>
    <row r="307" spans="18:39">
      <c r="R307" s="83" t="e">
        <f ca="1"/>
        <v>#N/A</v>
      </c>
      <c r="S307" s="55" t="e">
        <f t="shared" ca="1" si="91"/>
        <v>#N/A</v>
      </c>
      <c r="T307" s="55" t="e">
        <f t="shared" ca="1" si="85"/>
        <v>#N/A</v>
      </c>
      <c r="U307" s="55" t="e">
        <f t="shared" ca="1" si="86"/>
        <v>#N/A</v>
      </c>
      <c r="V307" s="55" t="e">
        <f t="shared" ca="1" si="87"/>
        <v>#N/A</v>
      </c>
      <c r="W307" s="55" t="e">
        <f t="shared" ca="1" si="92"/>
        <v>#N/A</v>
      </c>
      <c r="X307" s="55" t="e">
        <f t="shared" ca="1" si="93"/>
        <v>#N/A</v>
      </c>
      <c r="Y307" s="55" t="e">
        <f t="shared" ca="1" si="94"/>
        <v>#N/A</v>
      </c>
      <c r="Z307" s="55" t="e">
        <f t="shared" ca="1" si="95"/>
        <v>#N/A</v>
      </c>
      <c r="AB307" t="e">
        <f t="shared" ca="1" si="88"/>
        <v>#N/A</v>
      </c>
      <c r="AC307" t="e">
        <f t="shared" ca="1" si="96"/>
        <v>#N/A</v>
      </c>
      <c r="AD307" t="e">
        <f t="shared" ca="1" si="89"/>
        <v>#N/A</v>
      </c>
      <c r="AE307" t="e">
        <f t="shared" ca="1" si="90"/>
        <v>#N/A</v>
      </c>
      <c r="AF307" s="83" t="e">
        <f ca="1"/>
        <v>#N/A</v>
      </c>
      <c r="AG307" s="55" t="e">
        <f t="shared" ca="1" si="100"/>
        <v>#N/A</v>
      </c>
      <c r="AH307" s="55" t="e">
        <f t="shared" ca="1" si="101"/>
        <v>#N/A</v>
      </c>
      <c r="AI307" s="55" t="e">
        <f t="shared" ca="1" si="102"/>
        <v>#N/A</v>
      </c>
      <c r="AJ307" s="55" t="e">
        <f t="shared" ca="1" si="103"/>
        <v>#N/A</v>
      </c>
      <c r="AK307" s="55" t="e">
        <f t="shared" ca="1" si="97"/>
        <v>#N/A</v>
      </c>
      <c r="AL307" s="55" t="e">
        <f t="shared" ca="1" si="98"/>
        <v>#N/A</v>
      </c>
      <c r="AM307" s="55" t="e">
        <f t="shared" ca="1" si="99"/>
        <v>#N/A</v>
      </c>
    </row>
    <row r="308" spans="18:39">
      <c r="R308" s="83" t="e">
        <f ca="1"/>
        <v>#N/A</v>
      </c>
      <c r="S308" s="55" t="e">
        <f t="shared" ca="1" si="91"/>
        <v>#N/A</v>
      </c>
      <c r="T308" s="55" t="e">
        <f t="shared" ca="1" si="85"/>
        <v>#N/A</v>
      </c>
      <c r="U308" s="55" t="e">
        <f t="shared" ca="1" si="86"/>
        <v>#N/A</v>
      </c>
      <c r="V308" s="55" t="e">
        <f t="shared" ca="1" si="87"/>
        <v>#N/A</v>
      </c>
      <c r="W308" s="55" t="e">
        <f t="shared" ca="1" si="92"/>
        <v>#N/A</v>
      </c>
      <c r="X308" s="55" t="e">
        <f t="shared" ca="1" si="93"/>
        <v>#N/A</v>
      </c>
      <c r="Y308" s="55" t="e">
        <f t="shared" ca="1" si="94"/>
        <v>#N/A</v>
      </c>
      <c r="Z308" s="55" t="e">
        <f t="shared" ca="1" si="95"/>
        <v>#N/A</v>
      </c>
      <c r="AB308" t="e">
        <f t="shared" ca="1" si="88"/>
        <v>#N/A</v>
      </c>
      <c r="AC308" t="e">
        <f t="shared" ca="1" si="96"/>
        <v>#N/A</v>
      </c>
      <c r="AD308" t="e">
        <f t="shared" ca="1" si="89"/>
        <v>#N/A</v>
      </c>
      <c r="AE308" t="e">
        <f t="shared" ca="1" si="90"/>
        <v>#N/A</v>
      </c>
      <c r="AF308" s="83" t="e">
        <f ca="1"/>
        <v>#N/A</v>
      </c>
      <c r="AG308" s="55" t="e">
        <f t="shared" ca="1" si="100"/>
        <v>#N/A</v>
      </c>
      <c r="AH308" s="55" t="e">
        <f t="shared" ca="1" si="101"/>
        <v>#N/A</v>
      </c>
      <c r="AI308" s="55" t="e">
        <f t="shared" ca="1" si="102"/>
        <v>#N/A</v>
      </c>
      <c r="AJ308" s="55" t="e">
        <f t="shared" ca="1" si="103"/>
        <v>#N/A</v>
      </c>
      <c r="AK308" s="55" t="e">
        <f t="shared" ca="1" si="97"/>
        <v>#N/A</v>
      </c>
      <c r="AL308" s="55" t="e">
        <f t="shared" ca="1" si="98"/>
        <v>#N/A</v>
      </c>
      <c r="AM308" s="55" t="e">
        <f t="shared" ca="1" si="99"/>
        <v>#N/A</v>
      </c>
    </row>
    <row r="309" spans="18:39">
      <c r="R309" s="83" t="e">
        <f ca="1"/>
        <v>#N/A</v>
      </c>
      <c r="S309" s="55" t="e">
        <f t="shared" ca="1" si="91"/>
        <v>#N/A</v>
      </c>
      <c r="T309" s="55" t="e">
        <f t="shared" ca="1" si="85"/>
        <v>#N/A</v>
      </c>
      <c r="U309" s="55" t="e">
        <f t="shared" ca="1" si="86"/>
        <v>#N/A</v>
      </c>
      <c r="V309" s="55" t="e">
        <f t="shared" ca="1" si="87"/>
        <v>#N/A</v>
      </c>
      <c r="W309" s="55" t="e">
        <f t="shared" ca="1" si="92"/>
        <v>#N/A</v>
      </c>
      <c r="X309" s="55" t="e">
        <f t="shared" ca="1" si="93"/>
        <v>#N/A</v>
      </c>
      <c r="Y309" s="55" t="e">
        <f t="shared" ca="1" si="94"/>
        <v>#N/A</v>
      </c>
      <c r="Z309" s="55" t="e">
        <f t="shared" ca="1" si="95"/>
        <v>#N/A</v>
      </c>
      <c r="AB309" t="e">
        <f t="shared" ca="1" si="88"/>
        <v>#N/A</v>
      </c>
      <c r="AC309" t="e">
        <f t="shared" ca="1" si="96"/>
        <v>#N/A</v>
      </c>
      <c r="AD309" t="e">
        <f t="shared" ca="1" si="89"/>
        <v>#N/A</v>
      </c>
      <c r="AE309" t="e">
        <f t="shared" ca="1" si="90"/>
        <v>#N/A</v>
      </c>
      <c r="AF309" s="83" t="e">
        <f ca="1"/>
        <v>#N/A</v>
      </c>
      <c r="AG309" s="55" t="e">
        <f t="shared" ca="1" si="100"/>
        <v>#N/A</v>
      </c>
      <c r="AH309" s="55" t="e">
        <f t="shared" ca="1" si="101"/>
        <v>#N/A</v>
      </c>
      <c r="AI309" s="55" t="e">
        <f t="shared" ca="1" si="102"/>
        <v>#N/A</v>
      </c>
      <c r="AJ309" s="55" t="e">
        <f t="shared" ca="1" si="103"/>
        <v>#N/A</v>
      </c>
      <c r="AK309" s="55" t="e">
        <f t="shared" ca="1" si="97"/>
        <v>#N/A</v>
      </c>
      <c r="AL309" s="55" t="e">
        <f t="shared" ca="1" si="98"/>
        <v>#N/A</v>
      </c>
      <c r="AM309" s="55" t="e">
        <f t="shared" ca="1" si="99"/>
        <v>#N/A</v>
      </c>
    </row>
    <row r="310" spans="18:39">
      <c r="R310" s="83" t="e">
        <f ca="1"/>
        <v>#N/A</v>
      </c>
      <c r="S310" s="55" t="e">
        <f t="shared" ca="1" si="91"/>
        <v>#N/A</v>
      </c>
      <c r="T310" s="55" t="e">
        <f t="shared" ca="1" si="85"/>
        <v>#N/A</v>
      </c>
      <c r="U310" s="55" t="e">
        <f t="shared" ca="1" si="86"/>
        <v>#N/A</v>
      </c>
      <c r="V310" s="55" t="e">
        <f t="shared" ca="1" si="87"/>
        <v>#N/A</v>
      </c>
      <c r="W310" s="55" t="e">
        <f t="shared" ca="1" si="92"/>
        <v>#N/A</v>
      </c>
      <c r="X310" s="55" t="e">
        <f t="shared" ca="1" si="93"/>
        <v>#N/A</v>
      </c>
      <c r="Y310" s="55" t="e">
        <f t="shared" ca="1" si="94"/>
        <v>#N/A</v>
      </c>
      <c r="Z310" s="55" t="e">
        <f t="shared" ca="1" si="95"/>
        <v>#N/A</v>
      </c>
      <c r="AB310" t="e">
        <f t="shared" ca="1" si="88"/>
        <v>#N/A</v>
      </c>
      <c r="AC310" t="e">
        <f t="shared" ca="1" si="96"/>
        <v>#N/A</v>
      </c>
      <c r="AD310" t="e">
        <f t="shared" ca="1" si="89"/>
        <v>#N/A</v>
      </c>
      <c r="AE310" t="e">
        <f t="shared" ca="1" si="90"/>
        <v>#N/A</v>
      </c>
      <c r="AF310" s="83" t="e">
        <f ca="1"/>
        <v>#N/A</v>
      </c>
      <c r="AG310" s="55" t="e">
        <f t="shared" ca="1" si="100"/>
        <v>#N/A</v>
      </c>
      <c r="AH310" s="55" t="e">
        <f t="shared" ca="1" si="101"/>
        <v>#N/A</v>
      </c>
      <c r="AI310" s="55" t="e">
        <f t="shared" ca="1" si="102"/>
        <v>#N/A</v>
      </c>
      <c r="AJ310" s="55" t="e">
        <f t="shared" ca="1" si="103"/>
        <v>#N/A</v>
      </c>
      <c r="AK310" s="55" t="e">
        <f t="shared" ca="1" si="97"/>
        <v>#N/A</v>
      </c>
      <c r="AL310" s="55" t="e">
        <f t="shared" ca="1" si="98"/>
        <v>#N/A</v>
      </c>
      <c r="AM310" s="55" t="e">
        <f t="shared" ca="1" si="99"/>
        <v>#N/A</v>
      </c>
    </row>
    <row r="311" spans="18:39">
      <c r="R311" s="83" t="e">
        <f ca="1"/>
        <v>#N/A</v>
      </c>
      <c r="S311" s="55" t="e">
        <f t="shared" ca="1" si="91"/>
        <v>#N/A</v>
      </c>
      <c r="T311" s="55" t="e">
        <f t="shared" ca="1" si="85"/>
        <v>#N/A</v>
      </c>
      <c r="U311" s="55" t="e">
        <f t="shared" ca="1" si="86"/>
        <v>#N/A</v>
      </c>
      <c r="V311" s="55" t="e">
        <f t="shared" ca="1" si="87"/>
        <v>#N/A</v>
      </c>
      <c r="W311" s="55" t="e">
        <f t="shared" ca="1" si="92"/>
        <v>#N/A</v>
      </c>
      <c r="X311" s="55" t="e">
        <f t="shared" ca="1" si="93"/>
        <v>#N/A</v>
      </c>
      <c r="Y311" s="55" t="e">
        <f t="shared" ca="1" si="94"/>
        <v>#N/A</v>
      </c>
      <c r="Z311" s="55" t="e">
        <f t="shared" ca="1" si="95"/>
        <v>#N/A</v>
      </c>
      <c r="AB311" t="e">
        <f t="shared" ca="1" si="88"/>
        <v>#N/A</v>
      </c>
      <c r="AC311" t="e">
        <f t="shared" ca="1" si="96"/>
        <v>#N/A</v>
      </c>
      <c r="AD311" t="e">
        <f t="shared" ca="1" si="89"/>
        <v>#N/A</v>
      </c>
      <c r="AE311" t="e">
        <f t="shared" ca="1" si="90"/>
        <v>#N/A</v>
      </c>
      <c r="AF311" s="83" t="e">
        <f ca="1"/>
        <v>#N/A</v>
      </c>
      <c r="AG311" s="55" t="e">
        <f t="shared" ca="1" si="100"/>
        <v>#N/A</v>
      </c>
      <c r="AH311" s="55" t="e">
        <f t="shared" ca="1" si="101"/>
        <v>#N/A</v>
      </c>
      <c r="AI311" s="55" t="e">
        <f t="shared" ca="1" si="102"/>
        <v>#N/A</v>
      </c>
      <c r="AJ311" s="55" t="e">
        <f t="shared" ca="1" si="103"/>
        <v>#N/A</v>
      </c>
      <c r="AK311" s="55" t="e">
        <f t="shared" ca="1" si="97"/>
        <v>#N/A</v>
      </c>
      <c r="AL311" s="55" t="e">
        <f t="shared" ca="1" si="98"/>
        <v>#N/A</v>
      </c>
      <c r="AM311" s="55" t="e">
        <f t="shared" ca="1" si="99"/>
        <v>#N/A</v>
      </c>
    </row>
    <row r="312" spans="18:39">
      <c r="R312" s="83" t="e">
        <f ca="1"/>
        <v>#N/A</v>
      </c>
      <c r="S312" s="55" t="e">
        <f t="shared" ca="1" si="91"/>
        <v>#N/A</v>
      </c>
      <c r="T312" s="55" t="e">
        <f t="shared" ca="1" si="85"/>
        <v>#N/A</v>
      </c>
      <c r="U312" s="55" t="e">
        <f t="shared" ca="1" si="86"/>
        <v>#N/A</v>
      </c>
      <c r="V312" s="55" t="e">
        <f t="shared" ca="1" si="87"/>
        <v>#N/A</v>
      </c>
      <c r="W312" s="55" t="e">
        <f t="shared" ca="1" si="92"/>
        <v>#N/A</v>
      </c>
      <c r="X312" s="55" t="e">
        <f t="shared" ca="1" si="93"/>
        <v>#N/A</v>
      </c>
      <c r="Y312" s="55" t="e">
        <f t="shared" ca="1" si="94"/>
        <v>#N/A</v>
      </c>
      <c r="Z312" s="55" t="e">
        <f t="shared" ca="1" si="95"/>
        <v>#N/A</v>
      </c>
      <c r="AB312" t="e">
        <f t="shared" ca="1" si="88"/>
        <v>#N/A</v>
      </c>
      <c r="AC312" t="e">
        <f t="shared" ca="1" si="96"/>
        <v>#N/A</v>
      </c>
      <c r="AD312" t="e">
        <f t="shared" ca="1" si="89"/>
        <v>#N/A</v>
      </c>
      <c r="AE312" t="e">
        <f t="shared" ca="1" si="90"/>
        <v>#N/A</v>
      </c>
      <c r="AF312" s="83" t="e">
        <f ca="1"/>
        <v>#N/A</v>
      </c>
      <c r="AG312" s="55" t="e">
        <f t="shared" ca="1" si="100"/>
        <v>#N/A</v>
      </c>
      <c r="AH312" s="55" t="e">
        <f t="shared" ca="1" si="101"/>
        <v>#N/A</v>
      </c>
      <c r="AI312" s="55" t="e">
        <f t="shared" ca="1" si="102"/>
        <v>#N/A</v>
      </c>
      <c r="AJ312" s="55" t="e">
        <f t="shared" ca="1" si="103"/>
        <v>#N/A</v>
      </c>
      <c r="AK312" s="55" t="e">
        <f t="shared" ca="1" si="97"/>
        <v>#N/A</v>
      </c>
      <c r="AL312" s="55" t="e">
        <f t="shared" ca="1" si="98"/>
        <v>#N/A</v>
      </c>
      <c r="AM312" s="55" t="e">
        <f t="shared" ca="1" si="99"/>
        <v>#N/A</v>
      </c>
    </row>
    <row r="313" spans="18:39">
      <c r="R313" s="83" t="e">
        <f ca="1"/>
        <v>#N/A</v>
      </c>
      <c r="S313" s="55" t="e">
        <f t="shared" ca="1" si="91"/>
        <v>#N/A</v>
      </c>
      <c r="T313" s="55" t="e">
        <f t="shared" ca="1" si="85"/>
        <v>#N/A</v>
      </c>
      <c r="U313" s="55" t="e">
        <f t="shared" ca="1" si="86"/>
        <v>#N/A</v>
      </c>
      <c r="V313" s="55" t="e">
        <f t="shared" ca="1" si="87"/>
        <v>#N/A</v>
      </c>
      <c r="W313" s="55" t="e">
        <f t="shared" ca="1" si="92"/>
        <v>#N/A</v>
      </c>
      <c r="X313" s="55" t="e">
        <f t="shared" ca="1" si="93"/>
        <v>#N/A</v>
      </c>
      <c r="Y313" s="55" t="e">
        <f t="shared" ca="1" si="94"/>
        <v>#N/A</v>
      </c>
      <c r="Z313" s="55" t="e">
        <f t="shared" ca="1" si="95"/>
        <v>#N/A</v>
      </c>
      <c r="AB313" t="e">
        <f t="shared" ca="1" si="88"/>
        <v>#N/A</v>
      </c>
      <c r="AC313" t="e">
        <f t="shared" ca="1" si="96"/>
        <v>#N/A</v>
      </c>
      <c r="AD313" t="e">
        <f t="shared" ca="1" si="89"/>
        <v>#N/A</v>
      </c>
      <c r="AE313" t="e">
        <f t="shared" ca="1" si="90"/>
        <v>#N/A</v>
      </c>
      <c r="AF313" s="83" t="e">
        <f ca="1"/>
        <v>#N/A</v>
      </c>
      <c r="AG313" s="55" t="e">
        <f t="shared" ca="1" si="100"/>
        <v>#N/A</v>
      </c>
      <c r="AH313" s="55" t="e">
        <f t="shared" ca="1" si="101"/>
        <v>#N/A</v>
      </c>
      <c r="AI313" s="55" t="e">
        <f t="shared" ca="1" si="102"/>
        <v>#N/A</v>
      </c>
      <c r="AJ313" s="55" t="e">
        <f t="shared" ca="1" si="103"/>
        <v>#N/A</v>
      </c>
      <c r="AK313" s="55" t="e">
        <f t="shared" ca="1" si="97"/>
        <v>#N/A</v>
      </c>
      <c r="AL313" s="55" t="e">
        <f t="shared" ca="1" si="98"/>
        <v>#N/A</v>
      </c>
      <c r="AM313" s="55" t="e">
        <f t="shared" ca="1" si="99"/>
        <v>#N/A</v>
      </c>
    </row>
    <row r="314" spans="18:39">
      <c r="R314" s="83" t="e">
        <f ca="1"/>
        <v>#N/A</v>
      </c>
      <c r="S314" s="55" t="e">
        <f t="shared" ca="1" si="91"/>
        <v>#N/A</v>
      </c>
      <c r="T314" s="55" t="e">
        <f t="shared" ca="1" si="85"/>
        <v>#N/A</v>
      </c>
      <c r="U314" s="55" t="e">
        <f t="shared" ca="1" si="86"/>
        <v>#N/A</v>
      </c>
      <c r="V314" s="55" t="e">
        <f t="shared" ca="1" si="87"/>
        <v>#N/A</v>
      </c>
      <c r="W314" s="55" t="e">
        <f t="shared" ca="1" si="92"/>
        <v>#N/A</v>
      </c>
      <c r="X314" s="55" t="e">
        <f t="shared" ca="1" si="93"/>
        <v>#N/A</v>
      </c>
      <c r="Y314" s="55" t="e">
        <f t="shared" ca="1" si="94"/>
        <v>#N/A</v>
      </c>
      <c r="Z314" s="55" t="e">
        <f t="shared" ca="1" si="95"/>
        <v>#N/A</v>
      </c>
      <c r="AB314" t="e">
        <f t="shared" ca="1" si="88"/>
        <v>#N/A</v>
      </c>
      <c r="AC314" t="e">
        <f t="shared" ca="1" si="96"/>
        <v>#N/A</v>
      </c>
      <c r="AD314" t="e">
        <f t="shared" ca="1" si="89"/>
        <v>#N/A</v>
      </c>
      <c r="AE314" t="e">
        <f t="shared" ca="1" si="90"/>
        <v>#N/A</v>
      </c>
      <c r="AF314" s="83" t="e">
        <f ca="1"/>
        <v>#N/A</v>
      </c>
      <c r="AG314" s="55" t="e">
        <f t="shared" ca="1" si="100"/>
        <v>#N/A</v>
      </c>
      <c r="AH314" s="55" t="e">
        <f t="shared" ca="1" si="101"/>
        <v>#N/A</v>
      </c>
      <c r="AI314" s="55" t="e">
        <f t="shared" ca="1" si="102"/>
        <v>#N/A</v>
      </c>
      <c r="AJ314" s="55" t="e">
        <f t="shared" ca="1" si="103"/>
        <v>#N/A</v>
      </c>
      <c r="AK314" s="55" t="e">
        <f t="shared" ca="1" si="97"/>
        <v>#N/A</v>
      </c>
      <c r="AL314" s="55" t="e">
        <f t="shared" ca="1" si="98"/>
        <v>#N/A</v>
      </c>
      <c r="AM314" s="55" t="e">
        <f t="shared" ca="1" si="99"/>
        <v>#N/A</v>
      </c>
    </row>
    <row r="315" spans="18:39">
      <c r="R315" s="83" t="e">
        <f ca="1"/>
        <v>#N/A</v>
      </c>
      <c r="S315" s="55" t="e">
        <f t="shared" ca="1" si="91"/>
        <v>#N/A</v>
      </c>
      <c r="T315" s="55" t="e">
        <f t="shared" ca="1" si="85"/>
        <v>#N/A</v>
      </c>
      <c r="U315" s="55" t="e">
        <f t="shared" ca="1" si="86"/>
        <v>#N/A</v>
      </c>
      <c r="V315" s="55" t="e">
        <f t="shared" ca="1" si="87"/>
        <v>#N/A</v>
      </c>
      <c r="W315" s="55" t="e">
        <f t="shared" ca="1" si="92"/>
        <v>#N/A</v>
      </c>
      <c r="X315" s="55" t="e">
        <f t="shared" ca="1" si="93"/>
        <v>#N/A</v>
      </c>
      <c r="Y315" s="55" t="e">
        <f t="shared" ca="1" si="94"/>
        <v>#N/A</v>
      </c>
      <c r="Z315" s="55" t="e">
        <f t="shared" ca="1" si="95"/>
        <v>#N/A</v>
      </c>
      <c r="AB315" t="e">
        <f t="shared" ca="1" si="88"/>
        <v>#N/A</v>
      </c>
      <c r="AC315" t="e">
        <f t="shared" ca="1" si="96"/>
        <v>#N/A</v>
      </c>
      <c r="AD315" t="e">
        <f t="shared" ca="1" si="89"/>
        <v>#N/A</v>
      </c>
      <c r="AE315" t="e">
        <f t="shared" ca="1" si="90"/>
        <v>#N/A</v>
      </c>
      <c r="AF315" s="83" t="e">
        <f ca="1"/>
        <v>#N/A</v>
      </c>
      <c r="AG315" s="55" t="e">
        <f t="shared" ca="1" si="100"/>
        <v>#N/A</v>
      </c>
      <c r="AH315" s="55" t="e">
        <f t="shared" ca="1" si="101"/>
        <v>#N/A</v>
      </c>
      <c r="AI315" s="55" t="e">
        <f t="shared" ca="1" si="102"/>
        <v>#N/A</v>
      </c>
      <c r="AJ315" s="55" t="e">
        <f t="shared" ca="1" si="103"/>
        <v>#N/A</v>
      </c>
      <c r="AK315" s="55" t="e">
        <f t="shared" ca="1" si="97"/>
        <v>#N/A</v>
      </c>
      <c r="AL315" s="55" t="e">
        <f t="shared" ca="1" si="98"/>
        <v>#N/A</v>
      </c>
      <c r="AM315" s="55" t="e">
        <f t="shared" ca="1" si="99"/>
        <v>#N/A</v>
      </c>
    </row>
    <row r="316" spans="18:39">
      <c r="R316" s="83" t="e">
        <f ca="1"/>
        <v>#N/A</v>
      </c>
      <c r="S316" s="55" t="e">
        <f t="shared" ca="1" si="91"/>
        <v>#N/A</v>
      </c>
      <c r="T316" s="55" t="e">
        <f t="shared" ca="1" si="85"/>
        <v>#N/A</v>
      </c>
      <c r="U316" s="55" t="e">
        <f t="shared" ca="1" si="86"/>
        <v>#N/A</v>
      </c>
      <c r="V316" s="55" t="e">
        <f t="shared" ca="1" si="87"/>
        <v>#N/A</v>
      </c>
      <c r="W316" s="55" t="e">
        <f t="shared" ca="1" si="92"/>
        <v>#N/A</v>
      </c>
      <c r="X316" s="55" t="e">
        <f t="shared" ca="1" si="93"/>
        <v>#N/A</v>
      </c>
      <c r="Y316" s="55" t="e">
        <f t="shared" ca="1" si="94"/>
        <v>#N/A</v>
      </c>
      <c r="Z316" s="55" t="e">
        <f t="shared" ca="1" si="95"/>
        <v>#N/A</v>
      </c>
      <c r="AB316" t="e">
        <f t="shared" ca="1" si="88"/>
        <v>#N/A</v>
      </c>
      <c r="AC316" t="e">
        <f t="shared" ca="1" si="96"/>
        <v>#N/A</v>
      </c>
      <c r="AD316" t="e">
        <f t="shared" ca="1" si="89"/>
        <v>#N/A</v>
      </c>
      <c r="AE316" t="e">
        <f t="shared" ca="1" si="90"/>
        <v>#N/A</v>
      </c>
      <c r="AF316" s="83" t="e">
        <f ca="1"/>
        <v>#N/A</v>
      </c>
      <c r="AG316" s="55" t="e">
        <f t="shared" ca="1" si="100"/>
        <v>#N/A</v>
      </c>
      <c r="AH316" s="55" t="e">
        <f t="shared" ca="1" si="101"/>
        <v>#N/A</v>
      </c>
      <c r="AI316" s="55" t="e">
        <f t="shared" ca="1" si="102"/>
        <v>#N/A</v>
      </c>
      <c r="AJ316" s="55" t="e">
        <f t="shared" ca="1" si="103"/>
        <v>#N/A</v>
      </c>
      <c r="AK316" s="55" t="e">
        <f t="shared" ca="1" si="97"/>
        <v>#N/A</v>
      </c>
      <c r="AL316" s="55" t="e">
        <f t="shared" ca="1" si="98"/>
        <v>#N/A</v>
      </c>
      <c r="AM316" s="55" t="e">
        <f t="shared" ca="1" si="99"/>
        <v>#N/A</v>
      </c>
    </row>
    <row r="317" spans="18:39">
      <c r="R317" s="83" t="e">
        <f ca="1"/>
        <v>#N/A</v>
      </c>
      <c r="S317" s="55" t="e">
        <f t="shared" ca="1" si="91"/>
        <v>#N/A</v>
      </c>
      <c r="T317" s="55" t="e">
        <f t="shared" ca="1" si="85"/>
        <v>#N/A</v>
      </c>
      <c r="U317" s="55" t="e">
        <f t="shared" ca="1" si="86"/>
        <v>#N/A</v>
      </c>
      <c r="V317" s="55" t="e">
        <f t="shared" ca="1" si="87"/>
        <v>#N/A</v>
      </c>
      <c r="W317" s="55" t="e">
        <f t="shared" ca="1" si="92"/>
        <v>#N/A</v>
      </c>
      <c r="X317" s="55" t="e">
        <f t="shared" ca="1" si="93"/>
        <v>#N/A</v>
      </c>
      <c r="Y317" s="55" t="e">
        <f t="shared" ca="1" si="94"/>
        <v>#N/A</v>
      </c>
      <c r="Z317" s="55" t="e">
        <f t="shared" ca="1" si="95"/>
        <v>#N/A</v>
      </c>
      <c r="AB317" t="e">
        <f t="shared" ca="1" si="88"/>
        <v>#N/A</v>
      </c>
      <c r="AC317" t="e">
        <f t="shared" ca="1" si="96"/>
        <v>#N/A</v>
      </c>
      <c r="AD317" t="e">
        <f t="shared" ca="1" si="89"/>
        <v>#N/A</v>
      </c>
      <c r="AE317" t="e">
        <f t="shared" ca="1" si="90"/>
        <v>#N/A</v>
      </c>
      <c r="AF317" s="83" t="e">
        <f ca="1"/>
        <v>#N/A</v>
      </c>
      <c r="AG317" s="55" t="e">
        <f t="shared" ca="1" si="100"/>
        <v>#N/A</v>
      </c>
      <c r="AH317" s="55" t="e">
        <f t="shared" ca="1" si="101"/>
        <v>#N/A</v>
      </c>
      <c r="AI317" s="55" t="e">
        <f t="shared" ca="1" si="102"/>
        <v>#N/A</v>
      </c>
      <c r="AJ317" s="55" t="e">
        <f t="shared" ca="1" si="103"/>
        <v>#N/A</v>
      </c>
      <c r="AK317" s="55" t="e">
        <f t="shared" ca="1" si="97"/>
        <v>#N/A</v>
      </c>
      <c r="AL317" s="55" t="e">
        <f t="shared" ca="1" si="98"/>
        <v>#N/A</v>
      </c>
      <c r="AM317" s="55" t="e">
        <f t="shared" ca="1" si="99"/>
        <v>#N/A</v>
      </c>
    </row>
    <row r="318" spans="18:39">
      <c r="R318" s="83" t="e">
        <f ca="1"/>
        <v>#N/A</v>
      </c>
      <c r="S318" s="55" t="e">
        <f t="shared" ca="1" si="91"/>
        <v>#N/A</v>
      </c>
      <c r="T318" s="55" t="e">
        <f t="shared" ca="1" si="85"/>
        <v>#N/A</v>
      </c>
      <c r="U318" s="55" t="e">
        <f t="shared" ca="1" si="86"/>
        <v>#N/A</v>
      </c>
      <c r="V318" s="55" t="e">
        <f t="shared" ca="1" si="87"/>
        <v>#N/A</v>
      </c>
      <c r="W318" s="55" t="e">
        <f t="shared" ca="1" si="92"/>
        <v>#N/A</v>
      </c>
      <c r="X318" s="55" t="e">
        <f t="shared" ca="1" si="93"/>
        <v>#N/A</v>
      </c>
      <c r="Y318" s="55" t="e">
        <f t="shared" ca="1" si="94"/>
        <v>#N/A</v>
      </c>
      <c r="Z318" s="55" t="e">
        <f t="shared" ca="1" si="95"/>
        <v>#N/A</v>
      </c>
      <c r="AB318" t="e">
        <f t="shared" ca="1" si="88"/>
        <v>#N/A</v>
      </c>
      <c r="AC318" t="e">
        <f t="shared" ca="1" si="96"/>
        <v>#N/A</v>
      </c>
      <c r="AD318" t="e">
        <f t="shared" ca="1" si="89"/>
        <v>#N/A</v>
      </c>
      <c r="AE318" t="e">
        <f t="shared" ca="1" si="90"/>
        <v>#N/A</v>
      </c>
      <c r="AF318" s="83" t="e">
        <f ca="1"/>
        <v>#N/A</v>
      </c>
      <c r="AG318" s="55" t="e">
        <f t="shared" ca="1" si="100"/>
        <v>#N/A</v>
      </c>
      <c r="AH318" s="55" t="e">
        <f t="shared" ca="1" si="101"/>
        <v>#N/A</v>
      </c>
      <c r="AI318" s="55" t="e">
        <f t="shared" ca="1" si="102"/>
        <v>#N/A</v>
      </c>
      <c r="AJ318" s="55" t="e">
        <f t="shared" ca="1" si="103"/>
        <v>#N/A</v>
      </c>
      <c r="AK318" s="55" t="e">
        <f t="shared" ca="1" si="97"/>
        <v>#N/A</v>
      </c>
      <c r="AL318" s="55" t="e">
        <f t="shared" ca="1" si="98"/>
        <v>#N/A</v>
      </c>
      <c r="AM318" s="55" t="e">
        <f t="shared" ca="1" si="99"/>
        <v>#N/A</v>
      </c>
    </row>
    <row r="319" spans="18:39">
      <c r="R319" s="83" t="e">
        <f ca="1"/>
        <v>#N/A</v>
      </c>
      <c r="S319" s="55" t="e">
        <f t="shared" ca="1" si="91"/>
        <v>#N/A</v>
      </c>
      <c r="T319" s="55" t="e">
        <f t="shared" ca="1" si="85"/>
        <v>#N/A</v>
      </c>
      <c r="U319" s="55" t="e">
        <f t="shared" ca="1" si="86"/>
        <v>#N/A</v>
      </c>
      <c r="V319" s="55" t="e">
        <f t="shared" ca="1" si="87"/>
        <v>#N/A</v>
      </c>
      <c r="W319" s="55" t="e">
        <f t="shared" ca="1" si="92"/>
        <v>#N/A</v>
      </c>
      <c r="X319" s="55" t="e">
        <f t="shared" ca="1" si="93"/>
        <v>#N/A</v>
      </c>
      <c r="Y319" s="55" t="e">
        <f t="shared" ca="1" si="94"/>
        <v>#N/A</v>
      </c>
      <c r="Z319" s="55" t="e">
        <f t="shared" ca="1" si="95"/>
        <v>#N/A</v>
      </c>
      <c r="AB319" t="e">
        <f t="shared" ca="1" si="88"/>
        <v>#N/A</v>
      </c>
      <c r="AC319" t="e">
        <f t="shared" ca="1" si="96"/>
        <v>#N/A</v>
      </c>
      <c r="AD319" t="e">
        <f t="shared" ca="1" si="89"/>
        <v>#N/A</v>
      </c>
      <c r="AE319" t="e">
        <f t="shared" ca="1" si="90"/>
        <v>#N/A</v>
      </c>
      <c r="AF319" s="83" t="e">
        <f ca="1"/>
        <v>#N/A</v>
      </c>
      <c r="AG319" s="55" t="e">
        <f t="shared" ca="1" si="100"/>
        <v>#N/A</v>
      </c>
      <c r="AH319" s="55" t="e">
        <f t="shared" ca="1" si="101"/>
        <v>#N/A</v>
      </c>
      <c r="AI319" s="55" t="e">
        <f t="shared" ca="1" si="102"/>
        <v>#N/A</v>
      </c>
      <c r="AJ319" s="55" t="e">
        <f t="shared" ca="1" si="103"/>
        <v>#N/A</v>
      </c>
      <c r="AK319" s="55" t="e">
        <f t="shared" ca="1" si="97"/>
        <v>#N/A</v>
      </c>
      <c r="AL319" s="55" t="e">
        <f t="shared" ca="1" si="98"/>
        <v>#N/A</v>
      </c>
      <c r="AM319" s="55" t="e">
        <f t="shared" ca="1" si="99"/>
        <v>#N/A</v>
      </c>
    </row>
    <row r="320" spans="18:39">
      <c r="R320" s="83" t="e">
        <f ca="1"/>
        <v>#N/A</v>
      </c>
      <c r="S320" s="55" t="e">
        <f t="shared" ca="1" si="91"/>
        <v>#N/A</v>
      </c>
      <c r="T320" s="55" t="e">
        <f t="shared" ca="1" si="85"/>
        <v>#N/A</v>
      </c>
      <c r="U320" s="55" t="e">
        <f t="shared" ca="1" si="86"/>
        <v>#N/A</v>
      </c>
      <c r="V320" s="55" t="e">
        <f t="shared" ca="1" si="87"/>
        <v>#N/A</v>
      </c>
      <c r="W320" s="55" t="e">
        <f t="shared" ca="1" si="92"/>
        <v>#N/A</v>
      </c>
      <c r="X320" s="55" t="e">
        <f t="shared" ca="1" si="93"/>
        <v>#N/A</v>
      </c>
      <c r="Y320" s="55" t="e">
        <f t="shared" ca="1" si="94"/>
        <v>#N/A</v>
      </c>
      <c r="Z320" s="55" t="e">
        <f t="shared" ca="1" si="95"/>
        <v>#N/A</v>
      </c>
      <c r="AB320" t="e">
        <f t="shared" ca="1" si="88"/>
        <v>#N/A</v>
      </c>
      <c r="AC320" t="e">
        <f t="shared" ca="1" si="96"/>
        <v>#N/A</v>
      </c>
      <c r="AD320" t="e">
        <f t="shared" ca="1" si="89"/>
        <v>#N/A</v>
      </c>
      <c r="AE320" t="e">
        <f t="shared" ca="1" si="90"/>
        <v>#N/A</v>
      </c>
      <c r="AF320" s="83" t="e">
        <f ca="1"/>
        <v>#N/A</v>
      </c>
      <c r="AG320" s="55" t="e">
        <f t="shared" ca="1" si="100"/>
        <v>#N/A</v>
      </c>
      <c r="AH320" s="55" t="e">
        <f t="shared" ca="1" si="101"/>
        <v>#N/A</v>
      </c>
      <c r="AI320" s="55" t="e">
        <f t="shared" ca="1" si="102"/>
        <v>#N/A</v>
      </c>
      <c r="AJ320" s="55" t="e">
        <f t="shared" ca="1" si="103"/>
        <v>#N/A</v>
      </c>
      <c r="AK320" s="55" t="e">
        <f t="shared" ca="1" si="97"/>
        <v>#N/A</v>
      </c>
      <c r="AL320" s="55" t="e">
        <f t="shared" ca="1" si="98"/>
        <v>#N/A</v>
      </c>
      <c r="AM320" s="55" t="e">
        <f t="shared" ca="1" si="99"/>
        <v>#N/A</v>
      </c>
    </row>
    <row r="321" spans="18:39">
      <c r="R321" s="83" t="e">
        <f ca="1"/>
        <v>#N/A</v>
      </c>
      <c r="S321" s="55" t="e">
        <f t="shared" ca="1" si="91"/>
        <v>#N/A</v>
      </c>
      <c r="T321" s="55" t="e">
        <f t="shared" ca="1" si="85"/>
        <v>#N/A</v>
      </c>
      <c r="U321" s="55" t="e">
        <f t="shared" ca="1" si="86"/>
        <v>#N/A</v>
      </c>
      <c r="V321" s="55" t="e">
        <f t="shared" ca="1" si="87"/>
        <v>#N/A</v>
      </c>
      <c r="W321" s="55" t="e">
        <f t="shared" ca="1" si="92"/>
        <v>#N/A</v>
      </c>
      <c r="X321" s="55" t="e">
        <f t="shared" ca="1" si="93"/>
        <v>#N/A</v>
      </c>
      <c r="Y321" s="55" t="e">
        <f t="shared" ca="1" si="94"/>
        <v>#N/A</v>
      </c>
      <c r="Z321" s="55" t="e">
        <f t="shared" ca="1" si="95"/>
        <v>#N/A</v>
      </c>
      <c r="AB321" t="e">
        <f t="shared" ca="1" si="88"/>
        <v>#N/A</v>
      </c>
      <c r="AC321" t="e">
        <f t="shared" ca="1" si="96"/>
        <v>#N/A</v>
      </c>
      <c r="AD321" t="e">
        <f t="shared" ca="1" si="89"/>
        <v>#N/A</v>
      </c>
      <c r="AE321" t="e">
        <f t="shared" ca="1" si="90"/>
        <v>#N/A</v>
      </c>
      <c r="AF321" s="83" t="e">
        <f ca="1"/>
        <v>#N/A</v>
      </c>
      <c r="AG321" s="55" t="e">
        <f t="shared" ca="1" si="100"/>
        <v>#N/A</v>
      </c>
      <c r="AH321" s="55" t="e">
        <f t="shared" ca="1" si="101"/>
        <v>#N/A</v>
      </c>
      <c r="AI321" s="55" t="e">
        <f t="shared" ca="1" si="102"/>
        <v>#N/A</v>
      </c>
      <c r="AJ321" s="55" t="e">
        <f t="shared" ca="1" si="103"/>
        <v>#N/A</v>
      </c>
      <c r="AK321" s="55" t="e">
        <f t="shared" ca="1" si="97"/>
        <v>#N/A</v>
      </c>
      <c r="AL321" s="55" t="e">
        <f t="shared" ca="1" si="98"/>
        <v>#N/A</v>
      </c>
      <c r="AM321" s="55" t="e">
        <f t="shared" ca="1" si="99"/>
        <v>#N/A</v>
      </c>
    </row>
    <row r="322" spans="18:39">
      <c r="R322" s="83" t="e">
        <f ca="1"/>
        <v>#N/A</v>
      </c>
      <c r="S322" s="55" t="e">
        <f t="shared" ca="1" si="91"/>
        <v>#N/A</v>
      </c>
      <c r="T322" s="55" t="e">
        <f t="shared" ca="1" si="85"/>
        <v>#N/A</v>
      </c>
      <c r="U322" s="55" t="e">
        <f t="shared" ca="1" si="86"/>
        <v>#N/A</v>
      </c>
      <c r="V322" s="55" t="e">
        <f t="shared" ca="1" si="87"/>
        <v>#N/A</v>
      </c>
      <c r="W322" s="55" t="e">
        <f t="shared" ca="1" si="92"/>
        <v>#N/A</v>
      </c>
      <c r="X322" s="55" t="e">
        <f t="shared" ca="1" si="93"/>
        <v>#N/A</v>
      </c>
      <c r="Y322" s="55" t="e">
        <f t="shared" ca="1" si="94"/>
        <v>#N/A</v>
      </c>
      <c r="Z322" s="55" t="e">
        <f t="shared" ca="1" si="95"/>
        <v>#N/A</v>
      </c>
      <c r="AB322" t="e">
        <f t="shared" ca="1" si="88"/>
        <v>#N/A</v>
      </c>
      <c r="AC322" t="e">
        <f t="shared" ca="1" si="96"/>
        <v>#N/A</v>
      </c>
      <c r="AD322" t="e">
        <f t="shared" ca="1" si="89"/>
        <v>#N/A</v>
      </c>
      <c r="AE322" t="e">
        <f t="shared" ca="1" si="90"/>
        <v>#N/A</v>
      </c>
      <c r="AF322" s="83" t="e">
        <f ca="1"/>
        <v>#N/A</v>
      </c>
      <c r="AG322" s="55" t="e">
        <f t="shared" ca="1" si="100"/>
        <v>#N/A</v>
      </c>
      <c r="AH322" s="55" t="e">
        <f t="shared" ca="1" si="101"/>
        <v>#N/A</v>
      </c>
      <c r="AI322" s="55" t="e">
        <f t="shared" ca="1" si="102"/>
        <v>#N/A</v>
      </c>
      <c r="AJ322" s="55" t="e">
        <f t="shared" ca="1" si="103"/>
        <v>#N/A</v>
      </c>
      <c r="AK322" s="55" t="e">
        <f t="shared" ca="1" si="97"/>
        <v>#N/A</v>
      </c>
      <c r="AL322" s="55" t="e">
        <f t="shared" ca="1" si="98"/>
        <v>#N/A</v>
      </c>
      <c r="AM322" s="55" t="e">
        <f t="shared" ca="1" si="99"/>
        <v>#N/A</v>
      </c>
    </row>
    <row r="323" spans="18:39">
      <c r="R323" s="83" t="e">
        <f ca="1"/>
        <v>#N/A</v>
      </c>
      <c r="S323" s="55" t="e">
        <f t="shared" ca="1" si="91"/>
        <v>#N/A</v>
      </c>
      <c r="T323" s="55" t="e">
        <f t="shared" ca="1" si="85"/>
        <v>#N/A</v>
      </c>
      <c r="U323" s="55" t="e">
        <f t="shared" ca="1" si="86"/>
        <v>#N/A</v>
      </c>
      <c r="V323" s="55" t="e">
        <f t="shared" ca="1" si="87"/>
        <v>#N/A</v>
      </c>
      <c r="W323" s="55" t="e">
        <f t="shared" ca="1" si="92"/>
        <v>#N/A</v>
      </c>
      <c r="X323" s="55" t="e">
        <f t="shared" ca="1" si="93"/>
        <v>#N/A</v>
      </c>
      <c r="Y323" s="55" t="e">
        <f t="shared" ca="1" si="94"/>
        <v>#N/A</v>
      </c>
      <c r="Z323" s="55" t="e">
        <f t="shared" ca="1" si="95"/>
        <v>#N/A</v>
      </c>
      <c r="AB323" t="e">
        <f t="shared" ca="1" si="88"/>
        <v>#N/A</v>
      </c>
      <c r="AC323" t="e">
        <f t="shared" ca="1" si="96"/>
        <v>#N/A</v>
      </c>
      <c r="AD323" t="e">
        <f t="shared" ca="1" si="89"/>
        <v>#N/A</v>
      </c>
      <c r="AE323" t="e">
        <f t="shared" ca="1" si="90"/>
        <v>#N/A</v>
      </c>
      <c r="AF323" s="83" t="e">
        <f ca="1"/>
        <v>#N/A</v>
      </c>
      <c r="AG323" s="55" t="e">
        <f t="shared" ca="1" si="100"/>
        <v>#N/A</v>
      </c>
      <c r="AH323" s="55" t="e">
        <f t="shared" ca="1" si="101"/>
        <v>#N/A</v>
      </c>
      <c r="AI323" s="55" t="e">
        <f t="shared" ca="1" si="102"/>
        <v>#N/A</v>
      </c>
      <c r="AJ323" s="55" t="e">
        <f t="shared" ca="1" si="103"/>
        <v>#N/A</v>
      </c>
      <c r="AK323" s="55" t="e">
        <f t="shared" ca="1" si="97"/>
        <v>#N/A</v>
      </c>
      <c r="AL323" s="55" t="e">
        <f t="shared" ca="1" si="98"/>
        <v>#N/A</v>
      </c>
      <c r="AM323" s="55" t="e">
        <f t="shared" ca="1" si="99"/>
        <v>#N/A</v>
      </c>
    </row>
    <row r="324" spans="18:39">
      <c r="R324" s="83" t="e">
        <f ca="1"/>
        <v>#N/A</v>
      </c>
      <c r="S324" s="55" t="e">
        <f t="shared" ca="1" si="91"/>
        <v>#N/A</v>
      </c>
      <c r="T324" s="55" t="e">
        <f t="shared" ca="1" si="85"/>
        <v>#N/A</v>
      </c>
      <c r="U324" s="55" t="e">
        <f t="shared" ca="1" si="86"/>
        <v>#N/A</v>
      </c>
      <c r="V324" s="55" t="e">
        <f t="shared" ca="1" si="87"/>
        <v>#N/A</v>
      </c>
      <c r="W324" s="55" t="e">
        <f t="shared" ca="1" si="92"/>
        <v>#N/A</v>
      </c>
      <c r="X324" s="55" t="e">
        <f t="shared" ca="1" si="93"/>
        <v>#N/A</v>
      </c>
      <c r="Y324" s="55" t="e">
        <f t="shared" ca="1" si="94"/>
        <v>#N/A</v>
      </c>
      <c r="Z324" s="55" t="e">
        <f t="shared" ca="1" si="95"/>
        <v>#N/A</v>
      </c>
      <c r="AB324" t="e">
        <f t="shared" ca="1" si="88"/>
        <v>#N/A</v>
      </c>
      <c r="AC324" t="e">
        <f t="shared" ca="1" si="96"/>
        <v>#N/A</v>
      </c>
      <c r="AD324" t="e">
        <f t="shared" ca="1" si="89"/>
        <v>#N/A</v>
      </c>
      <c r="AE324" t="e">
        <f t="shared" ca="1" si="90"/>
        <v>#N/A</v>
      </c>
      <c r="AF324" s="83" t="e">
        <f ca="1"/>
        <v>#N/A</v>
      </c>
      <c r="AG324" s="55" t="e">
        <f t="shared" ca="1" si="100"/>
        <v>#N/A</v>
      </c>
      <c r="AH324" s="55" t="e">
        <f t="shared" ca="1" si="101"/>
        <v>#N/A</v>
      </c>
      <c r="AI324" s="55" t="e">
        <f t="shared" ca="1" si="102"/>
        <v>#N/A</v>
      </c>
      <c r="AJ324" s="55" t="e">
        <f t="shared" ca="1" si="103"/>
        <v>#N/A</v>
      </c>
      <c r="AK324" s="55" t="e">
        <f t="shared" ca="1" si="97"/>
        <v>#N/A</v>
      </c>
      <c r="AL324" s="55" t="e">
        <f t="shared" ca="1" si="98"/>
        <v>#N/A</v>
      </c>
      <c r="AM324" s="55" t="e">
        <f t="shared" ca="1" si="99"/>
        <v>#N/A</v>
      </c>
    </row>
    <row r="325" spans="18:39">
      <c r="R325" s="83" t="e">
        <f ca="1"/>
        <v>#N/A</v>
      </c>
      <c r="S325" s="55" t="e">
        <f t="shared" ca="1" si="91"/>
        <v>#N/A</v>
      </c>
      <c r="T325" s="55" t="e">
        <f t="shared" ca="1" si="85"/>
        <v>#N/A</v>
      </c>
      <c r="U325" s="55" t="e">
        <f t="shared" ca="1" si="86"/>
        <v>#N/A</v>
      </c>
      <c r="V325" s="55" t="e">
        <f t="shared" ca="1" si="87"/>
        <v>#N/A</v>
      </c>
      <c r="W325" s="55" t="e">
        <f t="shared" ca="1" si="92"/>
        <v>#N/A</v>
      </c>
      <c r="X325" s="55" t="e">
        <f t="shared" ca="1" si="93"/>
        <v>#N/A</v>
      </c>
      <c r="Y325" s="55" t="e">
        <f t="shared" ca="1" si="94"/>
        <v>#N/A</v>
      </c>
      <c r="Z325" s="55" t="e">
        <f t="shared" ca="1" si="95"/>
        <v>#N/A</v>
      </c>
      <c r="AB325" t="e">
        <f t="shared" ca="1" si="88"/>
        <v>#N/A</v>
      </c>
      <c r="AC325" t="e">
        <f t="shared" ca="1" si="96"/>
        <v>#N/A</v>
      </c>
      <c r="AD325" t="e">
        <f t="shared" ca="1" si="89"/>
        <v>#N/A</v>
      </c>
      <c r="AE325" t="e">
        <f t="shared" ca="1" si="90"/>
        <v>#N/A</v>
      </c>
      <c r="AF325" s="83" t="e">
        <f ca="1"/>
        <v>#N/A</v>
      </c>
      <c r="AG325" s="55" t="e">
        <f t="shared" ca="1" si="100"/>
        <v>#N/A</v>
      </c>
      <c r="AH325" s="55" t="e">
        <f t="shared" ca="1" si="101"/>
        <v>#N/A</v>
      </c>
      <c r="AI325" s="55" t="e">
        <f t="shared" ca="1" si="102"/>
        <v>#N/A</v>
      </c>
      <c r="AJ325" s="55" t="e">
        <f t="shared" ca="1" si="103"/>
        <v>#N/A</v>
      </c>
      <c r="AK325" s="55" t="e">
        <f t="shared" ca="1" si="97"/>
        <v>#N/A</v>
      </c>
      <c r="AL325" s="55" t="e">
        <f t="shared" ca="1" si="98"/>
        <v>#N/A</v>
      </c>
      <c r="AM325" s="55" t="e">
        <f t="shared" ca="1" si="99"/>
        <v>#N/A</v>
      </c>
    </row>
    <row r="326" spans="18:39">
      <c r="R326" s="83" t="e">
        <f ca="1"/>
        <v>#N/A</v>
      </c>
      <c r="S326" s="55" t="e">
        <f t="shared" ca="1" si="91"/>
        <v>#N/A</v>
      </c>
      <c r="T326" s="55" t="e">
        <f t="shared" ca="1" si="85"/>
        <v>#N/A</v>
      </c>
      <c r="U326" s="55" t="e">
        <f t="shared" ca="1" si="86"/>
        <v>#N/A</v>
      </c>
      <c r="V326" s="55" t="e">
        <f t="shared" ca="1" si="87"/>
        <v>#N/A</v>
      </c>
      <c r="W326" s="55" t="e">
        <f t="shared" ca="1" si="92"/>
        <v>#N/A</v>
      </c>
      <c r="X326" s="55" t="e">
        <f t="shared" ca="1" si="93"/>
        <v>#N/A</v>
      </c>
      <c r="Y326" s="55" t="e">
        <f t="shared" ca="1" si="94"/>
        <v>#N/A</v>
      </c>
      <c r="Z326" s="55" t="e">
        <f t="shared" ca="1" si="95"/>
        <v>#N/A</v>
      </c>
      <c r="AB326" t="e">
        <f t="shared" ca="1" si="88"/>
        <v>#N/A</v>
      </c>
      <c r="AC326" t="e">
        <f t="shared" ca="1" si="96"/>
        <v>#N/A</v>
      </c>
      <c r="AD326" t="e">
        <f t="shared" ca="1" si="89"/>
        <v>#N/A</v>
      </c>
      <c r="AE326" t="e">
        <f t="shared" ca="1" si="90"/>
        <v>#N/A</v>
      </c>
      <c r="AF326" s="83" t="e">
        <f ca="1"/>
        <v>#N/A</v>
      </c>
      <c r="AG326" s="55" t="e">
        <f t="shared" ca="1" si="100"/>
        <v>#N/A</v>
      </c>
      <c r="AH326" s="55" t="e">
        <f t="shared" ca="1" si="101"/>
        <v>#N/A</v>
      </c>
      <c r="AI326" s="55" t="e">
        <f t="shared" ca="1" si="102"/>
        <v>#N/A</v>
      </c>
      <c r="AJ326" s="55" t="e">
        <f t="shared" ca="1" si="103"/>
        <v>#N/A</v>
      </c>
      <c r="AK326" s="55" t="e">
        <f t="shared" ca="1" si="97"/>
        <v>#N/A</v>
      </c>
      <c r="AL326" s="55" t="e">
        <f t="shared" ca="1" si="98"/>
        <v>#N/A</v>
      </c>
      <c r="AM326" s="55" t="e">
        <f t="shared" ca="1" si="99"/>
        <v>#N/A</v>
      </c>
    </row>
    <row r="327" spans="18:39">
      <c r="R327" s="83" t="e">
        <f ca="1"/>
        <v>#N/A</v>
      </c>
      <c r="S327" s="55" t="e">
        <f t="shared" ca="1" si="91"/>
        <v>#N/A</v>
      </c>
      <c r="T327" s="55" t="e">
        <f t="shared" ca="1" si="85"/>
        <v>#N/A</v>
      </c>
      <c r="U327" s="55" t="e">
        <f t="shared" ca="1" si="86"/>
        <v>#N/A</v>
      </c>
      <c r="V327" s="55" t="e">
        <f t="shared" ca="1" si="87"/>
        <v>#N/A</v>
      </c>
      <c r="W327" s="55" t="e">
        <f t="shared" ca="1" si="92"/>
        <v>#N/A</v>
      </c>
      <c r="X327" s="55" t="e">
        <f t="shared" ca="1" si="93"/>
        <v>#N/A</v>
      </c>
      <c r="Y327" s="55" t="e">
        <f t="shared" ca="1" si="94"/>
        <v>#N/A</v>
      </c>
      <c r="Z327" s="55" t="e">
        <f t="shared" ca="1" si="95"/>
        <v>#N/A</v>
      </c>
      <c r="AB327" t="e">
        <f t="shared" ca="1" si="88"/>
        <v>#N/A</v>
      </c>
      <c r="AC327" t="e">
        <f t="shared" ca="1" si="96"/>
        <v>#N/A</v>
      </c>
      <c r="AD327" t="e">
        <f t="shared" ca="1" si="89"/>
        <v>#N/A</v>
      </c>
      <c r="AE327" t="e">
        <f t="shared" ca="1" si="90"/>
        <v>#N/A</v>
      </c>
      <c r="AF327" s="83" t="e">
        <f ca="1"/>
        <v>#N/A</v>
      </c>
      <c r="AG327" s="55" t="e">
        <f t="shared" ca="1" si="100"/>
        <v>#N/A</v>
      </c>
      <c r="AH327" s="55" t="e">
        <f t="shared" ca="1" si="101"/>
        <v>#N/A</v>
      </c>
      <c r="AI327" s="55" t="e">
        <f t="shared" ca="1" si="102"/>
        <v>#N/A</v>
      </c>
      <c r="AJ327" s="55" t="e">
        <f t="shared" ca="1" si="103"/>
        <v>#N/A</v>
      </c>
      <c r="AK327" s="55" t="e">
        <f t="shared" ca="1" si="97"/>
        <v>#N/A</v>
      </c>
      <c r="AL327" s="55" t="e">
        <f t="shared" ca="1" si="98"/>
        <v>#N/A</v>
      </c>
      <c r="AM327" s="55" t="e">
        <f t="shared" ca="1" si="99"/>
        <v>#N/A</v>
      </c>
    </row>
    <row r="328" spans="18:39">
      <c r="R328" s="83" t="e">
        <f ca="1"/>
        <v>#N/A</v>
      </c>
      <c r="S328" s="55" t="e">
        <f t="shared" ca="1" si="91"/>
        <v>#N/A</v>
      </c>
      <c r="T328" s="55" t="e">
        <f t="shared" ca="1" si="85"/>
        <v>#N/A</v>
      </c>
      <c r="U328" s="55" t="e">
        <f t="shared" ca="1" si="86"/>
        <v>#N/A</v>
      </c>
      <c r="V328" s="55" t="e">
        <f t="shared" ca="1" si="87"/>
        <v>#N/A</v>
      </c>
      <c r="W328" s="55" t="e">
        <f t="shared" ca="1" si="92"/>
        <v>#N/A</v>
      </c>
      <c r="X328" s="55" t="e">
        <f t="shared" ca="1" si="93"/>
        <v>#N/A</v>
      </c>
      <c r="Y328" s="55" t="e">
        <f t="shared" ca="1" si="94"/>
        <v>#N/A</v>
      </c>
      <c r="Z328" s="55" t="e">
        <f t="shared" ca="1" si="95"/>
        <v>#N/A</v>
      </c>
      <c r="AB328" t="e">
        <f t="shared" ca="1" si="88"/>
        <v>#N/A</v>
      </c>
      <c r="AC328" t="e">
        <f t="shared" ca="1" si="96"/>
        <v>#N/A</v>
      </c>
      <c r="AD328" t="e">
        <f t="shared" ca="1" si="89"/>
        <v>#N/A</v>
      </c>
      <c r="AE328" t="e">
        <f t="shared" ca="1" si="90"/>
        <v>#N/A</v>
      </c>
      <c r="AF328" s="83" t="e">
        <f ca="1"/>
        <v>#N/A</v>
      </c>
      <c r="AG328" s="55" t="e">
        <f t="shared" ca="1" si="100"/>
        <v>#N/A</v>
      </c>
      <c r="AH328" s="55" t="e">
        <f t="shared" ca="1" si="101"/>
        <v>#N/A</v>
      </c>
      <c r="AI328" s="55" t="e">
        <f t="shared" ca="1" si="102"/>
        <v>#N/A</v>
      </c>
      <c r="AJ328" s="55" t="e">
        <f t="shared" ca="1" si="103"/>
        <v>#N/A</v>
      </c>
      <c r="AK328" s="55" t="e">
        <f t="shared" ca="1" si="97"/>
        <v>#N/A</v>
      </c>
      <c r="AL328" s="55" t="e">
        <f t="shared" ca="1" si="98"/>
        <v>#N/A</v>
      </c>
      <c r="AM328" s="55" t="e">
        <f t="shared" ca="1" si="99"/>
        <v>#N/A</v>
      </c>
    </row>
    <row r="329" spans="18:39">
      <c r="R329" s="83" t="e">
        <f ca="1"/>
        <v>#N/A</v>
      </c>
      <c r="S329" s="55" t="e">
        <f t="shared" ca="1" si="91"/>
        <v>#N/A</v>
      </c>
      <c r="T329" s="55" t="e">
        <f t="shared" ca="1" si="85"/>
        <v>#N/A</v>
      </c>
      <c r="U329" s="55" t="e">
        <f t="shared" ca="1" si="86"/>
        <v>#N/A</v>
      </c>
      <c r="V329" s="55" t="e">
        <f t="shared" ca="1" si="87"/>
        <v>#N/A</v>
      </c>
      <c r="W329" s="55" t="e">
        <f t="shared" ca="1" si="92"/>
        <v>#N/A</v>
      </c>
      <c r="X329" s="55" t="e">
        <f t="shared" ca="1" si="93"/>
        <v>#N/A</v>
      </c>
      <c r="Y329" s="55" t="e">
        <f t="shared" ca="1" si="94"/>
        <v>#N/A</v>
      </c>
      <c r="Z329" s="55" t="e">
        <f t="shared" ca="1" si="95"/>
        <v>#N/A</v>
      </c>
      <c r="AB329" t="e">
        <f t="shared" ca="1" si="88"/>
        <v>#N/A</v>
      </c>
      <c r="AC329" t="e">
        <f t="shared" ca="1" si="96"/>
        <v>#N/A</v>
      </c>
      <c r="AD329" t="e">
        <f t="shared" ca="1" si="89"/>
        <v>#N/A</v>
      </c>
      <c r="AE329" t="e">
        <f t="shared" ca="1" si="90"/>
        <v>#N/A</v>
      </c>
      <c r="AF329" s="83" t="e">
        <f ca="1"/>
        <v>#N/A</v>
      </c>
      <c r="AG329" s="55" t="e">
        <f t="shared" ca="1" si="100"/>
        <v>#N/A</v>
      </c>
      <c r="AH329" s="55" t="e">
        <f t="shared" ca="1" si="101"/>
        <v>#N/A</v>
      </c>
      <c r="AI329" s="55" t="e">
        <f t="shared" ca="1" si="102"/>
        <v>#N/A</v>
      </c>
      <c r="AJ329" s="55" t="e">
        <f t="shared" ca="1" si="103"/>
        <v>#N/A</v>
      </c>
      <c r="AK329" s="55" t="e">
        <f t="shared" ca="1" si="97"/>
        <v>#N/A</v>
      </c>
      <c r="AL329" s="55" t="e">
        <f t="shared" ca="1" si="98"/>
        <v>#N/A</v>
      </c>
      <c r="AM329" s="55" t="e">
        <f t="shared" ca="1" si="99"/>
        <v>#N/A</v>
      </c>
    </row>
    <row r="330" spans="18:39">
      <c r="R330" s="83" t="e">
        <f ca="1"/>
        <v>#N/A</v>
      </c>
      <c r="S330" s="55" t="e">
        <f t="shared" ca="1" si="91"/>
        <v>#N/A</v>
      </c>
      <c r="T330" s="55" t="e">
        <f t="shared" ca="1" si="85"/>
        <v>#N/A</v>
      </c>
      <c r="U330" s="55" t="e">
        <f t="shared" ca="1" si="86"/>
        <v>#N/A</v>
      </c>
      <c r="V330" s="55" t="e">
        <f t="shared" ca="1" si="87"/>
        <v>#N/A</v>
      </c>
      <c r="W330" s="55" t="e">
        <f t="shared" ca="1" si="92"/>
        <v>#N/A</v>
      </c>
      <c r="X330" s="55" t="e">
        <f t="shared" ca="1" si="93"/>
        <v>#N/A</v>
      </c>
      <c r="Y330" s="55" t="e">
        <f t="shared" ca="1" si="94"/>
        <v>#N/A</v>
      </c>
      <c r="Z330" s="55" t="e">
        <f t="shared" ca="1" si="95"/>
        <v>#N/A</v>
      </c>
      <c r="AB330" t="e">
        <f t="shared" ca="1" si="88"/>
        <v>#N/A</v>
      </c>
      <c r="AC330" t="e">
        <f t="shared" ca="1" si="96"/>
        <v>#N/A</v>
      </c>
      <c r="AD330" t="e">
        <f t="shared" ca="1" si="89"/>
        <v>#N/A</v>
      </c>
      <c r="AE330" t="e">
        <f t="shared" ca="1" si="90"/>
        <v>#N/A</v>
      </c>
      <c r="AF330" s="83" t="e">
        <f ca="1"/>
        <v>#N/A</v>
      </c>
      <c r="AG330" s="55" t="e">
        <f t="shared" ca="1" si="100"/>
        <v>#N/A</v>
      </c>
      <c r="AH330" s="55" t="e">
        <f t="shared" ca="1" si="101"/>
        <v>#N/A</v>
      </c>
      <c r="AI330" s="55" t="e">
        <f t="shared" ca="1" si="102"/>
        <v>#N/A</v>
      </c>
      <c r="AJ330" s="55" t="e">
        <f t="shared" ca="1" si="103"/>
        <v>#N/A</v>
      </c>
      <c r="AK330" s="55" t="e">
        <f t="shared" ca="1" si="97"/>
        <v>#N/A</v>
      </c>
      <c r="AL330" s="55" t="e">
        <f t="shared" ca="1" si="98"/>
        <v>#N/A</v>
      </c>
      <c r="AM330" s="55" t="e">
        <f t="shared" ca="1" si="99"/>
        <v>#N/A</v>
      </c>
    </row>
    <row r="331" spans="18:39">
      <c r="R331" s="83" t="e">
        <f ca="1"/>
        <v>#N/A</v>
      </c>
      <c r="S331" s="55" t="e">
        <f t="shared" ca="1" si="91"/>
        <v>#N/A</v>
      </c>
      <c r="T331" s="55" t="e">
        <f t="shared" ca="1" si="85"/>
        <v>#N/A</v>
      </c>
      <c r="U331" s="55" t="e">
        <f t="shared" ca="1" si="86"/>
        <v>#N/A</v>
      </c>
      <c r="V331" s="55" t="e">
        <f t="shared" ca="1" si="87"/>
        <v>#N/A</v>
      </c>
      <c r="W331" s="55" t="e">
        <f t="shared" ca="1" si="92"/>
        <v>#N/A</v>
      </c>
      <c r="X331" s="55" t="e">
        <f t="shared" ca="1" si="93"/>
        <v>#N/A</v>
      </c>
      <c r="Y331" s="55" t="e">
        <f t="shared" ca="1" si="94"/>
        <v>#N/A</v>
      </c>
      <c r="Z331" s="55" t="e">
        <f t="shared" ca="1" si="95"/>
        <v>#N/A</v>
      </c>
      <c r="AB331" t="e">
        <f t="shared" ca="1" si="88"/>
        <v>#N/A</v>
      </c>
      <c r="AC331" t="e">
        <f t="shared" ca="1" si="96"/>
        <v>#N/A</v>
      </c>
      <c r="AD331" t="e">
        <f t="shared" ca="1" si="89"/>
        <v>#N/A</v>
      </c>
      <c r="AE331" t="e">
        <f t="shared" ca="1" si="90"/>
        <v>#N/A</v>
      </c>
      <c r="AF331" s="83" t="e">
        <f ca="1"/>
        <v>#N/A</v>
      </c>
      <c r="AG331" s="55" t="e">
        <f t="shared" ca="1" si="100"/>
        <v>#N/A</v>
      </c>
      <c r="AH331" s="55" t="e">
        <f t="shared" ca="1" si="101"/>
        <v>#N/A</v>
      </c>
      <c r="AI331" s="55" t="e">
        <f t="shared" ca="1" si="102"/>
        <v>#N/A</v>
      </c>
      <c r="AJ331" s="55" t="e">
        <f t="shared" ca="1" si="103"/>
        <v>#N/A</v>
      </c>
      <c r="AK331" s="55" t="e">
        <f t="shared" ca="1" si="97"/>
        <v>#N/A</v>
      </c>
      <c r="AL331" s="55" t="e">
        <f t="shared" ca="1" si="98"/>
        <v>#N/A</v>
      </c>
      <c r="AM331" s="55" t="e">
        <f t="shared" ca="1" si="99"/>
        <v>#N/A</v>
      </c>
    </row>
    <row r="332" spans="18:39">
      <c r="R332" s="83" t="e">
        <f ca="1"/>
        <v>#N/A</v>
      </c>
      <c r="S332" s="55" t="e">
        <f t="shared" ca="1" si="91"/>
        <v>#N/A</v>
      </c>
      <c r="T332" s="55" t="e">
        <f t="shared" ca="1" si="85"/>
        <v>#N/A</v>
      </c>
      <c r="U332" s="55" t="e">
        <f t="shared" ca="1" si="86"/>
        <v>#N/A</v>
      </c>
      <c r="V332" s="55" t="e">
        <f t="shared" ca="1" si="87"/>
        <v>#N/A</v>
      </c>
      <c r="W332" s="55" t="e">
        <f t="shared" ca="1" si="92"/>
        <v>#N/A</v>
      </c>
      <c r="X332" s="55" t="e">
        <f t="shared" ca="1" si="93"/>
        <v>#N/A</v>
      </c>
      <c r="Y332" s="55" t="e">
        <f t="shared" ca="1" si="94"/>
        <v>#N/A</v>
      </c>
      <c r="Z332" s="55" t="e">
        <f t="shared" ca="1" si="95"/>
        <v>#N/A</v>
      </c>
      <c r="AB332" t="e">
        <f t="shared" ca="1" si="88"/>
        <v>#N/A</v>
      </c>
      <c r="AC332" t="e">
        <f t="shared" ca="1" si="96"/>
        <v>#N/A</v>
      </c>
      <c r="AD332" t="e">
        <f t="shared" ca="1" si="89"/>
        <v>#N/A</v>
      </c>
      <c r="AE332" t="e">
        <f t="shared" ca="1" si="90"/>
        <v>#N/A</v>
      </c>
      <c r="AF332" s="83" t="e">
        <f ca="1"/>
        <v>#N/A</v>
      </c>
      <c r="AG332" s="55" t="e">
        <f t="shared" ca="1" si="100"/>
        <v>#N/A</v>
      </c>
      <c r="AH332" s="55" t="e">
        <f t="shared" ca="1" si="101"/>
        <v>#N/A</v>
      </c>
      <c r="AI332" s="55" t="e">
        <f t="shared" ca="1" si="102"/>
        <v>#N/A</v>
      </c>
      <c r="AJ332" s="55" t="e">
        <f t="shared" ca="1" si="103"/>
        <v>#N/A</v>
      </c>
      <c r="AK332" s="55" t="e">
        <f t="shared" ca="1" si="97"/>
        <v>#N/A</v>
      </c>
      <c r="AL332" s="55" t="e">
        <f t="shared" ca="1" si="98"/>
        <v>#N/A</v>
      </c>
      <c r="AM332" s="55" t="e">
        <f t="shared" ca="1" si="99"/>
        <v>#N/A</v>
      </c>
    </row>
    <row r="333" spans="18:39">
      <c r="R333" s="83" t="e">
        <f ca="1"/>
        <v>#N/A</v>
      </c>
      <c r="S333" s="55" t="e">
        <f t="shared" ca="1" si="91"/>
        <v>#N/A</v>
      </c>
      <c r="T333" s="55" t="e">
        <f t="shared" ca="1" si="85"/>
        <v>#N/A</v>
      </c>
      <c r="U333" s="55" t="e">
        <f t="shared" ca="1" si="86"/>
        <v>#N/A</v>
      </c>
      <c r="V333" s="55" t="e">
        <f t="shared" ca="1" si="87"/>
        <v>#N/A</v>
      </c>
      <c r="W333" s="55" t="e">
        <f t="shared" ca="1" si="92"/>
        <v>#N/A</v>
      </c>
      <c r="X333" s="55" t="e">
        <f t="shared" ca="1" si="93"/>
        <v>#N/A</v>
      </c>
      <c r="Y333" s="55" t="e">
        <f t="shared" ca="1" si="94"/>
        <v>#N/A</v>
      </c>
      <c r="Z333" s="55" t="e">
        <f t="shared" ca="1" si="95"/>
        <v>#N/A</v>
      </c>
      <c r="AB333" t="e">
        <f t="shared" ca="1" si="88"/>
        <v>#N/A</v>
      </c>
      <c r="AC333" t="e">
        <f t="shared" ca="1" si="96"/>
        <v>#N/A</v>
      </c>
      <c r="AD333" t="e">
        <f t="shared" ca="1" si="89"/>
        <v>#N/A</v>
      </c>
      <c r="AE333" t="e">
        <f t="shared" ca="1" si="90"/>
        <v>#N/A</v>
      </c>
      <c r="AF333" s="83" t="e">
        <f ca="1"/>
        <v>#N/A</v>
      </c>
      <c r="AG333" s="55" t="e">
        <f t="shared" ca="1" si="100"/>
        <v>#N/A</v>
      </c>
      <c r="AH333" s="55" t="e">
        <f t="shared" ca="1" si="101"/>
        <v>#N/A</v>
      </c>
      <c r="AI333" s="55" t="e">
        <f t="shared" ca="1" si="102"/>
        <v>#N/A</v>
      </c>
      <c r="AJ333" s="55" t="e">
        <f t="shared" ca="1" si="103"/>
        <v>#N/A</v>
      </c>
      <c r="AK333" s="55" t="e">
        <f t="shared" ca="1" si="97"/>
        <v>#N/A</v>
      </c>
      <c r="AL333" s="55" t="e">
        <f t="shared" ca="1" si="98"/>
        <v>#N/A</v>
      </c>
      <c r="AM333" s="55" t="e">
        <f t="shared" ca="1" si="99"/>
        <v>#N/A</v>
      </c>
    </row>
    <row r="334" spans="18:39">
      <c r="R334" s="83" t="e">
        <f ca="1"/>
        <v>#N/A</v>
      </c>
      <c r="S334" s="55" t="e">
        <f t="shared" ca="1" si="91"/>
        <v>#N/A</v>
      </c>
      <c r="T334" s="55" t="e">
        <f t="shared" ca="1" si="85"/>
        <v>#N/A</v>
      </c>
      <c r="U334" s="55" t="e">
        <f t="shared" ca="1" si="86"/>
        <v>#N/A</v>
      </c>
      <c r="V334" s="55" t="e">
        <f t="shared" ca="1" si="87"/>
        <v>#N/A</v>
      </c>
      <c r="W334" s="55" t="e">
        <f t="shared" ca="1" si="92"/>
        <v>#N/A</v>
      </c>
      <c r="X334" s="55" t="e">
        <f t="shared" ca="1" si="93"/>
        <v>#N/A</v>
      </c>
      <c r="Y334" s="55" t="e">
        <f t="shared" ca="1" si="94"/>
        <v>#N/A</v>
      </c>
      <c r="Z334" s="55" t="e">
        <f t="shared" ca="1" si="95"/>
        <v>#N/A</v>
      </c>
      <c r="AB334" t="e">
        <f t="shared" ca="1" si="88"/>
        <v>#N/A</v>
      </c>
      <c r="AC334" t="e">
        <f t="shared" ca="1" si="96"/>
        <v>#N/A</v>
      </c>
      <c r="AD334" t="e">
        <f t="shared" ca="1" si="89"/>
        <v>#N/A</v>
      </c>
      <c r="AE334" t="e">
        <f t="shared" ca="1" si="90"/>
        <v>#N/A</v>
      </c>
      <c r="AF334" s="83" t="e">
        <f ca="1"/>
        <v>#N/A</v>
      </c>
      <c r="AG334" s="55" t="e">
        <f t="shared" ca="1" si="100"/>
        <v>#N/A</v>
      </c>
      <c r="AH334" s="55" t="e">
        <f t="shared" ca="1" si="101"/>
        <v>#N/A</v>
      </c>
      <c r="AI334" s="55" t="e">
        <f t="shared" ca="1" si="102"/>
        <v>#N/A</v>
      </c>
      <c r="AJ334" s="55" t="e">
        <f t="shared" ca="1" si="103"/>
        <v>#N/A</v>
      </c>
      <c r="AK334" s="55" t="e">
        <f t="shared" ca="1" si="97"/>
        <v>#N/A</v>
      </c>
      <c r="AL334" s="55" t="e">
        <f t="shared" ca="1" si="98"/>
        <v>#N/A</v>
      </c>
      <c r="AM334" s="55" t="e">
        <f t="shared" ca="1" si="99"/>
        <v>#N/A</v>
      </c>
    </row>
    <row r="335" spans="18:39">
      <c r="R335" s="83" t="e">
        <f ca="1"/>
        <v>#N/A</v>
      </c>
      <c r="S335" s="55" t="e">
        <f t="shared" ca="1" si="91"/>
        <v>#N/A</v>
      </c>
      <c r="T335" s="55" t="e">
        <f t="shared" ca="1" si="85"/>
        <v>#N/A</v>
      </c>
      <c r="U335" s="55" t="e">
        <f t="shared" ca="1" si="86"/>
        <v>#N/A</v>
      </c>
      <c r="V335" s="55" t="e">
        <f t="shared" ca="1" si="87"/>
        <v>#N/A</v>
      </c>
      <c r="W335" s="55" t="e">
        <f t="shared" ca="1" si="92"/>
        <v>#N/A</v>
      </c>
      <c r="X335" s="55" t="e">
        <f t="shared" ca="1" si="93"/>
        <v>#N/A</v>
      </c>
      <c r="Y335" s="55" t="e">
        <f t="shared" ca="1" si="94"/>
        <v>#N/A</v>
      </c>
      <c r="Z335" s="55" t="e">
        <f t="shared" ca="1" si="95"/>
        <v>#N/A</v>
      </c>
      <c r="AB335" t="e">
        <f t="shared" ca="1" si="88"/>
        <v>#N/A</v>
      </c>
      <c r="AC335" t="e">
        <f t="shared" ca="1" si="96"/>
        <v>#N/A</v>
      </c>
      <c r="AD335" t="e">
        <f t="shared" ca="1" si="89"/>
        <v>#N/A</v>
      </c>
      <c r="AE335" t="e">
        <f t="shared" ca="1" si="90"/>
        <v>#N/A</v>
      </c>
      <c r="AF335" s="83" t="e">
        <f ca="1"/>
        <v>#N/A</v>
      </c>
      <c r="AG335" s="55" t="e">
        <f t="shared" ca="1" si="100"/>
        <v>#N/A</v>
      </c>
      <c r="AH335" s="55" t="e">
        <f t="shared" ca="1" si="101"/>
        <v>#N/A</v>
      </c>
      <c r="AI335" s="55" t="e">
        <f t="shared" ca="1" si="102"/>
        <v>#N/A</v>
      </c>
      <c r="AJ335" s="55" t="e">
        <f t="shared" ca="1" si="103"/>
        <v>#N/A</v>
      </c>
      <c r="AK335" s="55" t="e">
        <f t="shared" ca="1" si="97"/>
        <v>#N/A</v>
      </c>
      <c r="AL335" s="55" t="e">
        <f t="shared" ca="1" si="98"/>
        <v>#N/A</v>
      </c>
      <c r="AM335" s="55" t="e">
        <f t="shared" ca="1" si="99"/>
        <v>#N/A</v>
      </c>
    </row>
    <row r="336" spans="18:39">
      <c r="R336" s="83" t="e">
        <f ca="1"/>
        <v>#N/A</v>
      </c>
      <c r="S336" s="55" t="e">
        <f t="shared" ca="1" si="91"/>
        <v>#N/A</v>
      </c>
      <c r="T336" s="55" t="e">
        <f t="shared" ca="1" si="85"/>
        <v>#N/A</v>
      </c>
      <c r="U336" s="55" t="e">
        <f t="shared" ca="1" si="86"/>
        <v>#N/A</v>
      </c>
      <c r="V336" s="55" t="e">
        <f t="shared" ca="1" si="87"/>
        <v>#N/A</v>
      </c>
      <c r="W336" s="55" t="e">
        <f t="shared" ca="1" si="92"/>
        <v>#N/A</v>
      </c>
      <c r="X336" s="55" t="e">
        <f t="shared" ca="1" si="93"/>
        <v>#N/A</v>
      </c>
      <c r="Y336" s="55" t="e">
        <f t="shared" ca="1" si="94"/>
        <v>#N/A</v>
      </c>
      <c r="Z336" s="55" t="e">
        <f t="shared" ca="1" si="95"/>
        <v>#N/A</v>
      </c>
      <c r="AB336" t="e">
        <f t="shared" ca="1" si="88"/>
        <v>#N/A</v>
      </c>
      <c r="AC336" t="e">
        <f t="shared" ca="1" si="96"/>
        <v>#N/A</v>
      </c>
      <c r="AD336" t="e">
        <f t="shared" ca="1" si="89"/>
        <v>#N/A</v>
      </c>
      <c r="AE336" t="e">
        <f t="shared" ca="1" si="90"/>
        <v>#N/A</v>
      </c>
      <c r="AF336" s="83" t="e">
        <f ca="1"/>
        <v>#N/A</v>
      </c>
      <c r="AG336" s="55" t="e">
        <f t="shared" ca="1" si="100"/>
        <v>#N/A</v>
      </c>
      <c r="AH336" s="55" t="e">
        <f t="shared" ca="1" si="101"/>
        <v>#N/A</v>
      </c>
      <c r="AI336" s="55" t="e">
        <f t="shared" ca="1" si="102"/>
        <v>#N/A</v>
      </c>
      <c r="AJ336" s="55" t="e">
        <f t="shared" ca="1" si="103"/>
        <v>#N/A</v>
      </c>
      <c r="AK336" s="55" t="e">
        <f t="shared" ca="1" si="97"/>
        <v>#N/A</v>
      </c>
      <c r="AL336" s="55" t="e">
        <f t="shared" ca="1" si="98"/>
        <v>#N/A</v>
      </c>
      <c r="AM336" s="55" t="e">
        <f t="shared" ca="1" si="99"/>
        <v>#N/A</v>
      </c>
    </row>
    <row r="337" spans="18:39">
      <c r="R337" s="83" t="e">
        <f ca="1"/>
        <v>#N/A</v>
      </c>
      <c r="S337" s="55" t="e">
        <f t="shared" ca="1" si="91"/>
        <v>#N/A</v>
      </c>
      <c r="T337" s="55" t="e">
        <f t="shared" ca="1" si="85"/>
        <v>#N/A</v>
      </c>
      <c r="U337" s="55" t="e">
        <f t="shared" ca="1" si="86"/>
        <v>#N/A</v>
      </c>
      <c r="V337" s="55" t="e">
        <f t="shared" ca="1" si="87"/>
        <v>#N/A</v>
      </c>
      <c r="W337" s="55" t="e">
        <f t="shared" ca="1" si="92"/>
        <v>#N/A</v>
      </c>
      <c r="X337" s="55" t="e">
        <f t="shared" ca="1" si="93"/>
        <v>#N/A</v>
      </c>
      <c r="Y337" s="55" t="e">
        <f t="shared" ca="1" si="94"/>
        <v>#N/A</v>
      </c>
      <c r="Z337" s="55" t="e">
        <f t="shared" ca="1" si="95"/>
        <v>#N/A</v>
      </c>
      <c r="AB337" t="e">
        <f t="shared" ca="1" si="88"/>
        <v>#N/A</v>
      </c>
      <c r="AC337" t="e">
        <f t="shared" ca="1" si="96"/>
        <v>#N/A</v>
      </c>
      <c r="AD337" t="e">
        <f t="shared" ca="1" si="89"/>
        <v>#N/A</v>
      </c>
      <c r="AE337" t="e">
        <f t="shared" ca="1" si="90"/>
        <v>#N/A</v>
      </c>
      <c r="AF337" s="83" t="e">
        <f ca="1"/>
        <v>#N/A</v>
      </c>
      <c r="AG337" s="55" t="e">
        <f t="shared" ca="1" si="100"/>
        <v>#N/A</v>
      </c>
      <c r="AH337" s="55" t="e">
        <f t="shared" ca="1" si="101"/>
        <v>#N/A</v>
      </c>
      <c r="AI337" s="55" t="e">
        <f t="shared" ca="1" si="102"/>
        <v>#N/A</v>
      </c>
      <c r="AJ337" s="55" t="e">
        <f t="shared" ca="1" si="103"/>
        <v>#N/A</v>
      </c>
      <c r="AK337" s="55" t="e">
        <f t="shared" ca="1" si="97"/>
        <v>#N/A</v>
      </c>
      <c r="AL337" s="55" t="e">
        <f t="shared" ca="1" si="98"/>
        <v>#N/A</v>
      </c>
      <c r="AM337" s="55" t="e">
        <f t="shared" ca="1" si="99"/>
        <v>#N/A</v>
      </c>
    </row>
    <row r="338" spans="18:39">
      <c r="R338" s="83" t="e">
        <f ca="1"/>
        <v>#N/A</v>
      </c>
      <c r="S338" s="55" t="e">
        <f t="shared" ca="1" si="91"/>
        <v>#N/A</v>
      </c>
      <c r="T338" s="55" t="e">
        <f t="shared" ref="T338:T395" ca="1" si="104">VLOOKUP(S338,ModelOutputs,2,FALSE)</f>
        <v>#N/A</v>
      </c>
      <c r="U338" s="55" t="e">
        <f t="shared" ref="U338:U395" ca="1" si="105">VLOOKUP(S338,ModelOutputs,7,FALSE)</f>
        <v>#N/A</v>
      </c>
      <c r="V338" s="55" t="e">
        <f t="shared" ref="V338:V395" ca="1" si="106">VLOOKUP(S338,ModelOutputs,6,FALSE)</f>
        <v>#N/A</v>
      </c>
      <c r="W338" s="55" t="e">
        <f t="shared" ca="1" si="92"/>
        <v>#N/A</v>
      </c>
      <c r="X338" s="55" t="e">
        <f t="shared" ca="1" si="93"/>
        <v>#N/A</v>
      </c>
      <c r="Y338" s="55" t="e">
        <f t="shared" ca="1" si="94"/>
        <v>#N/A</v>
      </c>
      <c r="Z338" s="55" t="e">
        <f t="shared" ca="1" si="95"/>
        <v>#N/A</v>
      </c>
      <c r="AB338" t="e">
        <f t="shared" ref="AB338:AB401" ca="1" si="107">VLOOKUP(S338,ModelOutputs,10,FALSE)*AWC</f>
        <v>#N/A</v>
      </c>
      <c r="AC338" t="e">
        <f t="shared" ca="1" si="96"/>
        <v>#N/A</v>
      </c>
      <c r="AD338" t="e">
        <f t="shared" ref="AD338:AD395" ca="1" si="108">VLOOKUP(S338,ModelOutputs,12,FALSE)</f>
        <v>#N/A</v>
      </c>
      <c r="AE338" t="e">
        <f t="shared" ref="AE338:AE395" ca="1" si="109">VLOOKUP(S338,ModelOutputs,13,FALSE)</f>
        <v>#N/A</v>
      </c>
      <c r="AF338" s="83" t="e">
        <f ca="1"/>
        <v>#N/A</v>
      </c>
      <c r="AG338" s="55" t="e">
        <f t="shared" ca="1" si="100"/>
        <v>#N/A</v>
      </c>
      <c r="AH338" s="55" t="e">
        <f t="shared" ca="1" si="101"/>
        <v>#N/A</v>
      </c>
      <c r="AI338" s="55" t="e">
        <f t="shared" ca="1" si="102"/>
        <v>#N/A</v>
      </c>
      <c r="AJ338" s="55" t="e">
        <f t="shared" ca="1" si="103"/>
        <v>#N/A</v>
      </c>
      <c r="AK338" s="55" t="e">
        <f t="shared" ca="1" si="97"/>
        <v>#N/A</v>
      </c>
      <c r="AL338" s="55" t="e">
        <f t="shared" ca="1" si="98"/>
        <v>#N/A</v>
      </c>
      <c r="AM338" s="55" t="e">
        <f t="shared" ca="1" si="99"/>
        <v>#N/A</v>
      </c>
    </row>
    <row r="339" spans="18:39">
      <c r="R339" s="83" t="e">
        <f ca="1"/>
        <v>#N/A</v>
      </c>
      <c r="S339" s="55" t="e">
        <f t="shared" ref="S339:S395" ca="1" si="110">IF(R339&gt;1,R339,"")</f>
        <v>#N/A</v>
      </c>
      <c r="T339" s="55" t="e">
        <f t="shared" ca="1" si="104"/>
        <v>#N/A</v>
      </c>
      <c r="U339" s="55" t="e">
        <f t="shared" ca="1" si="105"/>
        <v>#N/A</v>
      </c>
      <c r="V339" s="55" t="e">
        <f t="shared" ca="1" si="106"/>
        <v>#N/A</v>
      </c>
      <c r="W339" s="55" t="e">
        <f t="shared" ref="W339:W402" ca="1" si="111">-VLOOKUP(S339,ModelOutputs,9,FALSE)+W338</f>
        <v>#N/A</v>
      </c>
      <c r="X339" s="55" t="e">
        <f t="shared" ref="X339:X402" ca="1" si="112">VLOOKUP(S339,ModelOutputs,5,FALSE)+X338</f>
        <v>#N/A</v>
      </c>
      <c r="Y339" s="55" t="e">
        <f t="shared" ref="Y339:Y402" ca="1" si="113">VLOOKUP(S339,ModelOutputs,4,FALSE)+Y338</f>
        <v>#N/A</v>
      </c>
      <c r="Z339" s="55" t="e">
        <f t="shared" ref="Z339:Z402" ca="1" si="114">VLOOKUP(S339,ModelOutputs,3,FALSE)*10</f>
        <v>#N/A</v>
      </c>
      <c r="AB339" t="e">
        <f t="shared" ca="1" si="107"/>
        <v>#N/A</v>
      </c>
      <c r="AC339" t="e">
        <f t="shared" ref="AC339:AC395" ca="1" si="115">VLOOKUP(S339,ModelOutputs,11,FALSE)+AC338</f>
        <v>#N/A</v>
      </c>
      <c r="AD339" t="e">
        <f t="shared" ca="1" si="108"/>
        <v>#N/A</v>
      </c>
      <c r="AE339" t="e">
        <f t="shared" ca="1" si="109"/>
        <v>#N/A</v>
      </c>
      <c r="AF339" s="83" t="e">
        <f ca="1"/>
        <v>#N/A</v>
      </c>
      <c r="AG339" s="55" t="e">
        <f t="shared" ca="1" si="100"/>
        <v>#N/A</v>
      </c>
      <c r="AH339" s="55" t="e">
        <f t="shared" ca="1" si="101"/>
        <v>#N/A</v>
      </c>
      <c r="AI339" s="55" t="e">
        <f t="shared" ca="1" si="102"/>
        <v>#N/A</v>
      </c>
      <c r="AJ339" s="55" t="e">
        <f t="shared" ca="1" si="103"/>
        <v>#N/A</v>
      </c>
      <c r="AK339" s="55" t="e">
        <f t="shared" ref="AK339:AK402" ca="1" si="116">-VLOOKUP(AG339,ModelOutputs,9,FALSE)+AK338</f>
        <v>#N/A</v>
      </c>
      <c r="AL339" s="55" t="e">
        <f t="shared" ref="AL339:AL402" ca="1" si="117">VLOOKUP(AG339,ModelOutputs,5,FALSE)+AL338</f>
        <v>#N/A</v>
      </c>
      <c r="AM339" s="55" t="e">
        <f t="shared" ref="AM339:AM402" ca="1" si="118">VLOOKUP(AG339,ModelOutputs,4,FALSE)+AM338</f>
        <v>#N/A</v>
      </c>
    </row>
    <row r="340" spans="18:39">
      <c r="R340" s="83" t="e">
        <f ca="1"/>
        <v>#N/A</v>
      </c>
      <c r="S340" s="55" t="e">
        <f t="shared" ca="1" si="110"/>
        <v>#N/A</v>
      </c>
      <c r="T340" s="55" t="e">
        <f t="shared" ca="1" si="104"/>
        <v>#N/A</v>
      </c>
      <c r="U340" s="55" t="e">
        <f t="shared" ca="1" si="105"/>
        <v>#N/A</v>
      </c>
      <c r="V340" s="55" t="e">
        <f t="shared" ca="1" si="106"/>
        <v>#N/A</v>
      </c>
      <c r="W340" s="55" t="e">
        <f t="shared" ca="1" si="111"/>
        <v>#N/A</v>
      </c>
      <c r="X340" s="55" t="e">
        <f t="shared" ca="1" si="112"/>
        <v>#N/A</v>
      </c>
      <c r="Y340" s="55" t="e">
        <f t="shared" ca="1" si="113"/>
        <v>#N/A</v>
      </c>
      <c r="Z340" s="55" t="e">
        <f t="shared" ca="1" si="114"/>
        <v>#N/A</v>
      </c>
      <c r="AB340" t="e">
        <f t="shared" ca="1" si="107"/>
        <v>#N/A</v>
      </c>
      <c r="AC340" t="e">
        <f t="shared" ca="1" si="115"/>
        <v>#N/A</v>
      </c>
      <c r="AD340" t="e">
        <f t="shared" ca="1" si="108"/>
        <v>#N/A</v>
      </c>
      <c r="AE340" t="e">
        <f t="shared" ca="1" si="109"/>
        <v>#N/A</v>
      </c>
      <c r="AF340" s="83" t="e">
        <f ca="1"/>
        <v>#N/A</v>
      </c>
      <c r="AG340" s="55" t="e">
        <f t="shared" ca="1" si="100"/>
        <v>#N/A</v>
      </c>
      <c r="AH340" s="55" t="e">
        <f t="shared" ca="1" si="101"/>
        <v>#N/A</v>
      </c>
      <c r="AI340" s="55" t="e">
        <f t="shared" ca="1" si="102"/>
        <v>#N/A</v>
      </c>
      <c r="AJ340" s="55" t="e">
        <f t="shared" ca="1" si="103"/>
        <v>#N/A</v>
      </c>
      <c r="AK340" s="55" t="e">
        <f t="shared" ca="1" si="116"/>
        <v>#N/A</v>
      </c>
      <c r="AL340" s="55" t="e">
        <f t="shared" ca="1" si="117"/>
        <v>#N/A</v>
      </c>
      <c r="AM340" s="55" t="e">
        <f t="shared" ca="1" si="118"/>
        <v>#N/A</v>
      </c>
    </row>
    <row r="341" spans="18:39">
      <c r="R341" s="83" t="e">
        <f ca="1"/>
        <v>#N/A</v>
      </c>
      <c r="S341" s="55" t="e">
        <f t="shared" ca="1" si="110"/>
        <v>#N/A</v>
      </c>
      <c r="T341" s="55" t="e">
        <f t="shared" ca="1" si="104"/>
        <v>#N/A</v>
      </c>
      <c r="U341" s="55" t="e">
        <f t="shared" ca="1" si="105"/>
        <v>#N/A</v>
      </c>
      <c r="V341" s="55" t="e">
        <f t="shared" ca="1" si="106"/>
        <v>#N/A</v>
      </c>
      <c r="W341" s="55" t="e">
        <f t="shared" ca="1" si="111"/>
        <v>#N/A</v>
      </c>
      <c r="X341" s="55" t="e">
        <f t="shared" ca="1" si="112"/>
        <v>#N/A</v>
      </c>
      <c r="Y341" s="55" t="e">
        <f t="shared" ca="1" si="113"/>
        <v>#N/A</v>
      </c>
      <c r="Z341" s="55" t="e">
        <f t="shared" ca="1" si="114"/>
        <v>#N/A</v>
      </c>
      <c r="AB341" t="e">
        <f t="shared" ca="1" si="107"/>
        <v>#N/A</v>
      </c>
      <c r="AC341" t="e">
        <f t="shared" ca="1" si="115"/>
        <v>#N/A</v>
      </c>
      <c r="AD341" t="e">
        <f t="shared" ca="1" si="108"/>
        <v>#N/A</v>
      </c>
      <c r="AE341" t="e">
        <f t="shared" ca="1" si="109"/>
        <v>#N/A</v>
      </c>
      <c r="AF341" s="83" t="e">
        <f ca="1"/>
        <v>#N/A</v>
      </c>
      <c r="AG341" s="55" t="e">
        <f t="shared" ref="AG341:AG395" ca="1" si="119">IF(AF341&gt;1,AF341,"")</f>
        <v>#N/A</v>
      </c>
      <c r="AH341" s="55" t="e">
        <f t="shared" ref="AH341:AH395" ca="1" si="120">VLOOKUP(AG341,ModelOutputs,2,FALSE)</f>
        <v>#N/A</v>
      </c>
      <c r="AI341" s="55" t="e">
        <f t="shared" ref="AI341:AI395" ca="1" si="121">VLOOKUP(AG341,ModelOutputs,7,FALSE)</f>
        <v>#N/A</v>
      </c>
      <c r="AJ341" s="55" t="e">
        <f t="shared" ref="AJ341:AJ395" ca="1" si="122">VLOOKUP(AG341,ModelOutputs,6,FALSE)</f>
        <v>#N/A</v>
      </c>
      <c r="AK341" s="55" t="e">
        <f t="shared" ca="1" si="116"/>
        <v>#N/A</v>
      </c>
      <c r="AL341" s="55" t="e">
        <f t="shared" ca="1" si="117"/>
        <v>#N/A</v>
      </c>
      <c r="AM341" s="55" t="e">
        <f t="shared" ca="1" si="118"/>
        <v>#N/A</v>
      </c>
    </row>
    <row r="342" spans="18:39">
      <c r="R342" s="83" t="e">
        <f ca="1"/>
        <v>#N/A</v>
      </c>
      <c r="S342" s="55" t="e">
        <f t="shared" ca="1" si="110"/>
        <v>#N/A</v>
      </c>
      <c r="T342" s="55" t="e">
        <f t="shared" ca="1" si="104"/>
        <v>#N/A</v>
      </c>
      <c r="U342" s="55" t="e">
        <f t="shared" ca="1" si="105"/>
        <v>#N/A</v>
      </c>
      <c r="V342" s="55" t="e">
        <f t="shared" ca="1" si="106"/>
        <v>#N/A</v>
      </c>
      <c r="W342" s="55" t="e">
        <f t="shared" ca="1" si="111"/>
        <v>#N/A</v>
      </c>
      <c r="X342" s="55" t="e">
        <f t="shared" ca="1" si="112"/>
        <v>#N/A</v>
      </c>
      <c r="Y342" s="55" t="e">
        <f t="shared" ca="1" si="113"/>
        <v>#N/A</v>
      </c>
      <c r="Z342" s="55" t="e">
        <f t="shared" ca="1" si="114"/>
        <v>#N/A</v>
      </c>
      <c r="AB342" t="e">
        <f t="shared" ca="1" si="107"/>
        <v>#N/A</v>
      </c>
      <c r="AC342" t="e">
        <f t="shared" ca="1" si="115"/>
        <v>#N/A</v>
      </c>
      <c r="AD342" t="e">
        <f t="shared" ca="1" si="108"/>
        <v>#N/A</v>
      </c>
      <c r="AE342" t="e">
        <f t="shared" ca="1" si="109"/>
        <v>#N/A</v>
      </c>
      <c r="AF342" s="83" t="e">
        <f ca="1"/>
        <v>#N/A</v>
      </c>
      <c r="AG342" s="55" t="e">
        <f t="shared" ca="1" si="119"/>
        <v>#N/A</v>
      </c>
      <c r="AH342" s="55" t="e">
        <f t="shared" ca="1" si="120"/>
        <v>#N/A</v>
      </c>
      <c r="AI342" s="55" t="e">
        <f t="shared" ca="1" si="121"/>
        <v>#N/A</v>
      </c>
      <c r="AJ342" s="55" t="e">
        <f t="shared" ca="1" si="122"/>
        <v>#N/A</v>
      </c>
      <c r="AK342" s="55" t="e">
        <f t="shared" ca="1" si="116"/>
        <v>#N/A</v>
      </c>
      <c r="AL342" s="55" t="e">
        <f t="shared" ca="1" si="117"/>
        <v>#N/A</v>
      </c>
      <c r="AM342" s="55" t="e">
        <f t="shared" ca="1" si="118"/>
        <v>#N/A</v>
      </c>
    </row>
    <row r="343" spans="18:39">
      <c r="R343" s="83" t="e">
        <f ca="1"/>
        <v>#N/A</v>
      </c>
      <c r="S343" s="55" t="e">
        <f t="shared" ca="1" si="110"/>
        <v>#N/A</v>
      </c>
      <c r="T343" s="55" t="e">
        <f t="shared" ca="1" si="104"/>
        <v>#N/A</v>
      </c>
      <c r="U343" s="55" t="e">
        <f t="shared" ca="1" si="105"/>
        <v>#N/A</v>
      </c>
      <c r="V343" s="55" t="e">
        <f t="shared" ca="1" si="106"/>
        <v>#N/A</v>
      </c>
      <c r="W343" s="55" t="e">
        <f t="shared" ca="1" si="111"/>
        <v>#N/A</v>
      </c>
      <c r="X343" s="55" t="e">
        <f t="shared" ca="1" si="112"/>
        <v>#N/A</v>
      </c>
      <c r="Y343" s="55" t="e">
        <f t="shared" ca="1" si="113"/>
        <v>#N/A</v>
      </c>
      <c r="Z343" s="55" t="e">
        <f t="shared" ca="1" si="114"/>
        <v>#N/A</v>
      </c>
      <c r="AB343" t="e">
        <f t="shared" ca="1" si="107"/>
        <v>#N/A</v>
      </c>
      <c r="AC343" t="e">
        <f t="shared" ca="1" si="115"/>
        <v>#N/A</v>
      </c>
      <c r="AD343" t="e">
        <f t="shared" ca="1" si="108"/>
        <v>#N/A</v>
      </c>
      <c r="AE343" t="e">
        <f t="shared" ca="1" si="109"/>
        <v>#N/A</v>
      </c>
      <c r="AF343" s="83" t="e">
        <f ca="1"/>
        <v>#N/A</v>
      </c>
      <c r="AG343" s="55" t="e">
        <f t="shared" ca="1" si="119"/>
        <v>#N/A</v>
      </c>
      <c r="AH343" s="55" t="e">
        <f t="shared" ca="1" si="120"/>
        <v>#N/A</v>
      </c>
      <c r="AI343" s="55" t="e">
        <f t="shared" ca="1" si="121"/>
        <v>#N/A</v>
      </c>
      <c r="AJ343" s="55" t="e">
        <f t="shared" ca="1" si="122"/>
        <v>#N/A</v>
      </c>
      <c r="AK343" s="55" t="e">
        <f t="shared" ca="1" si="116"/>
        <v>#N/A</v>
      </c>
      <c r="AL343" s="55" t="e">
        <f t="shared" ca="1" si="117"/>
        <v>#N/A</v>
      </c>
      <c r="AM343" s="55" t="e">
        <f t="shared" ca="1" si="118"/>
        <v>#N/A</v>
      </c>
    </row>
    <row r="344" spans="18:39">
      <c r="R344" s="83" t="e">
        <f ca="1"/>
        <v>#N/A</v>
      </c>
      <c r="S344" s="55" t="e">
        <f t="shared" ca="1" si="110"/>
        <v>#N/A</v>
      </c>
      <c r="T344" s="55" t="e">
        <f t="shared" ca="1" si="104"/>
        <v>#N/A</v>
      </c>
      <c r="U344" s="55" t="e">
        <f t="shared" ca="1" si="105"/>
        <v>#N/A</v>
      </c>
      <c r="V344" s="55" t="e">
        <f t="shared" ca="1" si="106"/>
        <v>#N/A</v>
      </c>
      <c r="W344" s="55" t="e">
        <f t="shared" ca="1" si="111"/>
        <v>#N/A</v>
      </c>
      <c r="X344" s="55" t="e">
        <f t="shared" ca="1" si="112"/>
        <v>#N/A</v>
      </c>
      <c r="Y344" s="55" t="e">
        <f t="shared" ca="1" si="113"/>
        <v>#N/A</v>
      </c>
      <c r="Z344" s="55" t="e">
        <f t="shared" ca="1" si="114"/>
        <v>#N/A</v>
      </c>
      <c r="AB344" t="e">
        <f t="shared" ca="1" si="107"/>
        <v>#N/A</v>
      </c>
      <c r="AC344" t="e">
        <f t="shared" ca="1" si="115"/>
        <v>#N/A</v>
      </c>
      <c r="AD344" t="e">
        <f t="shared" ca="1" si="108"/>
        <v>#N/A</v>
      </c>
      <c r="AE344" t="e">
        <f t="shared" ca="1" si="109"/>
        <v>#N/A</v>
      </c>
      <c r="AF344" s="83" t="e">
        <f ca="1"/>
        <v>#N/A</v>
      </c>
      <c r="AG344" s="55" t="e">
        <f t="shared" ca="1" si="119"/>
        <v>#N/A</v>
      </c>
      <c r="AH344" s="55" t="e">
        <f t="shared" ca="1" si="120"/>
        <v>#N/A</v>
      </c>
      <c r="AI344" s="55" t="e">
        <f t="shared" ca="1" si="121"/>
        <v>#N/A</v>
      </c>
      <c r="AJ344" s="55" t="e">
        <f t="shared" ca="1" si="122"/>
        <v>#N/A</v>
      </c>
      <c r="AK344" s="55" t="e">
        <f t="shared" ca="1" si="116"/>
        <v>#N/A</v>
      </c>
      <c r="AL344" s="55" t="e">
        <f t="shared" ca="1" si="117"/>
        <v>#N/A</v>
      </c>
      <c r="AM344" s="55" t="e">
        <f t="shared" ca="1" si="118"/>
        <v>#N/A</v>
      </c>
    </row>
    <row r="345" spans="18:39">
      <c r="R345" s="83" t="e">
        <f ca="1"/>
        <v>#N/A</v>
      </c>
      <c r="S345" s="55" t="e">
        <f t="shared" ca="1" si="110"/>
        <v>#N/A</v>
      </c>
      <c r="T345" s="55" t="e">
        <f t="shared" ca="1" si="104"/>
        <v>#N/A</v>
      </c>
      <c r="U345" s="55" t="e">
        <f t="shared" ca="1" si="105"/>
        <v>#N/A</v>
      </c>
      <c r="V345" s="55" t="e">
        <f t="shared" ca="1" si="106"/>
        <v>#N/A</v>
      </c>
      <c r="W345" s="55" t="e">
        <f t="shared" ca="1" si="111"/>
        <v>#N/A</v>
      </c>
      <c r="X345" s="55" t="e">
        <f t="shared" ca="1" si="112"/>
        <v>#N/A</v>
      </c>
      <c r="Y345" s="55" t="e">
        <f t="shared" ca="1" si="113"/>
        <v>#N/A</v>
      </c>
      <c r="Z345" s="55" t="e">
        <f t="shared" ca="1" si="114"/>
        <v>#N/A</v>
      </c>
      <c r="AB345" t="e">
        <f t="shared" ca="1" si="107"/>
        <v>#N/A</v>
      </c>
      <c r="AC345" t="e">
        <f t="shared" ca="1" si="115"/>
        <v>#N/A</v>
      </c>
      <c r="AD345" t="e">
        <f t="shared" ca="1" si="108"/>
        <v>#N/A</v>
      </c>
      <c r="AE345" t="e">
        <f t="shared" ca="1" si="109"/>
        <v>#N/A</v>
      </c>
      <c r="AF345" s="83" t="e">
        <f ca="1"/>
        <v>#N/A</v>
      </c>
      <c r="AG345" s="55" t="e">
        <f t="shared" ca="1" si="119"/>
        <v>#N/A</v>
      </c>
      <c r="AH345" s="55" t="e">
        <f t="shared" ca="1" si="120"/>
        <v>#N/A</v>
      </c>
      <c r="AI345" s="55" t="e">
        <f t="shared" ca="1" si="121"/>
        <v>#N/A</v>
      </c>
      <c r="AJ345" s="55" t="e">
        <f t="shared" ca="1" si="122"/>
        <v>#N/A</v>
      </c>
      <c r="AK345" s="55" t="e">
        <f t="shared" ca="1" si="116"/>
        <v>#N/A</v>
      </c>
      <c r="AL345" s="55" t="e">
        <f t="shared" ca="1" si="117"/>
        <v>#N/A</v>
      </c>
      <c r="AM345" s="55" t="e">
        <f t="shared" ca="1" si="118"/>
        <v>#N/A</v>
      </c>
    </row>
    <row r="346" spans="18:39">
      <c r="R346" s="83" t="e">
        <f ca="1"/>
        <v>#N/A</v>
      </c>
      <c r="S346" s="55" t="e">
        <f t="shared" ca="1" si="110"/>
        <v>#N/A</v>
      </c>
      <c r="T346" s="55" t="e">
        <f t="shared" ca="1" si="104"/>
        <v>#N/A</v>
      </c>
      <c r="U346" s="55" t="e">
        <f t="shared" ca="1" si="105"/>
        <v>#N/A</v>
      </c>
      <c r="V346" s="55" t="e">
        <f t="shared" ca="1" si="106"/>
        <v>#N/A</v>
      </c>
      <c r="W346" s="55" t="e">
        <f t="shared" ca="1" si="111"/>
        <v>#N/A</v>
      </c>
      <c r="X346" s="55" t="e">
        <f t="shared" ca="1" si="112"/>
        <v>#N/A</v>
      </c>
      <c r="Y346" s="55" t="e">
        <f t="shared" ca="1" si="113"/>
        <v>#N/A</v>
      </c>
      <c r="Z346" s="55" t="e">
        <f t="shared" ca="1" si="114"/>
        <v>#N/A</v>
      </c>
      <c r="AB346" t="e">
        <f t="shared" ca="1" si="107"/>
        <v>#N/A</v>
      </c>
      <c r="AC346" t="e">
        <f t="shared" ca="1" si="115"/>
        <v>#N/A</v>
      </c>
      <c r="AD346" t="e">
        <f t="shared" ca="1" si="108"/>
        <v>#N/A</v>
      </c>
      <c r="AE346" t="e">
        <f t="shared" ca="1" si="109"/>
        <v>#N/A</v>
      </c>
      <c r="AF346" s="83" t="e">
        <f ca="1"/>
        <v>#N/A</v>
      </c>
      <c r="AG346" s="55" t="e">
        <f t="shared" ca="1" si="119"/>
        <v>#N/A</v>
      </c>
      <c r="AH346" s="55" t="e">
        <f t="shared" ca="1" si="120"/>
        <v>#N/A</v>
      </c>
      <c r="AI346" s="55" t="e">
        <f t="shared" ca="1" si="121"/>
        <v>#N/A</v>
      </c>
      <c r="AJ346" s="55" t="e">
        <f t="shared" ca="1" si="122"/>
        <v>#N/A</v>
      </c>
      <c r="AK346" s="55" t="e">
        <f t="shared" ca="1" si="116"/>
        <v>#N/A</v>
      </c>
      <c r="AL346" s="55" t="e">
        <f t="shared" ca="1" si="117"/>
        <v>#N/A</v>
      </c>
      <c r="AM346" s="55" t="e">
        <f t="shared" ca="1" si="118"/>
        <v>#N/A</v>
      </c>
    </row>
    <row r="347" spans="18:39">
      <c r="R347" s="83" t="e">
        <f ca="1"/>
        <v>#N/A</v>
      </c>
      <c r="S347" s="55" t="e">
        <f t="shared" ca="1" si="110"/>
        <v>#N/A</v>
      </c>
      <c r="T347" s="55" t="e">
        <f t="shared" ca="1" si="104"/>
        <v>#N/A</v>
      </c>
      <c r="U347" s="55" t="e">
        <f t="shared" ca="1" si="105"/>
        <v>#N/A</v>
      </c>
      <c r="V347" s="55" t="e">
        <f t="shared" ca="1" si="106"/>
        <v>#N/A</v>
      </c>
      <c r="W347" s="55" t="e">
        <f t="shared" ca="1" si="111"/>
        <v>#N/A</v>
      </c>
      <c r="X347" s="55" t="e">
        <f t="shared" ca="1" si="112"/>
        <v>#N/A</v>
      </c>
      <c r="Y347" s="55" t="e">
        <f t="shared" ca="1" si="113"/>
        <v>#N/A</v>
      </c>
      <c r="Z347" s="55" t="e">
        <f t="shared" ca="1" si="114"/>
        <v>#N/A</v>
      </c>
      <c r="AB347" t="e">
        <f t="shared" ca="1" si="107"/>
        <v>#N/A</v>
      </c>
      <c r="AC347" t="e">
        <f t="shared" ca="1" si="115"/>
        <v>#N/A</v>
      </c>
      <c r="AD347" t="e">
        <f t="shared" ca="1" si="108"/>
        <v>#N/A</v>
      </c>
      <c r="AE347" t="e">
        <f t="shared" ca="1" si="109"/>
        <v>#N/A</v>
      </c>
      <c r="AF347" s="83" t="e">
        <f ca="1"/>
        <v>#N/A</v>
      </c>
      <c r="AG347" s="55" t="e">
        <f t="shared" ca="1" si="119"/>
        <v>#N/A</v>
      </c>
      <c r="AH347" s="55" t="e">
        <f t="shared" ca="1" si="120"/>
        <v>#N/A</v>
      </c>
      <c r="AI347" s="55" t="e">
        <f t="shared" ca="1" si="121"/>
        <v>#N/A</v>
      </c>
      <c r="AJ347" s="55" t="e">
        <f t="shared" ca="1" si="122"/>
        <v>#N/A</v>
      </c>
      <c r="AK347" s="55" t="e">
        <f t="shared" ca="1" si="116"/>
        <v>#N/A</v>
      </c>
      <c r="AL347" s="55" t="e">
        <f t="shared" ca="1" si="117"/>
        <v>#N/A</v>
      </c>
      <c r="AM347" s="55" t="e">
        <f t="shared" ca="1" si="118"/>
        <v>#N/A</v>
      </c>
    </row>
    <row r="348" spans="18:39">
      <c r="R348" s="83" t="e">
        <f ca="1"/>
        <v>#N/A</v>
      </c>
      <c r="S348" s="55" t="e">
        <f t="shared" ca="1" si="110"/>
        <v>#N/A</v>
      </c>
      <c r="T348" s="55" t="e">
        <f t="shared" ca="1" si="104"/>
        <v>#N/A</v>
      </c>
      <c r="U348" s="55" t="e">
        <f t="shared" ca="1" si="105"/>
        <v>#N/A</v>
      </c>
      <c r="V348" s="55" t="e">
        <f t="shared" ca="1" si="106"/>
        <v>#N/A</v>
      </c>
      <c r="W348" s="55" t="e">
        <f t="shared" ca="1" si="111"/>
        <v>#N/A</v>
      </c>
      <c r="X348" s="55" t="e">
        <f t="shared" ca="1" si="112"/>
        <v>#N/A</v>
      </c>
      <c r="Y348" s="55" t="e">
        <f t="shared" ca="1" si="113"/>
        <v>#N/A</v>
      </c>
      <c r="Z348" s="55" t="e">
        <f t="shared" ca="1" si="114"/>
        <v>#N/A</v>
      </c>
      <c r="AB348" t="e">
        <f t="shared" ca="1" si="107"/>
        <v>#N/A</v>
      </c>
      <c r="AC348" t="e">
        <f t="shared" ca="1" si="115"/>
        <v>#N/A</v>
      </c>
      <c r="AD348" t="e">
        <f t="shared" ca="1" si="108"/>
        <v>#N/A</v>
      </c>
      <c r="AE348" t="e">
        <f t="shared" ca="1" si="109"/>
        <v>#N/A</v>
      </c>
      <c r="AF348" s="83" t="e">
        <f ca="1"/>
        <v>#N/A</v>
      </c>
      <c r="AG348" s="55" t="e">
        <f t="shared" ca="1" si="119"/>
        <v>#N/A</v>
      </c>
      <c r="AH348" s="55" t="e">
        <f t="shared" ca="1" si="120"/>
        <v>#N/A</v>
      </c>
      <c r="AI348" s="55" t="e">
        <f t="shared" ca="1" si="121"/>
        <v>#N/A</v>
      </c>
      <c r="AJ348" s="55" t="e">
        <f t="shared" ca="1" si="122"/>
        <v>#N/A</v>
      </c>
      <c r="AK348" s="55" t="e">
        <f t="shared" ca="1" si="116"/>
        <v>#N/A</v>
      </c>
      <c r="AL348" s="55" t="e">
        <f t="shared" ca="1" si="117"/>
        <v>#N/A</v>
      </c>
      <c r="AM348" s="55" t="e">
        <f t="shared" ca="1" si="118"/>
        <v>#N/A</v>
      </c>
    </row>
    <row r="349" spans="18:39">
      <c r="R349" s="83" t="e">
        <f ca="1"/>
        <v>#N/A</v>
      </c>
      <c r="S349" s="55" t="e">
        <f t="shared" ca="1" si="110"/>
        <v>#N/A</v>
      </c>
      <c r="T349" s="55" t="e">
        <f t="shared" ca="1" si="104"/>
        <v>#N/A</v>
      </c>
      <c r="U349" s="55" t="e">
        <f t="shared" ca="1" si="105"/>
        <v>#N/A</v>
      </c>
      <c r="V349" s="55" t="e">
        <f t="shared" ca="1" si="106"/>
        <v>#N/A</v>
      </c>
      <c r="W349" s="55" t="e">
        <f t="shared" ca="1" si="111"/>
        <v>#N/A</v>
      </c>
      <c r="X349" s="55" t="e">
        <f t="shared" ca="1" si="112"/>
        <v>#N/A</v>
      </c>
      <c r="Y349" s="55" t="e">
        <f t="shared" ca="1" si="113"/>
        <v>#N/A</v>
      </c>
      <c r="Z349" s="55" t="e">
        <f t="shared" ca="1" si="114"/>
        <v>#N/A</v>
      </c>
      <c r="AB349" t="e">
        <f t="shared" ca="1" si="107"/>
        <v>#N/A</v>
      </c>
      <c r="AC349" t="e">
        <f t="shared" ca="1" si="115"/>
        <v>#N/A</v>
      </c>
      <c r="AD349" t="e">
        <f t="shared" ca="1" si="108"/>
        <v>#N/A</v>
      </c>
      <c r="AE349" t="e">
        <f t="shared" ca="1" si="109"/>
        <v>#N/A</v>
      </c>
      <c r="AF349" s="83" t="e">
        <f ca="1"/>
        <v>#N/A</v>
      </c>
      <c r="AG349" s="55" t="e">
        <f t="shared" ca="1" si="119"/>
        <v>#N/A</v>
      </c>
      <c r="AH349" s="55" t="e">
        <f t="shared" ca="1" si="120"/>
        <v>#N/A</v>
      </c>
      <c r="AI349" s="55" t="e">
        <f t="shared" ca="1" si="121"/>
        <v>#N/A</v>
      </c>
      <c r="AJ349" s="55" t="e">
        <f t="shared" ca="1" si="122"/>
        <v>#N/A</v>
      </c>
      <c r="AK349" s="55" t="e">
        <f t="shared" ca="1" si="116"/>
        <v>#N/A</v>
      </c>
      <c r="AL349" s="55" t="e">
        <f t="shared" ca="1" si="117"/>
        <v>#N/A</v>
      </c>
      <c r="AM349" s="55" t="e">
        <f t="shared" ca="1" si="118"/>
        <v>#N/A</v>
      </c>
    </row>
    <row r="350" spans="18:39">
      <c r="R350" s="83" t="e">
        <f ca="1"/>
        <v>#N/A</v>
      </c>
      <c r="S350" s="55" t="e">
        <f t="shared" ca="1" si="110"/>
        <v>#N/A</v>
      </c>
      <c r="T350" s="55" t="e">
        <f t="shared" ca="1" si="104"/>
        <v>#N/A</v>
      </c>
      <c r="U350" s="55" t="e">
        <f t="shared" ca="1" si="105"/>
        <v>#N/A</v>
      </c>
      <c r="V350" s="55" t="e">
        <f t="shared" ca="1" si="106"/>
        <v>#N/A</v>
      </c>
      <c r="W350" s="55" t="e">
        <f t="shared" ca="1" si="111"/>
        <v>#N/A</v>
      </c>
      <c r="X350" s="55" t="e">
        <f t="shared" ca="1" si="112"/>
        <v>#N/A</v>
      </c>
      <c r="Y350" s="55" t="e">
        <f t="shared" ca="1" si="113"/>
        <v>#N/A</v>
      </c>
      <c r="Z350" s="55" t="e">
        <f t="shared" ca="1" si="114"/>
        <v>#N/A</v>
      </c>
      <c r="AB350" t="e">
        <f t="shared" ca="1" si="107"/>
        <v>#N/A</v>
      </c>
      <c r="AC350" t="e">
        <f t="shared" ca="1" si="115"/>
        <v>#N/A</v>
      </c>
      <c r="AD350" t="e">
        <f t="shared" ca="1" si="108"/>
        <v>#N/A</v>
      </c>
      <c r="AE350" t="e">
        <f t="shared" ca="1" si="109"/>
        <v>#N/A</v>
      </c>
      <c r="AF350" s="83" t="e">
        <f ca="1"/>
        <v>#N/A</v>
      </c>
      <c r="AG350" s="55" t="e">
        <f t="shared" ca="1" si="119"/>
        <v>#N/A</v>
      </c>
      <c r="AH350" s="55" t="e">
        <f t="shared" ca="1" si="120"/>
        <v>#N/A</v>
      </c>
      <c r="AI350" s="55" t="e">
        <f t="shared" ca="1" si="121"/>
        <v>#N/A</v>
      </c>
      <c r="AJ350" s="55" t="e">
        <f t="shared" ca="1" si="122"/>
        <v>#N/A</v>
      </c>
      <c r="AK350" s="55" t="e">
        <f t="shared" ca="1" si="116"/>
        <v>#N/A</v>
      </c>
      <c r="AL350" s="55" t="e">
        <f t="shared" ca="1" si="117"/>
        <v>#N/A</v>
      </c>
      <c r="AM350" s="55" t="e">
        <f t="shared" ca="1" si="118"/>
        <v>#N/A</v>
      </c>
    </row>
    <row r="351" spans="18:39">
      <c r="R351" s="83" t="e">
        <f ca="1"/>
        <v>#N/A</v>
      </c>
      <c r="S351" s="55" t="e">
        <f t="shared" ca="1" si="110"/>
        <v>#N/A</v>
      </c>
      <c r="T351" s="55" t="e">
        <f t="shared" ca="1" si="104"/>
        <v>#N/A</v>
      </c>
      <c r="U351" s="55" t="e">
        <f t="shared" ca="1" si="105"/>
        <v>#N/A</v>
      </c>
      <c r="V351" s="55" t="e">
        <f t="shared" ca="1" si="106"/>
        <v>#N/A</v>
      </c>
      <c r="W351" s="55" t="e">
        <f t="shared" ca="1" si="111"/>
        <v>#N/A</v>
      </c>
      <c r="X351" s="55" t="e">
        <f t="shared" ca="1" si="112"/>
        <v>#N/A</v>
      </c>
      <c r="Y351" s="55" t="e">
        <f t="shared" ca="1" si="113"/>
        <v>#N/A</v>
      </c>
      <c r="Z351" s="55" t="e">
        <f t="shared" ca="1" si="114"/>
        <v>#N/A</v>
      </c>
      <c r="AB351" t="e">
        <f t="shared" ca="1" si="107"/>
        <v>#N/A</v>
      </c>
      <c r="AC351" t="e">
        <f t="shared" ca="1" si="115"/>
        <v>#N/A</v>
      </c>
      <c r="AD351" t="e">
        <f t="shared" ca="1" si="108"/>
        <v>#N/A</v>
      </c>
      <c r="AE351" t="e">
        <f t="shared" ca="1" si="109"/>
        <v>#N/A</v>
      </c>
      <c r="AF351" s="83" t="e">
        <f ca="1"/>
        <v>#N/A</v>
      </c>
      <c r="AG351" s="55" t="e">
        <f t="shared" ca="1" si="119"/>
        <v>#N/A</v>
      </c>
      <c r="AH351" s="55" t="e">
        <f t="shared" ca="1" si="120"/>
        <v>#N/A</v>
      </c>
      <c r="AI351" s="55" t="e">
        <f t="shared" ca="1" si="121"/>
        <v>#N/A</v>
      </c>
      <c r="AJ351" s="55" t="e">
        <f t="shared" ca="1" si="122"/>
        <v>#N/A</v>
      </c>
      <c r="AK351" s="55" t="e">
        <f t="shared" ca="1" si="116"/>
        <v>#N/A</v>
      </c>
      <c r="AL351" s="55" t="e">
        <f t="shared" ca="1" si="117"/>
        <v>#N/A</v>
      </c>
      <c r="AM351" s="55" t="e">
        <f t="shared" ca="1" si="118"/>
        <v>#N/A</v>
      </c>
    </row>
    <row r="352" spans="18:39">
      <c r="R352" s="83" t="e">
        <f ca="1"/>
        <v>#N/A</v>
      </c>
      <c r="S352" s="55" t="e">
        <f t="shared" ca="1" si="110"/>
        <v>#N/A</v>
      </c>
      <c r="T352" s="55" t="e">
        <f t="shared" ca="1" si="104"/>
        <v>#N/A</v>
      </c>
      <c r="U352" s="55" t="e">
        <f t="shared" ca="1" si="105"/>
        <v>#N/A</v>
      </c>
      <c r="V352" s="55" t="e">
        <f t="shared" ca="1" si="106"/>
        <v>#N/A</v>
      </c>
      <c r="W352" s="55" t="e">
        <f t="shared" ca="1" si="111"/>
        <v>#N/A</v>
      </c>
      <c r="X352" s="55" t="e">
        <f t="shared" ca="1" si="112"/>
        <v>#N/A</v>
      </c>
      <c r="Y352" s="55" t="e">
        <f t="shared" ca="1" si="113"/>
        <v>#N/A</v>
      </c>
      <c r="Z352" s="55" t="e">
        <f t="shared" ca="1" si="114"/>
        <v>#N/A</v>
      </c>
      <c r="AB352" t="e">
        <f t="shared" ca="1" si="107"/>
        <v>#N/A</v>
      </c>
      <c r="AC352" t="e">
        <f t="shared" ca="1" si="115"/>
        <v>#N/A</v>
      </c>
      <c r="AD352" t="e">
        <f t="shared" ca="1" si="108"/>
        <v>#N/A</v>
      </c>
      <c r="AE352" t="e">
        <f t="shared" ca="1" si="109"/>
        <v>#N/A</v>
      </c>
      <c r="AF352" s="83" t="e">
        <f ca="1"/>
        <v>#N/A</v>
      </c>
      <c r="AG352" s="55" t="e">
        <f t="shared" ca="1" si="119"/>
        <v>#N/A</v>
      </c>
      <c r="AH352" s="55" t="e">
        <f t="shared" ca="1" si="120"/>
        <v>#N/A</v>
      </c>
      <c r="AI352" s="55" t="e">
        <f t="shared" ca="1" si="121"/>
        <v>#N/A</v>
      </c>
      <c r="AJ352" s="55" t="e">
        <f t="shared" ca="1" si="122"/>
        <v>#N/A</v>
      </c>
      <c r="AK352" s="55" t="e">
        <f t="shared" ca="1" si="116"/>
        <v>#N/A</v>
      </c>
      <c r="AL352" s="55" t="e">
        <f t="shared" ca="1" si="117"/>
        <v>#N/A</v>
      </c>
      <c r="AM352" s="55" t="e">
        <f t="shared" ca="1" si="118"/>
        <v>#N/A</v>
      </c>
    </row>
    <row r="353" spans="18:39">
      <c r="R353" s="83" t="e">
        <f ca="1"/>
        <v>#N/A</v>
      </c>
      <c r="S353" s="55" t="e">
        <f t="shared" ca="1" si="110"/>
        <v>#N/A</v>
      </c>
      <c r="T353" s="55" t="e">
        <f t="shared" ca="1" si="104"/>
        <v>#N/A</v>
      </c>
      <c r="U353" s="55" t="e">
        <f t="shared" ca="1" si="105"/>
        <v>#N/A</v>
      </c>
      <c r="V353" s="55" t="e">
        <f t="shared" ca="1" si="106"/>
        <v>#N/A</v>
      </c>
      <c r="W353" s="55" t="e">
        <f t="shared" ca="1" si="111"/>
        <v>#N/A</v>
      </c>
      <c r="X353" s="55" t="e">
        <f t="shared" ca="1" si="112"/>
        <v>#N/A</v>
      </c>
      <c r="Y353" s="55" t="e">
        <f t="shared" ca="1" si="113"/>
        <v>#N/A</v>
      </c>
      <c r="Z353" s="55" t="e">
        <f t="shared" ca="1" si="114"/>
        <v>#N/A</v>
      </c>
      <c r="AB353" t="e">
        <f t="shared" ca="1" si="107"/>
        <v>#N/A</v>
      </c>
      <c r="AC353" t="e">
        <f t="shared" ca="1" si="115"/>
        <v>#N/A</v>
      </c>
      <c r="AD353" t="e">
        <f t="shared" ca="1" si="108"/>
        <v>#N/A</v>
      </c>
      <c r="AE353" t="e">
        <f t="shared" ca="1" si="109"/>
        <v>#N/A</v>
      </c>
      <c r="AF353" s="83" t="e">
        <f ca="1"/>
        <v>#N/A</v>
      </c>
      <c r="AG353" s="55" t="e">
        <f t="shared" ca="1" si="119"/>
        <v>#N/A</v>
      </c>
      <c r="AH353" s="55" t="e">
        <f t="shared" ca="1" si="120"/>
        <v>#N/A</v>
      </c>
      <c r="AI353" s="55" t="e">
        <f t="shared" ca="1" si="121"/>
        <v>#N/A</v>
      </c>
      <c r="AJ353" s="55" t="e">
        <f t="shared" ca="1" si="122"/>
        <v>#N/A</v>
      </c>
      <c r="AK353" s="55" t="e">
        <f t="shared" ca="1" si="116"/>
        <v>#N/A</v>
      </c>
      <c r="AL353" s="55" t="e">
        <f t="shared" ca="1" si="117"/>
        <v>#N/A</v>
      </c>
      <c r="AM353" s="55" t="e">
        <f t="shared" ca="1" si="118"/>
        <v>#N/A</v>
      </c>
    </row>
    <row r="354" spans="18:39">
      <c r="R354" s="83" t="e">
        <f ca="1"/>
        <v>#N/A</v>
      </c>
      <c r="S354" s="55" t="e">
        <f t="shared" ca="1" si="110"/>
        <v>#N/A</v>
      </c>
      <c r="T354" s="55" t="e">
        <f t="shared" ca="1" si="104"/>
        <v>#N/A</v>
      </c>
      <c r="U354" s="55" t="e">
        <f t="shared" ca="1" si="105"/>
        <v>#N/A</v>
      </c>
      <c r="V354" s="55" t="e">
        <f t="shared" ca="1" si="106"/>
        <v>#N/A</v>
      </c>
      <c r="W354" s="55" t="e">
        <f t="shared" ca="1" si="111"/>
        <v>#N/A</v>
      </c>
      <c r="X354" s="55" t="e">
        <f t="shared" ca="1" si="112"/>
        <v>#N/A</v>
      </c>
      <c r="Y354" s="55" t="e">
        <f t="shared" ca="1" si="113"/>
        <v>#N/A</v>
      </c>
      <c r="Z354" s="55" t="e">
        <f t="shared" ca="1" si="114"/>
        <v>#N/A</v>
      </c>
      <c r="AB354" t="e">
        <f t="shared" ca="1" si="107"/>
        <v>#N/A</v>
      </c>
      <c r="AC354" t="e">
        <f t="shared" ca="1" si="115"/>
        <v>#N/A</v>
      </c>
      <c r="AD354" t="e">
        <f t="shared" ca="1" si="108"/>
        <v>#N/A</v>
      </c>
      <c r="AE354" t="e">
        <f t="shared" ca="1" si="109"/>
        <v>#N/A</v>
      </c>
      <c r="AF354" s="83" t="e">
        <f ca="1"/>
        <v>#N/A</v>
      </c>
      <c r="AG354" s="55" t="e">
        <f t="shared" ca="1" si="119"/>
        <v>#N/A</v>
      </c>
      <c r="AH354" s="55" t="e">
        <f t="shared" ca="1" si="120"/>
        <v>#N/A</v>
      </c>
      <c r="AI354" s="55" t="e">
        <f t="shared" ca="1" si="121"/>
        <v>#N/A</v>
      </c>
      <c r="AJ354" s="55" t="e">
        <f t="shared" ca="1" si="122"/>
        <v>#N/A</v>
      </c>
      <c r="AK354" s="55" t="e">
        <f t="shared" ca="1" si="116"/>
        <v>#N/A</v>
      </c>
      <c r="AL354" s="55" t="e">
        <f t="shared" ca="1" si="117"/>
        <v>#N/A</v>
      </c>
      <c r="AM354" s="55" t="e">
        <f t="shared" ca="1" si="118"/>
        <v>#N/A</v>
      </c>
    </row>
    <row r="355" spans="18:39">
      <c r="R355" s="83" t="e">
        <f ca="1"/>
        <v>#N/A</v>
      </c>
      <c r="S355" s="55" t="e">
        <f t="shared" ca="1" si="110"/>
        <v>#N/A</v>
      </c>
      <c r="T355" s="55" t="e">
        <f t="shared" ca="1" si="104"/>
        <v>#N/A</v>
      </c>
      <c r="U355" s="55" t="e">
        <f t="shared" ca="1" si="105"/>
        <v>#N/A</v>
      </c>
      <c r="V355" s="55" t="e">
        <f t="shared" ca="1" si="106"/>
        <v>#N/A</v>
      </c>
      <c r="W355" s="55" t="e">
        <f t="shared" ca="1" si="111"/>
        <v>#N/A</v>
      </c>
      <c r="X355" s="55" t="e">
        <f t="shared" ca="1" si="112"/>
        <v>#N/A</v>
      </c>
      <c r="Y355" s="55" t="e">
        <f t="shared" ca="1" si="113"/>
        <v>#N/A</v>
      </c>
      <c r="Z355" s="55" t="e">
        <f t="shared" ca="1" si="114"/>
        <v>#N/A</v>
      </c>
      <c r="AB355" t="e">
        <f t="shared" ca="1" si="107"/>
        <v>#N/A</v>
      </c>
      <c r="AC355" t="e">
        <f t="shared" ca="1" si="115"/>
        <v>#N/A</v>
      </c>
      <c r="AD355" t="e">
        <f t="shared" ca="1" si="108"/>
        <v>#N/A</v>
      </c>
      <c r="AE355" t="e">
        <f t="shared" ca="1" si="109"/>
        <v>#N/A</v>
      </c>
      <c r="AF355" s="83" t="e">
        <f ca="1"/>
        <v>#N/A</v>
      </c>
      <c r="AG355" s="55" t="e">
        <f t="shared" ca="1" si="119"/>
        <v>#N/A</v>
      </c>
      <c r="AH355" s="55" t="e">
        <f t="shared" ca="1" si="120"/>
        <v>#N/A</v>
      </c>
      <c r="AI355" s="55" t="e">
        <f t="shared" ca="1" si="121"/>
        <v>#N/A</v>
      </c>
      <c r="AJ355" s="55" t="e">
        <f t="shared" ca="1" si="122"/>
        <v>#N/A</v>
      </c>
      <c r="AK355" s="55" t="e">
        <f t="shared" ca="1" si="116"/>
        <v>#N/A</v>
      </c>
      <c r="AL355" s="55" t="e">
        <f t="shared" ca="1" si="117"/>
        <v>#N/A</v>
      </c>
      <c r="AM355" s="55" t="e">
        <f t="shared" ca="1" si="118"/>
        <v>#N/A</v>
      </c>
    </row>
    <row r="356" spans="18:39">
      <c r="R356" s="83" t="e">
        <f ca="1"/>
        <v>#N/A</v>
      </c>
      <c r="S356" s="55" t="e">
        <f t="shared" ca="1" si="110"/>
        <v>#N/A</v>
      </c>
      <c r="T356" s="55" t="e">
        <f t="shared" ca="1" si="104"/>
        <v>#N/A</v>
      </c>
      <c r="U356" s="55" t="e">
        <f t="shared" ca="1" si="105"/>
        <v>#N/A</v>
      </c>
      <c r="V356" s="55" t="e">
        <f t="shared" ca="1" si="106"/>
        <v>#N/A</v>
      </c>
      <c r="W356" s="55" t="e">
        <f t="shared" ca="1" si="111"/>
        <v>#N/A</v>
      </c>
      <c r="X356" s="55" t="e">
        <f t="shared" ca="1" si="112"/>
        <v>#N/A</v>
      </c>
      <c r="Y356" s="55" t="e">
        <f t="shared" ca="1" si="113"/>
        <v>#N/A</v>
      </c>
      <c r="Z356" s="55" t="e">
        <f t="shared" ca="1" si="114"/>
        <v>#N/A</v>
      </c>
      <c r="AB356" t="e">
        <f t="shared" ca="1" si="107"/>
        <v>#N/A</v>
      </c>
      <c r="AC356" t="e">
        <f t="shared" ca="1" si="115"/>
        <v>#N/A</v>
      </c>
      <c r="AD356" t="e">
        <f t="shared" ca="1" si="108"/>
        <v>#N/A</v>
      </c>
      <c r="AE356" t="e">
        <f t="shared" ca="1" si="109"/>
        <v>#N/A</v>
      </c>
      <c r="AF356" s="83" t="e">
        <f ca="1"/>
        <v>#N/A</v>
      </c>
      <c r="AG356" s="55" t="e">
        <f t="shared" ca="1" si="119"/>
        <v>#N/A</v>
      </c>
      <c r="AH356" s="55" t="e">
        <f t="shared" ca="1" si="120"/>
        <v>#N/A</v>
      </c>
      <c r="AI356" s="55" t="e">
        <f t="shared" ca="1" si="121"/>
        <v>#N/A</v>
      </c>
      <c r="AJ356" s="55" t="e">
        <f t="shared" ca="1" si="122"/>
        <v>#N/A</v>
      </c>
      <c r="AK356" s="55" t="e">
        <f t="shared" ca="1" si="116"/>
        <v>#N/A</v>
      </c>
      <c r="AL356" s="55" t="e">
        <f t="shared" ca="1" si="117"/>
        <v>#N/A</v>
      </c>
      <c r="AM356" s="55" t="e">
        <f t="shared" ca="1" si="118"/>
        <v>#N/A</v>
      </c>
    </row>
    <row r="357" spans="18:39">
      <c r="R357" s="83" t="e">
        <f ca="1"/>
        <v>#N/A</v>
      </c>
      <c r="S357" s="55" t="e">
        <f t="shared" ca="1" si="110"/>
        <v>#N/A</v>
      </c>
      <c r="T357" s="55" t="e">
        <f t="shared" ca="1" si="104"/>
        <v>#N/A</v>
      </c>
      <c r="U357" s="55" t="e">
        <f t="shared" ca="1" si="105"/>
        <v>#N/A</v>
      </c>
      <c r="V357" s="55" t="e">
        <f t="shared" ca="1" si="106"/>
        <v>#N/A</v>
      </c>
      <c r="W357" s="55" t="e">
        <f t="shared" ca="1" si="111"/>
        <v>#N/A</v>
      </c>
      <c r="X357" s="55" t="e">
        <f t="shared" ca="1" si="112"/>
        <v>#N/A</v>
      </c>
      <c r="Y357" s="55" t="e">
        <f t="shared" ca="1" si="113"/>
        <v>#N/A</v>
      </c>
      <c r="Z357" s="55" t="e">
        <f t="shared" ca="1" si="114"/>
        <v>#N/A</v>
      </c>
      <c r="AB357" t="e">
        <f t="shared" ca="1" si="107"/>
        <v>#N/A</v>
      </c>
      <c r="AC357" t="e">
        <f t="shared" ca="1" si="115"/>
        <v>#N/A</v>
      </c>
      <c r="AD357" t="e">
        <f t="shared" ca="1" si="108"/>
        <v>#N/A</v>
      </c>
      <c r="AE357" t="e">
        <f t="shared" ca="1" si="109"/>
        <v>#N/A</v>
      </c>
      <c r="AF357" s="83" t="e">
        <f ca="1"/>
        <v>#N/A</v>
      </c>
      <c r="AG357" s="55" t="e">
        <f t="shared" ca="1" si="119"/>
        <v>#N/A</v>
      </c>
      <c r="AH357" s="55" t="e">
        <f t="shared" ca="1" si="120"/>
        <v>#N/A</v>
      </c>
      <c r="AI357" s="55" t="e">
        <f t="shared" ca="1" si="121"/>
        <v>#N/A</v>
      </c>
      <c r="AJ357" s="55" t="e">
        <f t="shared" ca="1" si="122"/>
        <v>#N/A</v>
      </c>
      <c r="AK357" s="55" t="e">
        <f t="shared" ca="1" si="116"/>
        <v>#N/A</v>
      </c>
      <c r="AL357" s="55" t="e">
        <f t="shared" ca="1" si="117"/>
        <v>#N/A</v>
      </c>
      <c r="AM357" s="55" t="e">
        <f t="shared" ca="1" si="118"/>
        <v>#N/A</v>
      </c>
    </row>
    <row r="358" spans="18:39">
      <c r="R358" s="83" t="e">
        <f ca="1"/>
        <v>#N/A</v>
      </c>
      <c r="S358" s="55" t="e">
        <f t="shared" ca="1" si="110"/>
        <v>#N/A</v>
      </c>
      <c r="T358" s="55" t="e">
        <f t="shared" ca="1" si="104"/>
        <v>#N/A</v>
      </c>
      <c r="U358" s="55" t="e">
        <f t="shared" ca="1" si="105"/>
        <v>#N/A</v>
      </c>
      <c r="V358" s="55" t="e">
        <f t="shared" ca="1" si="106"/>
        <v>#N/A</v>
      </c>
      <c r="W358" s="55" t="e">
        <f t="shared" ca="1" si="111"/>
        <v>#N/A</v>
      </c>
      <c r="X358" s="55" t="e">
        <f t="shared" ca="1" si="112"/>
        <v>#N/A</v>
      </c>
      <c r="Y358" s="55" t="e">
        <f t="shared" ca="1" si="113"/>
        <v>#N/A</v>
      </c>
      <c r="Z358" s="55" t="e">
        <f t="shared" ca="1" si="114"/>
        <v>#N/A</v>
      </c>
      <c r="AB358" t="e">
        <f t="shared" ca="1" si="107"/>
        <v>#N/A</v>
      </c>
      <c r="AC358" t="e">
        <f t="shared" ca="1" si="115"/>
        <v>#N/A</v>
      </c>
      <c r="AD358" t="e">
        <f t="shared" ca="1" si="108"/>
        <v>#N/A</v>
      </c>
      <c r="AE358" t="e">
        <f t="shared" ca="1" si="109"/>
        <v>#N/A</v>
      </c>
      <c r="AF358" s="83" t="e">
        <f ca="1"/>
        <v>#N/A</v>
      </c>
      <c r="AG358" s="55" t="e">
        <f t="shared" ca="1" si="119"/>
        <v>#N/A</v>
      </c>
      <c r="AH358" s="55" t="e">
        <f t="shared" ca="1" si="120"/>
        <v>#N/A</v>
      </c>
      <c r="AI358" s="55" t="e">
        <f t="shared" ca="1" si="121"/>
        <v>#N/A</v>
      </c>
      <c r="AJ358" s="55" t="e">
        <f t="shared" ca="1" si="122"/>
        <v>#N/A</v>
      </c>
      <c r="AK358" s="55" t="e">
        <f t="shared" ca="1" si="116"/>
        <v>#N/A</v>
      </c>
      <c r="AL358" s="55" t="e">
        <f t="shared" ca="1" si="117"/>
        <v>#N/A</v>
      </c>
      <c r="AM358" s="55" t="e">
        <f t="shared" ca="1" si="118"/>
        <v>#N/A</v>
      </c>
    </row>
    <row r="359" spans="18:39">
      <c r="R359" s="83" t="e">
        <f ca="1"/>
        <v>#N/A</v>
      </c>
      <c r="S359" s="55" t="e">
        <f t="shared" ca="1" si="110"/>
        <v>#N/A</v>
      </c>
      <c r="T359" s="55" t="e">
        <f t="shared" ca="1" si="104"/>
        <v>#N/A</v>
      </c>
      <c r="U359" s="55" t="e">
        <f t="shared" ca="1" si="105"/>
        <v>#N/A</v>
      </c>
      <c r="V359" s="55" t="e">
        <f t="shared" ca="1" si="106"/>
        <v>#N/A</v>
      </c>
      <c r="W359" s="55" t="e">
        <f t="shared" ca="1" si="111"/>
        <v>#N/A</v>
      </c>
      <c r="X359" s="55" t="e">
        <f t="shared" ca="1" si="112"/>
        <v>#N/A</v>
      </c>
      <c r="Y359" s="55" t="e">
        <f t="shared" ca="1" si="113"/>
        <v>#N/A</v>
      </c>
      <c r="Z359" s="55" t="e">
        <f t="shared" ca="1" si="114"/>
        <v>#N/A</v>
      </c>
      <c r="AB359" t="e">
        <f t="shared" ca="1" si="107"/>
        <v>#N/A</v>
      </c>
      <c r="AC359" t="e">
        <f t="shared" ca="1" si="115"/>
        <v>#N/A</v>
      </c>
      <c r="AD359" t="e">
        <f t="shared" ca="1" si="108"/>
        <v>#N/A</v>
      </c>
      <c r="AE359" t="e">
        <f t="shared" ca="1" si="109"/>
        <v>#N/A</v>
      </c>
      <c r="AF359" s="83" t="e">
        <f ca="1"/>
        <v>#N/A</v>
      </c>
      <c r="AG359" s="55" t="e">
        <f t="shared" ca="1" si="119"/>
        <v>#N/A</v>
      </c>
      <c r="AH359" s="55" t="e">
        <f t="shared" ca="1" si="120"/>
        <v>#N/A</v>
      </c>
      <c r="AI359" s="55" t="e">
        <f t="shared" ca="1" si="121"/>
        <v>#N/A</v>
      </c>
      <c r="AJ359" s="55" t="e">
        <f t="shared" ca="1" si="122"/>
        <v>#N/A</v>
      </c>
      <c r="AK359" s="55" t="e">
        <f t="shared" ca="1" si="116"/>
        <v>#N/A</v>
      </c>
      <c r="AL359" s="55" t="e">
        <f t="shared" ca="1" si="117"/>
        <v>#N/A</v>
      </c>
      <c r="AM359" s="55" t="e">
        <f t="shared" ca="1" si="118"/>
        <v>#N/A</v>
      </c>
    </row>
    <row r="360" spans="18:39">
      <c r="R360" s="83" t="e">
        <f ca="1"/>
        <v>#N/A</v>
      </c>
      <c r="S360" s="55" t="e">
        <f t="shared" ca="1" si="110"/>
        <v>#N/A</v>
      </c>
      <c r="T360" s="55" t="e">
        <f t="shared" ca="1" si="104"/>
        <v>#N/A</v>
      </c>
      <c r="U360" s="55" t="e">
        <f t="shared" ca="1" si="105"/>
        <v>#N/A</v>
      </c>
      <c r="V360" s="55" t="e">
        <f t="shared" ca="1" si="106"/>
        <v>#N/A</v>
      </c>
      <c r="W360" s="55" t="e">
        <f t="shared" ca="1" si="111"/>
        <v>#N/A</v>
      </c>
      <c r="X360" s="55" t="e">
        <f t="shared" ca="1" si="112"/>
        <v>#N/A</v>
      </c>
      <c r="Y360" s="55" t="e">
        <f t="shared" ca="1" si="113"/>
        <v>#N/A</v>
      </c>
      <c r="Z360" s="55" t="e">
        <f t="shared" ca="1" si="114"/>
        <v>#N/A</v>
      </c>
      <c r="AB360" t="e">
        <f t="shared" ca="1" si="107"/>
        <v>#N/A</v>
      </c>
      <c r="AC360" t="e">
        <f t="shared" ca="1" si="115"/>
        <v>#N/A</v>
      </c>
      <c r="AD360" t="e">
        <f t="shared" ca="1" si="108"/>
        <v>#N/A</v>
      </c>
      <c r="AE360" t="e">
        <f t="shared" ca="1" si="109"/>
        <v>#N/A</v>
      </c>
      <c r="AF360" s="83" t="e">
        <f ca="1"/>
        <v>#N/A</v>
      </c>
      <c r="AG360" s="55" t="e">
        <f t="shared" ca="1" si="119"/>
        <v>#N/A</v>
      </c>
      <c r="AH360" s="55" t="e">
        <f t="shared" ca="1" si="120"/>
        <v>#N/A</v>
      </c>
      <c r="AI360" s="55" t="e">
        <f t="shared" ca="1" si="121"/>
        <v>#N/A</v>
      </c>
      <c r="AJ360" s="55" t="e">
        <f t="shared" ca="1" si="122"/>
        <v>#N/A</v>
      </c>
      <c r="AK360" s="55" t="e">
        <f t="shared" ca="1" si="116"/>
        <v>#N/A</v>
      </c>
      <c r="AL360" s="55" t="e">
        <f t="shared" ca="1" si="117"/>
        <v>#N/A</v>
      </c>
      <c r="AM360" s="55" t="e">
        <f t="shared" ca="1" si="118"/>
        <v>#N/A</v>
      </c>
    </row>
    <row r="361" spans="18:39">
      <c r="R361" s="83" t="e">
        <f ca="1"/>
        <v>#N/A</v>
      </c>
      <c r="S361" s="55" t="e">
        <f t="shared" ca="1" si="110"/>
        <v>#N/A</v>
      </c>
      <c r="T361" s="55" t="e">
        <f t="shared" ca="1" si="104"/>
        <v>#N/A</v>
      </c>
      <c r="U361" s="55" t="e">
        <f t="shared" ca="1" si="105"/>
        <v>#N/A</v>
      </c>
      <c r="V361" s="55" t="e">
        <f t="shared" ca="1" si="106"/>
        <v>#N/A</v>
      </c>
      <c r="W361" s="55" t="e">
        <f t="shared" ca="1" si="111"/>
        <v>#N/A</v>
      </c>
      <c r="X361" s="55" t="e">
        <f t="shared" ca="1" si="112"/>
        <v>#N/A</v>
      </c>
      <c r="Y361" s="55" t="e">
        <f t="shared" ca="1" si="113"/>
        <v>#N/A</v>
      </c>
      <c r="Z361" s="55" t="e">
        <f t="shared" ca="1" si="114"/>
        <v>#N/A</v>
      </c>
      <c r="AB361" t="e">
        <f t="shared" ca="1" si="107"/>
        <v>#N/A</v>
      </c>
      <c r="AC361" t="e">
        <f t="shared" ca="1" si="115"/>
        <v>#N/A</v>
      </c>
      <c r="AD361" t="e">
        <f t="shared" ca="1" si="108"/>
        <v>#N/A</v>
      </c>
      <c r="AE361" t="e">
        <f t="shared" ca="1" si="109"/>
        <v>#N/A</v>
      </c>
      <c r="AF361" s="83" t="e">
        <f ca="1"/>
        <v>#N/A</v>
      </c>
      <c r="AG361" s="55" t="e">
        <f t="shared" ca="1" si="119"/>
        <v>#N/A</v>
      </c>
      <c r="AH361" s="55" t="e">
        <f t="shared" ca="1" si="120"/>
        <v>#N/A</v>
      </c>
      <c r="AI361" s="55" t="e">
        <f t="shared" ca="1" si="121"/>
        <v>#N/A</v>
      </c>
      <c r="AJ361" s="55" t="e">
        <f t="shared" ca="1" si="122"/>
        <v>#N/A</v>
      </c>
      <c r="AK361" s="55" t="e">
        <f t="shared" ca="1" si="116"/>
        <v>#N/A</v>
      </c>
      <c r="AL361" s="55" t="e">
        <f t="shared" ca="1" si="117"/>
        <v>#N/A</v>
      </c>
      <c r="AM361" s="55" t="e">
        <f t="shared" ca="1" si="118"/>
        <v>#N/A</v>
      </c>
    </row>
    <row r="362" spans="18:39">
      <c r="R362" s="83" t="e">
        <f ca="1"/>
        <v>#N/A</v>
      </c>
      <c r="S362" s="55" t="e">
        <f t="shared" ca="1" si="110"/>
        <v>#N/A</v>
      </c>
      <c r="T362" s="55" t="e">
        <f t="shared" ca="1" si="104"/>
        <v>#N/A</v>
      </c>
      <c r="U362" s="55" t="e">
        <f t="shared" ca="1" si="105"/>
        <v>#N/A</v>
      </c>
      <c r="V362" s="55" t="e">
        <f t="shared" ca="1" si="106"/>
        <v>#N/A</v>
      </c>
      <c r="W362" s="55" t="e">
        <f t="shared" ca="1" si="111"/>
        <v>#N/A</v>
      </c>
      <c r="X362" s="55" t="e">
        <f t="shared" ca="1" si="112"/>
        <v>#N/A</v>
      </c>
      <c r="Y362" s="55" t="e">
        <f t="shared" ca="1" si="113"/>
        <v>#N/A</v>
      </c>
      <c r="Z362" s="55" t="e">
        <f t="shared" ca="1" si="114"/>
        <v>#N/A</v>
      </c>
      <c r="AB362" t="e">
        <f t="shared" ca="1" si="107"/>
        <v>#N/A</v>
      </c>
      <c r="AC362" t="e">
        <f t="shared" ca="1" si="115"/>
        <v>#N/A</v>
      </c>
      <c r="AD362" t="e">
        <f t="shared" ca="1" si="108"/>
        <v>#N/A</v>
      </c>
      <c r="AE362" t="e">
        <f t="shared" ca="1" si="109"/>
        <v>#N/A</v>
      </c>
      <c r="AF362" s="83" t="e">
        <f ca="1"/>
        <v>#N/A</v>
      </c>
      <c r="AG362" s="55" t="e">
        <f t="shared" ca="1" si="119"/>
        <v>#N/A</v>
      </c>
      <c r="AH362" s="55" t="e">
        <f t="shared" ca="1" si="120"/>
        <v>#N/A</v>
      </c>
      <c r="AI362" s="55" t="e">
        <f t="shared" ca="1" si="121"/>
        <v>#N/A</v>
      </c>
      <c r="AJ362" s="55" t="e">
        <f t="shared" ca="1" si="122"/>
        <v>#N/A</v>
      </c>
      <c r="AK362" s="55" t="e">
        <f t="shared" ca="1" si="116"/>
        <v>#N/A</v>
      </c>
      <c r="AL362" s="55" t="e">
        <f t="shared" ca="1" si="117"/>
        <v>#N/A</v>
      </c>
      <c r="AM362" s="55" t="e">
        <f t="shared" ca="1" si="118"/>
        <v>#N/A</v>
      </c>
    </row>
    <row r="363" spans="18:39">
      <c r="R363" s="83" t="e">
        <f ca="1"/>
        <v>#N/A</v>
      </c>
      <c r="S363" s="55" t="e">
        <f t="shared" ca="1" si="110"/>
        <v>#N/A</v>
      </c>
      <c r="T363" s="55" t="e">
        <f t="shared" ca="1" si="104"/>
        <v>#N/A</v>
      </c>
      <c r="U363" s="55" t="e">
        <f t="shared" ca="1" si="105"/>
        <v>#N/A</v>
      </c>
      <c r="V363" s="55" t="e">
        <f t="shared" ca="1" si="106"/>
        <v>#N/A</v>
      </c>
      <c r="W363" s="55" t="e">
        <f t="shared" ca="1" si="111"/>
        <v>#N/A</v>
      </c>
      <c r="X363" s="55" t="e">
        <f t="shared" ca="1" si="112"/>
        <v>#N/A</v>
      </c>
      <c r="Y363" s="55" t="e">
        <f t="shared" ca="1" si="113"/>
        <v>#N/A</v>
      </c>
      <c r="Z363" s="55" t="e">
        <f t="shared" ca="1" si="114"/>
        <v>#N/A</v>
      </c>
      <c r="AB363" t="e">
        <f t="shared" ca="1" si="107"/>
        <v>#N/A</v>
      </c>
      <c r="AC363" t="e">
        <f t="shared" ca="1" si="115"/>
        <v>#N/A</v>
      </c>
      <c r="AD363" t="e">
        <f t="shared" ca="1" si="108"/>
        <v>#N/A</v>
      </c>
      <c r="AE363" t="e">
        <f t="shared" ca="1" si="109"/>
        <v>#N/A</v>
      </c>
      <c r="AF363" s="83" t="e">
        <f ca="1"/>
        <v>#N/A</v>
      </c>
      <c r="AG363" s="55" t="e">
        <f t="shared" ca="1" si="119"/>
        <v>#N/A</v>
      </c>
      <c r="AH363" s="55" t="e">
        <f t="shared" ca="1" si="120"/>
        <v>#N/A</v>
      </c>
      <c r="AI363" s="55" t="e">
        <f t="shared" ca="1" si="121"/>
        <v>#N/A</v>
      </c>
      <c r="AJ363" s="55" t="e">
        <f t="shared" ca="1" si="122"/>
        <v>#N/A</v>
      </c>
      <c r="AK363" s="55" t="e">
        <f t="shared" ca="1" si="116"/>
        <v>#N/A</v>
      </c>
      <c r="AL363" s="55" t="e">
        <f t="shared" ca="1" si="117"/>
        <v>#N/A</v>
      </c>
      <c r="AM363" s="55" t="e">
        <f t="shared" ca="1" si="118"/>
        <v>#N/A</v>
      </c>
    </row>
    <row r="364" spans="18:39">
      <c r="R364" s="83" t="e">
        <f ca="1"/>
        <v>#N/A</v>
      </c>
      <c r="S364" s="55" t="e">
        <f t="shared" ca="1" si="110"/>
        <v>#N/A</v>
      </c>
      <c r="T364" s="55" t="e">
        <f t="shared" ca="1" si="104"/>
        <v>#N/A</v>
      </c>
      <c r="U364" s="55" t="e">
        <f t="shared" ca="1" si="105"/>
        <v>#N/A</v>
      </c>
      <c r="V364" s="55" t="e">
        <f t="shared" ca="1" si="106"/>
        <v>#N/A</v>
      </c>
      <c r="W364" s="55" t="e">
        <f t="shared" ca="1" si="111"/>
        <v>#N/A</v>
      </c>
      <c r="X364" s="55" t="e">
        <f t="shared" ca="1" si="112"/>
        <v>#N/A</v>
      </c>
      <c r="Y364" s="55" t="e">
        <f t="shared" ca="1" si="113"/>
        <v>#N/A</v>
      </c>
      <c r="Z364" s="55" t="e">
        <f t="shared" ca="1" si="114"/>
        <v>#N/A</v>
      </c>
      <c r="AB364" t="e">
        <f t="shared" ca="1" si="107"/>
        <v>#N/A</v>
      </c>
      <c r="AC364" t="e">
        <f t="shared" ca="1" si="115"/>
        <v>#N/A</v>
      </c>
      <c r="AD364" t="e">
        <f t="shared" ca="1" si="108"/>
        <v>#N/A</v>
      </c>
      <c r="AE364" t="e">
        <f t="shared" ca="1" si="109"/>
        <v>#N/A</v>
      </c>
      <c r="AF364" s="83" t="e">
        <f ca="1"/>
        <v>#N/A</v>
      </c>
      <c r="AG364" s="55" t="e">
        <f t="shared" ca="1" si="119"/>
        <v>#N/A</v>
      </c>
      <c r="AH364" s="55" t="e">
        <f t="shared" ca="1" si="120"/>
        <v>#N/A</v>
      </c>
      <c r="AI364" s="55" t="e">
        <f t="shared" ca="1" si="121"/>
        <v>#N/A</v>
      </c>
      <c r="AJ364" s="55" t="e">
        <f t="shared" ca="1" si="122"/>
        <v>#N/A</v>
      </c>
      <c r="AK364" s="55" t="e">
        <f t="shared" ca="1" si="116"/>
        <v>#N/A</v>
      </c>
      <c r="AL364" s="55" t="e">
        <f t="shared" ca="1" si="117"/>
        <v>#N/A</v>
      </c>
      <c r="AM364" s="55" t="e">
        <f t="shared" ca="1" si="118"/>
        <v>#N/A</v>
      </c>
    </row>
    <row r="365" spans="18:39">
      <c r="R365" s="83" t="e">
        <f ca="1"/>
        <v>#N/A</v>
      </c>
      <c r="S365" s="55" t="e">
        <f t="shared" ca="1" si="110"/>
        <v>#N/A</v>
      </c>
      <c r="T365" s="55" t="e">
        <f t="shared" ca="1" si="104"/>
        <v>#N/A</v>
      </c>
      <c r="U365" s="55" t="e">
        <f t="shared" ca="1" si="105"/>
        <v>#N/A</v>
      </c>
      <c r="V365" s="55" t="e">
        <f t="shared" ca="1" si="106"/>
        <v>#N/A</v>
      </c>
      <c r="W365" s="55" t="e">
        <f t="shared" ca="1" si="111"/>
        <v>#N/A</v>
      </c>
      <c r="X365" s="55" t="e">
        <f t="shared" ca="1" si="112"/>
        <v>#N/A</v>
      </c>
      <c r="Y365" s="55" t="e">
        <f t="shared" ca="1" si="113"/>
        <v>#N/A</v>
      </c>
      <c r="Z365" s="55" t="e">
        <f t="shared" ca="1" si="114"/>
        <v>#N/A</v>
      </c>
      <c r="AB365" t="e">
        <f t="shared" ca="1" si="107"/>
        <v>#N/A</v>
      </c>
      <c r="AC365" t="e">
        <f t="shared" ca="1" si="115"/>
        <v>#N/A</v>
      </c>
      <c r="AD365" t="e">
        <f t="shared" ca="1" si="108"/>
        <v>#N/A</v>
      </c>
      <c r="AE365" t="e">
        <f t="shared" ca="1" si="109"/>
        <v>#N/A</v>
      </c>
      <c r="AF365" s="83" t="e">
        <f ca="1"/>
        <v>#N/A</v>
      </c>
      <c r="AG365" s="55" t="e">
        <f t="shared" ca="1" si="119"/>
        <v>#N/A</v>
      </c>
      <c r="AH365" s="55" t="e">
        <f t="shared" ca="1" si="120"/>
        <v>#N/A</v>
      </c>
      <c r="AI365" s="55" t="e">
        <f t="shared" ca="1" si="121"/>
        <v>#N/A</v>
      </c>
      <c r="AJ365" s="55" t="e">
        <f t="shared" ca="1" si="122"/>
        <v>#N/A</v>
      </c>
      <c r="AK365" s="55" t="e">
        <f t="shared" ca="1" si="116"/>
        <v>#N/A</v>
      </c>
      <c r="AL365" s="55" t="e">
        <f t="shared" ca="1" si="117"/>
        <v>#N/A</v>
      </c>
      <c r="AM365" s="55" t="e">
        <f t="shared" ca="1" si="118"/>
        <v>#N/A</v>
      </c>
    </row>
    <row r="366" spans="18:39">
      <c r="R366" s="83" t="e">
        <f ca="1"/>
        <v>#N/A</v>
      </c>
      <c r="S366" s="55" t="e">
        <f t="shared" ca="1" si="110"/>
        <v>#N/A</v>
      </c>
      <c r="T366" s="55" t="e">
        <f t="shared" ca="1" si="104"/>
        <v>#N/A</v>
      </c>
      <c r="U366" s="55" t="e">
        <f t="shared" ca="1" si="105"/>
        <v>#N/A</v>
      </c>
      <c r="V366" s="55" t="e">
        <f t="shared" ca="1" si="106"/>
        <v>#N/A</v>
      </c>
      <c r="W366" s="55" t="e">
        <f t="shared" ca="1" si="111"/>
        <v>#N/A</v>
      </c>
      <c r="X366" s="55" t="e">
        <f t="shared" ca="1" si="112"/>
        <v>#N/A</v>
      </c>
      <c r="Y366" s="55" t="e">
        <f t="shared" ca="1" si="113"/>
        <v>#N/A</v>
      </c>
      <c r="Z366" s="55" t="e">
        <f t="shared" ca="1" si="114"/>
        <v>#N/A</v>
      </c>
      <c r="AB366" t="e">
        <f t="shared" ca="1" si="107"/>
        <v>#N/A</v>
      </c>
      <c r="AC366" t="e">
        <f t="shared" ca="1" si="115"/>
        <v>#N/A</v>
      </c>
      <c r="AD366" t="e">
        <f t="shared" ca="1" si="108"/>
        <v>#N/A</v>
      </c>
      <c r="AE366" t="e">
        <f t="shared" ca="1" si="109"/>
        <v>#N/A</v>
      </c>
      <c r="AF366" s="83" t="e">
        <f ca="1"/>
        <v>#N/A</v>
      </c>
      <c r="AG366" s="55" t="e">
        <f t="shared" ca="1" si="119"/>
        <v>#N/A</v>
      </c>
      <c r="AH366" s="55" t="e">
        <f t="shared" ca="1" si="120"/>
        <v>#N/A</v>
      </c>
      <c r="AI366" s="55" t="e">
        <f t="shared" ca="1" si="121"/>
        <v>#N/A</v>
      </c>
      <c r="AJ366" s="55" t="e">
        <f t="shared" ca="1" si="122"/>
        <v>#N/A</v>
      </c>
      <c r="AK366" s="55" t="e">
        <f t="shared" ca="1" si="116"/>
        <v>#N/A</v>
      </c>
      <c r="AL366" s="55" t="e">
        <f t="shared" ca="1" si="117"/>
        <v>#N/A</v>
      </c>
      <c r="AM366" s="55" t="e">
        <f t="shared" ca="1" si="118"/>
        <v>#N/A</v>
      </c>
    </row>
    <row r="367" spans="18:39">
      <c r="R367" s="83" t="e">
        <f ca="1"/>
        <v>#N/A</v>
      </c>
      <c r="S367" s="55" t="e">
        <f t="shared" ca="1" si="110"/>
        <v>#N/A</v>
      </c>
      <c r="T367" s="55" t="e">
        <f t="shared" ca="1" si="104"/>
        <v>#N/A</v>
      </c>
      <c r="U367" s="55" t="e">
        <f t="shared" ca="1" si="105"/>
        <v>#N/A</v>
      </c>
      <c r="V367" s="55" t="e">
        <f t="shared" ca="1" si="106"/>
        <v>#N/A</v>
      </c>
      <c r="W367" s="55" t="e">
        <f t="shared" ca="1" si="111"/>
        <v>#N/A</v>
      </c>
      <c r="X367" s="55" t="e">
        <f t="shared" ca="1" si="112"/>
        <v>#N/A</v>
      </c>
      <c r="Y367" s="55" t="e">
        <f t="shared" ca="1" si="113"/>
        <v>#N/A</v>
      </c>
      <c r="Z367" s="55" t="e">
        <f t="shared" ca="1" si="114"/>
        <v>#N/A</v>
      </c>
      <c r="AB367" t="e">
        <f t="shared" ca="1" si="107"/>
        <v>#N/A</v>
      </c>
      <c r="AC367" t="e">
        <f t="shared" ca="1" si="115"/>
        <v>#N/A</v>
      </c>
      <c r="AD367" t="e">
        <f t="shared" ca="1" si="108"/>
        <v>#N/A</v>
      </c>
      <c r="AE367" t="e">
        <f t="shared" ca="1" si="109"/>
        <v>#N/A</v>
      </c>
      <c r="AF367" s="83" t="e">
        <f ca="1"/>
        <v>#N/A</v>
      </c>
      <c r="AG367" s="55" t="e">
        <f t="shared" ca="1" si="119"/>
        <v>#N/A</v>
      </c>
      <c r="AH367" s="55" t="e">
        <f t="shared" ca="1" si="120"/>
        <v>#N/A</v>
      </c>
      <c r="AI367" s="55" t="e">
        <f t="shared" ca="1" si="121"/>
        <v>#N/A</v>
      </c>
      <c r="AJ367" s="55" t="e">
        <f t="shared" ca="1" si="122"/>
        <v>#N/A</v>
      </c>
      <c r="AK367" s="55" t="e">
        <f t="shared" ca="1" si="116"/>
        <v>#N/A</v>
      </c>
      <c r="AL367" s="55" t="e">
        <f t="shared" ca="1" si="117"/>
        <v>#N/A</v>
      </c>
      <c r="AM367" s="55" t="e">
        <f t="shared" ca="1" si="118"/>
        <v>#N/A</v>
      </c>
    </row>
    <row r="368" spans="18:39">
      <c r="R368" s="83" t="e">
        <f ca="1"/>
        <v>#N/A</v>
      </c>
      <c r="S368" s="55" t="e">
        <f t="shared" ca="1" si="110"/>
        <v>#N/A</v>
      </c>
      <c r="T368" s="55" t="e">
        <f t="shared" ca="1" si="104"/>
        <v>#N/A</v>
      </c>
      <c r="U368" s="55" t="e">
        <f t="shared" ca="1" si="105"/>
        <v>#N/A</v>
      </c>
      <c r="V368" s="55" t="e">
        <f t="shared" ca="1" si="106"/>
        <v>#N/A</v>
      </c>
      <c r="W368" s="55" t="e">
        <f t="shared" ca="1" si="111"/>
        <v>#N/A</v>
      </c>
      <c r="X368" s="55" t="e">
        <f t="shared" ca="1" si="112"/>
        <v>#N/A</v>
      </c>
      <c r="Y368" s="55" t="e">
        <f t="shared" ca="1" si="113"/>
        <v>#N/A</v>
      </c>
      <c r="Z368" s="55" t="e">
        <f t="shared" ca="1" si="114"/>
        <v>#N/A</v>
      </c>
      <c r="AB368" t="e">
        <f t="shared" ca="1" si="107"/>
        <v>#N/A</v>
      </c>
      <c r="AC368" t="e">
        <f t="shared" ca="1" si="115"/>
        <v>#N/A</v>
      </c>
      <c r="AD368" t="e">
        <f t="shared" ca="1" si="108"/>
        <v>#N/A</v>
      </c>
      <c r="AE368" t="e">
        <f t="shared" ca="1" si="109"/>
        <v>#N/A</v>
      </c>
      <c r="AF368" s="83" t="e">
        <f ca="1"/>
        <v>#N/A</v>
      </c>
      <c r="AG368" s="55" t="e">
        <f t="shared" ca="1" si="119"/>
        <v>#N/A</v>
      </c>
      <c r="AH368" s="55" t="e">
        <f t="shared" ca="1" si="120"/>
        <v>#N/A</v>
      </c>
      <c r="AI368" s="55" t="e">
        <f t="shared" ca="1" si="121"/>
        <v>#N/A</v>
      </c>
      <c r="AJ368" s="55" t="e">
        <f t="shared" ca="1" si="122"/>
        <v>#N/A</v>
      </c>
      <c r="AK368" s="55" t="e">
        <f t="shared" ca="1" si="116"/>
        <v>#N/A</v>
      </c>
      <c r="AL368" s="55" t="e">
        <f t="shared" ca="1" si="117"/>
        <v>#N/A</v>
      </c>
      <c r="AM368" s="55" t="e">
        <f t="shared" ca="1" si="118"/>
        <v>#N/A</v>
      </c>
    </row>
    <row r="369" spans="18:39">
      <c r="R369" s="83" t="e">
        <f ca="1"/>
        <v>#N/A</v>
      </c>
      <c r="S369" s="55" t="e">
        <f t="shared" ca="1" si="110"/>
        <v>#N/A</v>
      </c>
      <c r="T369" s="55" t="e">
        <f t="shared" ca="1" si="104"/>
        <v>#N/A</v>
      </c>
      <c r="U369" s="55" t="e">
        <f t="shared" ca="1" si="105"/>
        <v>#N/A</v>
      </c>
      <c r="V369" s="55" t="e">
        <f t="shared" ca="1" si="106"/>
        <v>#N/A</v>
      </c>
      <c r="W369" s="55" t="e">
        <f t="shared" ca="1" si="111"/>
        <v>#N/A</v>
      </c>
      <c r="X369" s="55" t="e">
        <f t="shared" ca="1" si="112"/>
        <v>#N/A</v>
      </c>
      <c r="Y369" s="55" t="e">
        <f t="shared" ca="1" si="113"/>
        <v>#N/A</v>
      </c>
      <c r="Z369" s="55" t="e">
        <f t="shared" ca="1" si="114"/>
        <v>#N/A</v>
      </c>
      <c r="AB369" t="e">
        <f t="shared" ca="1" si="107"/>
        <v>#N/A</v>
      </c>
      <c r="AC369" t="e">
        <f t="shared" ca="1" si="115"/>
        <v>#N/A</v>
      </c>
      <c r="AD369" t="e">
        <f t="shared" ca="1" si="108"/>
        <v>#N/A</v>
      </c>
      <c r="AE369" t="e">
        <f t="shared" ca="1" si="109"/>
        <v>#N/A</v>
      </c>
      <c r="AF369" s="83" t="e">
        <f ca="1"/>
        <v>#N/A</v>
      </c>
      <c r="AG369" s="55" t="e">
        <f t="shared" ca="1" si="119"/>
        <v>#N/A</v>
      </c>
      <c r="AH369" s="55" t="e">
        <f t="shared" ca="1" si="120"/>
        <v>#N/A</v>
      </c>
      <c r="AI369" s="55" t="e">
        <f t="shared" ca="1" si="121"/>
        <v>#N/A</v>
      </c>
      <c r="AJ369" s="55" t="e">
        <f t="shared" ca="1" si="122"/>
        <v>#N/A</v>
      </c>
      <c r="AK369" s="55" t="e">
        <f t="shared" ca="1" si="116"/>
        <v>#N/A</v>
      </c>
      <c r="AL369" s="55" t="e">
        <f t="shared" ca="1" si="117"/>
        <v>#N/A</v>
      </c>
      <c r="AM369" s="55" t="e">
        <f t="shared" ca="1" si="118"/>
        <v>#N/A</v>
      </c>
    </row>
    <row r="370" spans="18:39">
      <c r="R370" s="83" t="e">
        <f ca="1"/>
        <v>#N/A</v>
      </c>
      <c r="S370" s="55" t="e">
        <f t="shared" ca="1" si="110"/>
        <v>#N/A</v>
      </c>
      <c r="T370" s="55" t="e">
        <f t="shared" ca="1" si="104"/>
        <v>#N/A</v>
      </c>
      <c r="U370" s="55" t="e">
        <f t="shared" ca="1" si="105"/>
        <v>#N/A</v>
      </c>
      <c r="V370" s="55" t="e">
        <f t="shared" ca="1" si="106"/>
        <v>#N/A</v>
      </c>
      <c r="W370" s="55" t="e">
        <f t="shared" ca="1" si="111"/>
        <v>#N/A</v>
      </c>
      <c r="X370" s="55" t="e">
        <f t="shared" ca="1" si="112"/>
        <v>#N/A</v>
      </c>
      <c r="Y370" s="55" t="e">
        <f t="shared" ca="1" si="113"/>
        <v>#N/A</v>
      </c>
      <c r="Z370" s="55" t="e">
        <f t="shared" ca="1" si="114"/>
        <v>#N/A</v>
      </c>
      <c r="AB370" t="e">
        <f t="shared" ca="1" si="107"/>
        <v>#N/A</v>
      </c>
      <c r="AC370" t="e">
        <f t="shared" ca="1" si="115"/>
        <v>#N/A</v>
      </c>
      <c r="AD370" t="e">
        <f t="shared" ca="1" si="108"/>
        <v>#N/A</v>
      </c>
      <c r="AE370" t="e">
        <f t="shared" ca="1" si="109"/>
        <v>#N/A</v>
      </c>
      <c r="AF370" s="83" t="e">
        <f ca="1"/>
        <v>#N/A</v>
      </c>
      <c r="AG370" s="55" t="e">
        <f t="shared" ca="1" si="119"/>
        <v>#N/A</v>
      </c>
      <c r="AH370" s="55" t="e">
        <f t="shared" ca="1" si="120"/>
        <v>#N/A</v>
      </c>
      <c r="AI370" s="55" t="e">
        <f t="shared" ca="1" si="121"/>
        <v>#N/A</v>
      </c>
      <c r="AJ370" s="55" t="e">
        <f t="shared" ca="1" si="122"/>
        <v>#N/A</v>
      </c>
      <c r="AK370" s="55" t="e">
        <f t="shared" ca="1" si="116"/>
        <v>#N/A</v>
      </c>
      <c r="AL370" s="55" t="e">
        <f t="shared" ca="1" si="117"/>
        <v>#N/A</v>
      </c>
      <c r="AM370" s="55" t="e">
        <f t="shared" ca="1" si="118"/>
        <v>#N/A</v>
      </c>
    </row>
    <row r="371" spans="18:39">
      <c r="R371" s="83" t="e">
        <f ca="1"/>
        <v>#N/A</v>
      </c>
      <c r="S371" s="55" t="e">
        <f t="shared" ca="1" si="110"/>
        <v>#N/A</v>
      </c>
      <c r="T371" s="55" t="e">
        <f t="shared" ca="1" si="104"/>
        <v>#N/A</v>
      </c>
      <c r="U371" s="55" t="e">
        <f t="shared" ca="1" si="105"/>
        <v>#N/A</v>
      </c>
      <c r="V371" s="55" t="e">
        <f t="shared" ca="1" si="106"/>
        <v>#N/A</v>
      </c>
      <c r="W371" s="55" t="e">
        <f t="shared" ca="1" si="111"/>
        <v>#N/A</v>
      </c>
      <c r="X371" s="55" t="e">
        <f t="shared" ca="1" si="112"/>
        <v>#N/A</v>
      </c>
      <c r="Y371" s="55" t="e">
        <f t="shared" ca="1" si="113"/>
        <v>#N/A</v>
      </c>
      <c r="Z371" s="55" t="e">
        <f t="shared" ca="1" si="114"/>
        <v>#N/A</v>
      </c>
      <c r="AB371" t="e">
        <f t="shared" ca="1" si="107"/>
        <v>#N/A</v>
      </c>
      <c r="AC371" t="e">
        <f t="shared" ca="1" si="115"/>
        <v>#N/A</v>
      </c>
      <c r="AD371" t="e">
        <f t="shared" ca="1" si="108"/>
        <v>#N/A</v>
      </c>
      <c r="AE371" t="e">
        <f t="shared" ca="1" si="109"/>
        <v>#N/A</v>
      </c>
      <c r="AF371" s="83" t="e">
        <f ca="1"/>
        <v>#N/A</v>
      </c>
      <c r="AG371" s="55" t="e">
        <f t="shared" ca="1" si="119"/>
        <v>#N/A</v>
      </c>
      <c r="AH371" s="55" t="e">
        <f t="shared" ca="1" si="120"/>
        <v>#N/A</v>
      </c>
      <c r="AI371" s="55" t="e">
        <f t="shared" ca="1" si="121"/>
        <v>#N/A</v>
      </c>
      <c r="AJ371" s="55" t="e">
        <f t="shared" ca="1" si="122"/>
        <v>#N/A</v>
      </c>
      <c r="AK371" s="55" t="e">
        <f t="shared" ca="1" si="116"/>
        <v>#N/A</v>
      </c>
      <c r="AL371" s="55" t="e">
        <f t="shared" ca="1" si="117"/>
        <v>#N/A</v>
      </c>
      <c r="AM371" s="55" t="e">
        <f t="shared" ca="1" si="118"/>
        <v>#N/A</v>
      </c>
    </row>
    <row r="372" spans="18:39">
      <c r="R372" s="83" t="e">
        <f ca="1"/>
        <v>#N/A</v>
      </c>
      <c r="S372" s="55" t="e">
        <f t="shared" ca="1" si="110"/>
        <v>#N/A</v>
      </c>
      <c r="T372" s="55" t="e">
        <f t="shared" ca="1" si="104"/>
        <v>#N/A</v>
      </c>
      <c r="U372" s="55" t="e">
        <f t="shared" ca="1" si="105"/>
        <v>#N/A</v>
      </c>
      <c r="V372" s="55" t="e">
        <f t="shared" ca="1" si="106"/>
        <v>#N/A</v>
      </c>
      <c r="W372" s="55" t="e">
        <f t="shared" ca="1" si="111"/>
        <v>#N/A</v>
      </c>
      <c r="X372" s="55" t="e">
        <f t="shared" ca="1" si="112"/>
        <v>#N/A</v>
      </c>
      <c r="Y372" s="55" t="e">
        <f t="shared" ca="1" si="113"/>
        <v>#N/A</v>
      </c>
      <c r="Z372" s="55" t="e">
        <f t="shared" ca="1" si="114"/>
        <v>#N/A</v>
      </c>
      <c r="AB372" t="e">
        <f t="shared" ca="1" si="107"/>
        <v>#N/A</v>
      </c>
      <c r="AC372" t="e">
        <f t="shared" ca="1" si="115"/>
        <v>#N/A</v>
      </c>
      <c r="AD372" t="e">
        <f t="shared" ca="1" si="108"/>
        <v>#N/A</v>
      </c>
      <c r="AE372" t="e">
        <f t="shared" ca="1" si="109"/>
        <v>#N/A</v>
      </c>
      <c r="AF372" s="83" t="e">
        <f ca="1"/>
        <v>#N/A</v>
      </c>
      <c r="AG372" s="55" t="e">
        <f t="shared" ca="1" si="119"/>
        <v>#N/A</v>
      </c>
      <c r="AH372" s="55" t="e">
        <f t="shared" ca="1" si="120"/>
        <v>#N/A</v>
      </c>
      <c r="AI372" s="55" t="e">
        <f t="shared" ca="1" si="121"/>
        <v>#N/A</v>
      </c>
      <c r="AJ372" s="55" t="e">
        <f t="shared" ca="1" si="122"/>
        <v>#N/A</v>
      </c>
      <c r="AK372" s="55" t="e">
        <f t="shared" ca="1" si="116"/>
        <v>#N/A</v>
      </c>
      <c r="AL372" s="55" t="e">
        <f t="shared" ca="1" si="117"/>
        <v>#N/A</v>
      </c>
      <c r="AM372" s="55" t="e">
        <f t="shared" ca="1" si="118"/>
        <v>#N/A</v>
      </c>
    </row>
    <row r="373" spans="18:39">
      <c r="R373" s="83" t="e">
        <f ca="1"/>
        <v>#N/A</v>
      </c>
      <c r="S373" s="55" t="e">
        <f t="shared" ca="1" si="110"/>
        <v>#N/A</v>
      </c>
      <c r="T373" s="55" t="e">
        <f t="shared" ca="1" si="104"/>
        <v>#N/A</v>
      </c>
      <c r="U373" s="55" t="e">
        <f t="shared" ca="1" si="105"/>
        <v>#N/A</v>
      </c>
      <c r="V373" s="55" t="e">
        <f t="shared" ca="1" si="106"/>
        <v>#N/A</v>
      </c>
      <c r="W373" s="55" t="e">
        <f t="shared" ca="1" si="111"/>
        <v>#N/A</v>
      </c>
      <c r="X373" s="55" t="e">
        <f t="shared" ca="1" si="112"/>
        <v>#N/A</v>
      </c>
      <c r="Y373" s="55" t="e">
        <f t="shared" ca="1" si="113"/>
        <v>#N/A</v>
      </c>
      <c r="Z373" s="55" t="e">
        <f t="shared" ca="1" si="114"/>
        <v>#N/A</v>
      </c>
      <c r="AB373" t="e">
        <f t="shared" ca="1" si="107"/>
        <v>#N/A</v>
      </c>
      <c r="AC373" t="e">
        <f t="shared" ca="1" si="115"/>
        <v>#N/A</v>
      </c>
      <c r="AD373" t="e">
        <f t="shared" ca="1" si="108"/>
        <v>#N/A</v>
      </c>
      <c r="AE373" t="e">
        <f t="shared" ca="1" si="109"/>
        <v>#N/A</v>
      </c>
      <c r="AF373" s="83" t="e">
        <f ca="1"/>
        <v>#N/A</v>
      </c>
      <c r="AG373" s="55" t="e">
        <f t="shared" ca="1" si="119"/>
        <v>#N/A</v>
      </c>
      <c r="AH373" s="55" t="e">
        <f t="shared" ca="1" si="120"/>
        <v>#N/A</v>
      </c>
      <c r="AI373" s="55" t="e">
        <f t="shared" ca="1" si="121"/>
        <v>#N/A</v>
      </c>
      <c r="AJ373" s="55" t="e">
        <f t="shared" ca="1" si="122"/>
        <v>#N/A</v>
      </c>
      <c r="AK373" s="55" t="e">
        <f t="shared" ca="1" si="116"/>
        <v>#N/A</v>
      </c>
      <c r="AL373" s="55" t="e">
        <f t="shared" ca="1" si="117"/>
        <v>#N/A</v>
      </c>
      <c r="AM373" s="55" t="e">
        <f t="shared" ca="1" si="118"/>
        <v>#N/A</v>
      </c>
    </row>
    <row r="374" spans="18:39">
      <c r="R374" s="83" t="e">
        <f ca="1"/>
        <v>#N/A</v>
      </c>
      <c r="S374" s="55" t="e">
        <f t="shared" ca="1" si="110"/>
        <v>#N/A</v>
      </c>
      <c r="T374" s="55" t="e">
        <f t="shared" ca="1" si="104"/>
        <v>#N/A</v>
      </c>
      <c r="U374" s="55" t="e">
        <f t="shared" ca="1" si="105"/>
        <v>#N/A</v>
      </c>
      <c r="V374" s="55" t="e">
        <f t="shared" ca="1" si="106"/>
        <v>#N/A</v>
      </c>
      <c r="W374" s="55" t="e">
        <f t="shared" ca="1" si="111"/>
        <v>#N/A</v>
      </c>
      <c r="X374" s="55" t="e">
        <f t="shared" ca="1" si="112"/>
        <v>#N/A</v>
      </c>
      <c r="Y374" s="55" t="e">
        <f t="shared" ca="1" si="113"/>
        <v>#N/A</v>
      </c>
      <c r="Z374" s="55" t="e">
        <f t="shared" ca="1" si="114"/>
        <v>#N/A</v>
      </c>
      <c r="AB374" t="e">
        <f t="shared" ca="1" si="107"/>
        <v>#N/A</v>
      </c>
      <c r="AC374" t="e">
        <f t="shared" ca="1" si="115"/>
        <v>#N/A</v>
      </c>
      <c r="AD374" t="e">
        <f t="shared" ca="1" si="108"/>
        <v>#N/A</v>
      </c>
      <c r="AE374" t="e">
        <f t="shared" ca="1" si="109"/>
        <v>#N/A</v>
      </c>
      <c r="AF374" s="83" t="e">
        <f ca="1"/>
        <v>#N/A</v>
      </c>
      <c r="AG374" s="55" t="e">
        <f t="shared" ca="1" si="119"/>
        <v>#N/A</v>
      </c>
      <c r="AH374" s="55" t="e">
        <f t="shared" ca="1" si="120"/>
        <v>#N/A</v>
      </c>
      <c r="AI374" s="55" t="e">
        <f t="shared" ca="1" si="121"/>
        <v>#N/A</v>
      </c>
      <c r="AJ374" s="55" t="e">
        <f t="shared" ca="1" si="122"/>
        <v>#N/A</v>
      </c>
      <c r="AK374" s="55" t="e">
        <f t="shared" ca="1" si="116"/>
        <v>#N/A</v>
      </c>
      <c r="AL374" s="55" t="e">
        <f t="shared" ca="1" si="117"/>
        <v>#N/A</v>
      </c>
      <c r="AM374" s="55" t="e">
        <f t="shared" ca="1" si="118"/>
        <v>#N/A</v>
      </c>
    </row>
    <row r="375" spans="18:39">
      <c r="R375" s="83" t="e">
        <f ca="1"/>
        <v>#N/A</v>
      </c>
      <c r="S375" s="55" t="e">
        <f t="shared" ca="1" si="110"/>
        <v>#N/A</v>
      </c>
      <c r="T375" s="55" t="e">
        <f t="shared" ca="1" si="104"/>
        <v>#N/A</v>
      </c>
      <c r="U375" s="55" t="e">
        <f t="shared" ca="1" si="105"/>
        <v>#N/A</v>
      </c>
      <c r="V375" s="55" t="e">
        <f t="shared" ca="1" si="106"/>
        <v>#N/A</v>
      </c>
      <c r="W375" s="55" t="e">
        <f t="shared" ca="1" si="111"/>
        <v>#N/A</v>
      </c>
      <c r="X375" s="55" t="e">
        <f t="shared" ca="1" si="112"/>
        <v>#N/A</v>
      </c>
      <c r="Y375" s="55" t="e">
        <f t="shared" ca="1" si="113"/>
        <v>#N/A</v>
      </c>
      <c r="Z375" s="55" t="e">
        <f t="shared" ca="1" si="114"/>
        <v>#N/A</v>
      </c>
      <c r="AB375" t="e">
        <f t="shared" ca="1" si="107"/>
        <v>#N/A</v>
      </c>
      <c r="AC375" t="e">
        <f t="shared" ca="1" si="115"/>
        <v>#N/A</v>
      </c>
      <c r="AD375" t="e">
        <f t="shared" ca="1" si="108"/>
        <v>#N/A</v>
      </c>
      <c r="AE375" t="e">
        <f t="shared" ca="1" si="109"/>
        <v>#N/A</v>
      </c>
      <c r="AF375" s="83" t="e">
        <f ca="1"/>
        <v>#N/A</v>
      </c>
      <c r="AG375" s="55" t="e">
        <f t="shared" ca="1" si="119"/>
        <v>#N/A</v>
      </c>
      <c r="AH375" s="55" t="e">
        <f t="shared" ca="1" si="120"/>
        <v>#N/A</v>
      </c>
      <c r="AI375" s="55" t="e">
        <f t="shared" ca="1" si="121"/>
        <v>#N/A</v>
      </c>
      <c r="AJ375" s="55" t="e">
        <f t="shared" ca="1" si="122"/>
        <v>#N/A</v>
      </c>
      <c r="AK375" s="55" t="e">
        <f t="shared" ca="1" si="116"/>
        <v>#N/A</v>
      </c>
      <c r="AL375" s="55" t="e">
        <f t="shared" ca="1" si="117"/>
        <v>#N/A</v>
      </c>
      <c r="AM375" s="55" t="e">
        <f t="shared" ca="1" si="118"/>
        <v>#N/A</v>
      </c>
    </row>
    <row r="376" spans="18:39">
      <c r="R376" s="83" t="e">
        <f ca="1"/>
        <v>#N/A</v>
      </c>
      <c r="S376" s="55" t="e">
        <f t="shared" ca="1" si="110"/>
        <v>#N/A</v>
      </c>
      <c r="T376" s="55" t="e">
        <f t="shared" ca="1" si="104"/>
        <v>#N/A</v>
      </c>
      <c r="U376" s="55" t="e">
        <f t="shared" ca="1" si="105"/>
        <v>#N/A</v>
      </c>
      <c r="V376" s="55" t="e">
        <f t="shared" ca="1" si="106"/>
        <v>#N/A</v>
      </c>
      <c r="W376" s="55" t="e">
        <f t="shared" ca="1" si="111"/>
        <v>#N/A</v>
      </c>
      <c r="X376" s="55" t="e">
        <f t="shared" ca="1" si="112"/>
        <v>#N/A</v>
      </c>
      <c r="Y376" s="55" t="e">
        <f t="shared" ca="1" si="113"/>
        <v>#N/A</v>
      </c>
      <c r="Z376" s="55" t="e">
        <f t="shared" ca="1" si="114"/>
        <v>#N/A</v>
      </c>
      <c r="AB376" t="e">
        <f t="shared" ca="1" si="107"/>
        <v>#N/A</v>
      </c>
      <c r="AC376" t="e">
        <f t="shared" ca="1" si="115"/>
        <v>#N/A</v>
      </c>
      <c r="AD376" t="e">
        <f t="shared" ca="1" si="108"/>
        <v>#N/A</v>
      </c>
      <c r="AE376" t="e">
        <f t="shared" ca="1" si="109"/>
        <v>#N/A</v>
      </c>
      <c r="AF376" s="83" t="e">
        <f ca="1"/>
        <v>#N/A</v>
      </c>
      <c r="AG376" s="55" t="e">
        <f t="shared" ca="1" si="119"/>
        <v>#N/A</v>
      </c>
      <c r="AH376" s="55" t="e">
        <f t="shared" ca="1" si="120"/>
        <v>#N/A</v>
      </c>
      <c r="AI376" s="55" t="e">
        <f t="shared" ca="1" si="121"/>
        <v>#N/A</v>
      </c>
      <c r="AJ376" s="55" t="e">
        <f t="shared" ca="1" si="122"/>
        <v>#N/A</v>
      </c>
      <c r="AK376" s="55" t="e">
        <f t="shared" ca="1" si="116"/>
        <v>#N/A</v>
      </c>
      <c r="AL376" s="55" t="e">
        <f t="shared" ca="1" si="117"/>
        <v>#N/A</v>
      </c>
      <c r="AM376" s="55" t="e">
        <f t="shared" ca="1" si="118"/>
        <v>#N/A</v>
      </c>
    </row>
    <row r="377" spans="18:39">
      <c r="R377" s="83" t="e">
        <f ca="1"/>
        <v>#N/A</v>
      </c>
      <c r="S377" s="55" t="e">
        <f t="shared" ca="1" si="110"/>
        <v>#N/A</v>
      </c>
      <c r="T377" s="55" t="e">
        <f t="shared" ca="1" si="104"/>
        <v>#N/A</v>
      </c>
      <c r="U377" s="55" t="e">
        <f t="shared" ca="1" si="105"/>
        <v>#N/A</v>
      </c>
      <c r="V377" s="55" t="e">
        <f t="shared" ca="1" si="106"/>
        <v>#N/A</v>
      </c>
      <c r="W377" s="55" t="e">
        <f t="shared" ca="1" si="111"/>
        <v>#N/A</v>
      </c>
      <c r="X377" s="55" t="e">
        <f t="shared" ca="1" si="112"/>
        <v>#N/A</v>
      </c>
      <c r="Y377" s="55" t="e">
        <f t="shared" ca="1" si="113"/>
        <v>#N/A</v>
      </c>
      <c r="Z377" s="55" t="e">
        <f t="shared" ca="1" si="114"/>
        <v>#N/A</v>
      </c>
      <c r="AB377" t="e">
        <f t="shared" ca="1" si="107"/>
        <v>#N/A</v>
      </c>
      <c r="AC377" t="e">
        <f t="shared" ca="1" si="115"/>
        <v>#N/A</v>
      </c>
      <c r="AD377" t="e">
        <f t="shared" ca="1" si="108"/>
        <v>#N/A</v>
      </c>
      <c r="AE377" t="e">
        <f t="shared" ca="1" si="109"/>
        <v>#N/A</v>
      </c>
      <c r="AF377" s="83" t="e">
        <f ca="1"/>
        <v>#N/A</v>
      </c>
      <c r="AG377" s="55" t="e">
        <f t="shared" ca="1" si="119"/>
        <v>#N/A</v>
      </c>
      <c r="AH377" s="55" t="e">
        <f t="shared" ca="1" si="120"/>
        <v>#N/A</v>
      </c>
      <c r="AI377" s="55" t="e">
        <f t="shared" ca="1" si="121"/>
        <v>#N/A</v>
      </c>
      <c r="AJ377" s="55" t="e">
        <f t="shared" ca="1" si="122"/>
        <v>#N/A</v>
      </c>
      <c r="AK377" s="55" t="e">
        <f t="shared" ca="1" si="116"/>
        <v>#N/A</v>
      </c>
      <c r="AL377" s="55" t="e">
        <f t="shared" ca="1" si="117"/>
        <v>#N/A</v>
      </c>
      <c r="AM377" s="55" t="e">
        <f t="shared" ca="1" si="118"/>
        <v>#N/A</v>
      </c>
    </row>
    <row r="378" spans="18:39">
      <c r="R378" s="83" t="e">
        <f ca="1"/>
        <v>#N/A</v>
      </c>
      <c r="S378" s="55" t="e">
        <f t="shared" ca="1" si="110"/>
        <v>#N/A</v>
      </c>
      <c r="T378" s="55" t="e">
        <f t="shared" ca="1" si="104"/>
        <v>#N/A</v>
      </c>
      <c r="U378" s="55" t="e">
        <f t="shared" ca="1" si="105"/>
        <v>#N/A</v>
      </c>
      <c r="V378" s="55" t="e">
        <f t="shared" ca="1" si="106"/>
        <v>#N/A</v>
      </c>
      <c r="W378" s="55" t="e">
        <f t="shared" ca="1" si="111"/>
        <v>#N/A</v>
      </c>
      <c r="X378" s="55" t="e">
        <f t="shared" ca="1" si="112"/>
        <v>#N/A</v>
      </c>
      <c r="Y378" s="55" t="e">
        <f t="shared" ca="1" si="113"/>
        <v>#N/A</v>
      </c>
      <c r="Z378" s="55" t="e">
        <f t="shared" ca="1" si="114"/>
        <v>#N/A</v>
      </c>
      <c r="AB378" t="e">
        <f t="shared" ca="1" si="107"/>
        <v>#N/A</v>
      </c>
      <c r="AC378" t="e">
        <f t="shared" ca="1" si="115"/>
        <v>#N/A</v>
      </c>
      <c r="AD378" t="e">
        <f t="shared" ca="1" si="108"/>
        <v>#N/A</v>
      </c>
      <c r="AE378" t="e">
        <f t="shared" ca="1" si="109"/>
        <v>#N/A</v>
      </c>
      <c r="AF378" s="83" t="e">
        <f ca="1"/>
        <v>#N/A</v>
      </c>
      <c r="AG378" s="55" t="e">
        <f t="shared" ca="1" si="119"/>
        <v>#N/A</v>
      </c>
      <c r="AH378" s="55" t="e">
        <f t="shared" ca="1" si="120"/>
        <v>#N/A</v>
      </c>
      <c r="AI378" s="55" t="e">
        <f t="shared" ca="1" si="121"/>
        <v>#N/A</v>
      </c>
      <c r="AJ378" s="55" t="e">
        <f t="shared" ca="1" si="122"/>
        <v>#N/A</v>
      </c>
      <c r="AK378" s="55" t="e">
        <f t="shared" ca="1" si="116"/>
        <v>#N/A</v>
      </c>
      <c r="AL378" s="55" t="e">
        <f t="shared" ca="1" si="117"/>
        <v>#N/A</v>
      </c>
      <c r="AM378" s="55" t="e">
        <f t="shared" ca="1" si="118"/>
        <v>#N/A</v>
      </c>
    </row>
    <row r="379" spans="18:39">
      <c r="R379" s="83" t="e">
        <f ca="1"/>
        <v>#N/A</v>
      </c>
      <c r="S379" s="55" t="e">
        <f t="shared" ca="1" si="110"/>
        <v>#N/A</v>
      </c>
      <c r="T379" s="55" t="e">
        <f t="shared" ca="1" si="104"/>
        <v>#N/A</v>
      </c>
      <c r="U379" s="55" t="e">
        <f t="shared" ca="1" si="105"/>
        <v>#N/A</v>
      </c>
      <c r="V379" s="55" t="e">
        <f t="shared" ca="1" si="106"/>
        <v>#N/A</v>
      </c>
      <c r="W379" s="55" t="e">
        <f t="shared" ca="1" si="111"/>
        <v>#N/A</v>
      </c>
      <c r="X379" s="55" t="e">
        <f t="shared" ca="1" si="112"/>
        <v>#N/A</v>
      </c>
      <c r="Y379" s="55" t="e">
        <f t="shared" ca="1" si="113"/>
        <v>#N/A</v>
      </c>
      <c r="Z379" s="55" t="e">
        <f t="shared" ca="1" si="114"/>
        <v>#N/A</v>
      </c>
      <c r="AB379" t="e">
        <f t="shared" ca="1" si="107"/>
        <v>#N/A</v>
      </c>
      <c r="AC379" t="e">
        <f t="shared" ca="1" si="115"/>
        <v>#N/A</v>
      </c>
      <c r="AD379" t="e">
        <f t="shared" ca="1" si="108"/>
        <v>#N/A</v>
      </c>
      <c r="AE379" t="e">
        <f t="shared" ca="1" si="109"/>
        <v>#N/A</v>
      </c>
      <c r="AF379" s="83" t="e">
        <f ca="1"/>
        <v>#N/A</v>
      </c>
      <c r="AG379" s="55" t="e">
        <f t="shared" ca="1" si="119"/>
        <v>#N/A</v>
      </c>
      <c r="AH379" s="55" t="e">
        <f t="shared" ca="1" si="120"/>
        <v>#N/A</v>
      </c>
      <c r="AI379" s="55" t="e">
        <f t="shared" ca="1" si="121"/>
        <v>#N/A</v>
      </c>
      <c r="AJ379" s="55" t="e">
        <f t="shared" ca="1" si="122"/>
        <v>#N/A</v>
      </c>
      <c r="AK379" s="55" t="e">
        <f t="shared" ca="1" si="116"/>
        <v>#N/A</v>
      </c>
      <c r="AL379" s="55" t="e">
        <f t="shared" ca="1" si="117"/>
        <v>#N/A</v>
      </c>
      <c r="AM379" s="55" t="e">
        <f t="shared" ca="1" si="118"/>
        <v>#N/A</v>
      </c>
    </row>
    <row r="380" spans="18:39">
      <c r="R380" s="83" t="e">
        <f ca="1"/>
        <v>#N/A</v>
      </c>
      <c r="S380" s="55" t="e">
        <f t="shared" ca="1" si="110"/>
        <v>#N/A</v>
      </c>
      <c r="T380" s="55" t="e">
        <f t="shared" ca="1" si="104"/>
        <v>#N/A</v>
      </c>
      <c r="U380" s="55" t="e">
        <f t="shared" ca="1" si="105"/>
        <v>#N/A</v>
      </c>
      <c r="V380" s="55" t="e">
        <f t="shared" ca="1" si="106"/>
        <v>#N/A</v>
      </c>
      <c r="W380" s="55" t="e">
        <f t="shared" ca="1" si="111"/>
        <v>#N/A</v>
      </c>
      <c r="X380" s="55" t="e">
        <f t="shared" ca="1" si="112"/>
        <v>#N/A</v>
      </c>
      <c r="Y380" s="55" t="e">
        <f t="shared" ca="1" si="113"/>
        <v>#N/A</v>
      </c>
      <c r="Z380" s="55" t="e">
        <f t="shared" ca="1" si="114"/>
        <v>#N/A</v>
      </c>
      <c r="AB380" t="e">
        <f t="shared" ca="1" si="107"/>
        <v>#N/A</v>
      </c>
      <c r="AC380" t="e">
        <f t="shared" ca="1" si="115"/>
        <v>#N/A</v>
      </c>
      <c r="AD380" t="e">
        <f t="shared" ca="1" si="108"/>
        <v>#N/A</v>
      </c>
      <c r="AE380" t="e">
        <f t="shared" ca="1" si="109"/>
        <v>#N/A</v>
      </c>
      <c r="AF380" s="83" t="e">
        <f ca="1"/>
        <v>#N/A</v>
      </c>
      <c r="AG380" s="55" t="e">
        <f t="shared" ca="1" si="119"/>
        <v>#N/A</v>
      </c>
      <c r="AH380" s="55" t="e">
        <f t="shared" ca="1" si="120"/>
        <v>#N/A</v>
      </c>
      <c r="AI380" s="55" t="e">
        <f t="shared" ca="1" si="121"/>
        <v>#N/A</v>
      </c>
      <c r="AJ380" s="55" t="e">
        <f t="shared" ca="1" si="122"/>
        <v>#N/A</v>
      </c>
      <c r="AK380" s="55" t="e">
        <f t="shared" ca="1" si="116"/>
        <v>#N/A</v>
      </c>
      <c r="AL380" s="55" t="e">
        <f t="shared" ca="1" si="117"/>
        <v>#N/A</v>
      </c>
      <c r="AM380" s="55" t="e">
        <f t="shared" ca="1" si="118"/>
        <v>#N/A</v>
      </c>
    </row>
    <row r="381" spans="18:39">
      <c r="R381" s="83" t="e">
        <f ca="1"/>
        <v>#N/A</v>
      </c>
      <c r="S381" s="55" t="e">
        <f t="shared" ca="1" si="110"/>
        <v>#N/A</v>
      </c>
      <c r="T381" s="55" t="e">
        <f t="shared" ca="1" si="104"/>
        <v>#N/A</v>
      </c>
      <c r="U381" s="55" t="e">
        <f t="shared" ca="1" si="105"/>
        <v>#N/A</v>
      </c>
      <c r="V381" s="55" t="e">
        <f t="shared" ca="1" si="106"/>
        <v>#N/A</v>
      </c>
      <c r="W381" s="55" t="e">
        <f t="shared" ca="1" si="111"/>
        <v>#N/A</v>
      </c>
      <c r="X381" s="55" t="e">
        <f t="shared" ca="1" si="112"/>
        <v>#N/A</v>
      </c>
      <c r="Y381" s="55" t="e">
        <f t="shared" ca="1" si="113"/>
        <v>#N/A</v>
      </c>
      <c r="Z381" s="55" t="e">
        <f t="shared" ca="1" si="114"/>
        <v>#N/A</v>
      </c>
      <c r="AB381" t="e">
        <f t="shared" ca="1" si="107"/>
        <v>#N/A</v>
      </c>
      <c r="AC381" t="e">
        <f t="shared" ca="1" si="115"/>
        <v>#N/A</v>
      </c>
      <c r="AD381" t="e">
        <f t="shared" ca="1" si="108"/>
        <v>#N/A</v>
      </c>
      <c r="AE381" t="e">
        <f t="shared" ca="1" si="109"/>
        <v>#N/A</v>
      </c>
      <c r="AF381" s="83" t="e">
        <f ca="1"/>
        <v>#N/A</v>
      </c>
      <c r="AG381" s="55" t="e">
        <f t="shared" ca="1" si="119"/>
        <v>#N/A</v>
      </c>
      <c r="AH381" s="55" t="e">
        <f t="shared" ca="1" si="120"/>
        <v>#N/A</v>
      </c>
      <c r="AI381" s="55" t="e">
        <f t="shared" ca="1" si="121"/>
        <v>#N/A</v>
      </c>
      <c r="AJ381" s="55" t="e">
        <f t="shared" ca="1" si="122"/>
        <v>#N/A</v>
      </c>
      <c r="AK381" s="55" t="e">
        <f t="shared" ca="1" si="116"/>
        <v>#N/A</v>
      </c>
      <c r="AL381" s="55" t="e">
        <f t="shared" ca="1" si="117"/>
        <v>#N/A</v>
      </c>
      <c r="AM381" s="55" t="e">
        <f t="shared" ca="1" si="118"/>
        <v>#N/A</v>
      </c>
    </row>
    <row r="382" spans="18:39">
      <c r="R382" s="83" t="e">
        <f ca="1"/>
        <v>#N/A</v>
      </c>
      <c r="S382" s="55" t="e">
        <f t="shared" ca="1" si="110"/>
        <v>#N/A</v>
      </c>
      <c r="T382" s="55" t="e">
        <f t="shared" ca="1" si="104"/>
        <v>#N/A</v>
      </c>
      <c r="U382" s="55" t="e">
        <f t="shared" ca="1" si="105"/>
        <v>#N/A</v>
      </c>
      <c r="V382" s="55" t="e">
        <f t="shared" ca="1" si="106"/>
        <v>#N/A</v>
      </c>
      <c r="W382" s="55" t="e">
        <f t="shared" ca="1" si="111"/>
        <v>#N/A</v>
      </c>
      <c r="X382" s="55" t="e">
        <f t="shared" ca="1" si="112"/>
        <v>#N/A</v>
      </c>
      <c r="Y382" s="55" t="e">
        <f t="shared" ca="1" si="113"/>
        <v>#N/A</v>
      </c>
      <c r="Z382" s="55" t="e">
        <f t="shared" ca="1" si="114"/>
        <v>#N/A</v>
      </c>
      <c r="AB382" t="e">
        <f t="shared" ca="1" si="107"/>
        <v>#N/A</v>
      </c>
      <c r="AC382" t="e">
        <f t="shared" ca="1" si="115"/>
        <v>#N/A</v>
      </c>
      <c r="AD382" t="e">
        <f t="shared" ca="1" si="108"/>
        <v>#N/A</v>
      </c>
      <c r="AE382" t="e">
        <f t="shared" ca="1" si="109"/>
        <v>#N/A</v>
      </c>
      <c r="AF382" s="83" t="e">
        <f ca="1"/>
        <v>#N/A</v>
      </c>
      <c r="AG382" s="55" t="e">
        <f t="shared" ca="1" si="119"/>
        <v>#N/A</v>
      </c>
      <c r="AH382" s="55" t="e">
        <f t="shared" ca="1" si="120"/>
        <v>#N/A</v>
      </c>
      <c r="AI382" s="55" t="e">
        <f t="shared" ca="1" si="121"/>
        <v>#N/A</v>
      </c>
      <c r="AJ382" s="55" t="e">
        <f t="shared" ca="1" si="122"/>
        <v>#N/A</v>
      </c>
      <c r="AK382" s="55" t="e">
        <f t="shared" ca="1" si="116"/>
        <v>#N/A</v>
      </c>
      <c r="AL382" s="55" t="e">
        <f t="shared" ca="1" si="117"/>
        <v>#N/A</v>
      </c>
      <c r="AM382" s="55" t="e">
        <f t="shared" ca="1" si="118"/>
        <v>#N/A</v>
      </c>
    </row>
    <row r="383" spans="18:39">
      <c r="R383" s="83" t="e">
        <f ca="1"/>
        <v>#N/A</v>
      </c>
      <c r="S383" s="55" t="e">
        <f t="shared" ca="1" si="110"/>
        <v>#N/A</v>
      </c>
      <c r="T383" s="55" t="e">
        <f t="shared" ca="1" si="104"/>
        <v>#N/A</v>
      </c>
      <c r="U383" s="55" t="e">
        <f t="shared" ca="1" si="105"/>
        <v>#N/A</v>
      </c>
      <c r="V383" s="55" t="e">
        <f t="shared" ca="1" si="106"/>
        <v>#N/A</v>
      </c>
      <c r="W383" s="55" t="e">
        <f t="shared" ca="1" si="111"/>
        <v>#N/A</v>
      </c>
      <c r="X383" s="55" t="e">
        <f t="shared" ca="1" si="112"/>
        <v>#N/A</v>
      </c>
      <c r="Y383" s="55" t="e">
        <f t="shared" ca="1" si="113"/>
        <v>#N/A</v>
      </c>
      <c r="Z383" s="55" t="e">
        <f t="shared" ca="1" si="114"/>
        <v>#N/A</v>
      </c>
      <c r="AB383" t="e">
        <f t="shared" ca="1" si="107"/>
        <v>#N/A</v>
      </c>
      <c r="AC383" t="e">
        <f t="shared" ca="1" si="115"/>
        <v>#N/A</v>
      </c>
      <c r="AD383" t="e">
        <f t="shared" ca="1" si="108"/>
        <v>#N/A</v>
      </c>
      <c r="AE383" t="e">
        <f t="shared" ca="1" si="109"/>
        <v>#N/A</v>
      </c>
      <c r="AF383" s="83" t="e">
        <f ca="1"/>
        <v>#N/A</v>
      </c>
      <c r="AG383" s="55" t="e">
        <f t="shared" ca="1" si="119"/>
        <v>#N/A</v>
      </c>
      <c r="AH383" s="55" t="e">
        <f t="shared" ca="1" si="120"/>
        <v>#N/A</v>
      </c>
      <c r="AI383" s="55" t="e">
        <f t="shared" ca="1" si="121"/>
        <v>#N/A</v>
      </c>
      <c r="AJ383" s="55" t="e">
        <f t="shared" ca="1" si="122"/>
        <v>#N/A</v>
      </c>
      <c r="AK383" s="55" t="e">
        <f t="shared" ca="1" si="116"/>
        <v>#N/A</v>
      </c>
      <c r="AL383" s="55" t="e">
        <f t="shared" ca="1" si="117"/>
        <v>#N/A</v>
      </c>
      <c r="AM383" s="55" t="e">
        <f t="shared" ca="1" si="118"/>
        <v>#N/A</v>
      </c>
    </row>
    <row r="384" spans="18:39">
      <c r="R384" s="83" t="e">
        <f ca="1"/>
        <v>#N/A</v>
      </c>
      <c r="S384" s="55" t="e">
        <f t="shared" ca="1" si="110"/>
        <v>#N/A</v>
      </c>
      <c r="T384" s="55" t="e">
        <f t="shared" ca="1" si="104"/>
        <v>#N/A</v>
      </c>
      <c r="U384" s="55" t="e">
        <f t="shared" ca="1" si="105"/>
        <v>#N/A</v>
      </c>
      <c r="V384" s="55" t="e">
        <f t="shared" ca="1" si="106"/>
        <v>#N/A</v>
      </c>
      <c r="W384" s="55" t="e">
        <f t="shared" ca="1" si="111"/>
        <v>#N/A</v>
      </c>
      <c r="X384" s="55" t="e">
        <f t="shared" ca="1" si="112"/>
        <v>#N/A</v>
      </c>
      <c r="Y384" s="55" t="e">
        <f t="shared" ca="1" si="113"/>
        <v>#N/A</v>
      </c>
      <c r="Z384" s="55" t="e">
        <f t="shared" ca="1" si="114"/>
        <v>#N/A</v>
      </c>
      <c r="AB384" t="e">
        <f t="shared" ca="1" si="107"/>
        <v>#N/A</v>
      </c>
      <c r="AC384" t="e">
        <f t="shared" ca="1" si="115"/>
        <v>#N/A</v>
      </c>
      <c r="AD384" t="e">
        <f t="shared" ca="1" si="108"/>
        <v>#N/A</v>
      </c>
      <c r="AE384" t="e">
        <f t="shared" ca="1" si="109"/>
        <v>#N/A</v>
      </c>
      <c r="AF384" s="83" t="e">
        <f ca="1"/>
        <v>#N/A</v>
      </c>
      <c r="AG384" s="55" t="e">
        <f t="shared" ca="1" si="119"/>
        <v>#N/A</v>
      </c>
      <c r="AH384" s="55" t="e">
        <f t="shared" ca="1" si="120"/>
        <v>#N/A</v>
      </c>
      <c r="AI384" s="55" t="e">
        <f t="shared" ca="1" si="121"/>
        <v>#N/A</v>
      </c>
      <c r="AJ384" s="55" t="e">
        <f t="shared" ca="1" si="122"/>
        <v>#N/A</v>
      </c>
      <c r="AK384" s="55" t="e">
        <f t="shared" ca="1" si="116"/>
        <v>#N/A</v>
      </c>
      <c r="AL384" s="55" t="e">
        <f t="shared" ca="1" si="117"/>
        <v>#N/A</v>
      </c>
      <c r="AM384" s="55" t="e">
        <f t="shared" ca="1" si="118"/>
        <v>#N/A</v>
      </c>
    </row>
    <row r="385" spans="18:39">
      <c r="R385" s="83" t="e">
        <f ca="1"/>
        <v>#N/A</v>
      </c>
      <c r="S385" s="55" t="e">
        <f t="shared" ca="1" si="110"/>
        <v>#N/A</v>
      </c>
      <c r="T385" s="55" t="e">
        <f t="shared" ca="1" si="104"/>
        <v>#N/A</v>
      </c>
      <c r="U385" s="55" t="e">
        <f t="shared" ca="1" si="105"/>
        <v>#N/A</v>
      </c>
      <c r="V385" s="55" t="e">
        <f t="shared" ca="1" si="106"/>
        <v>#N/A</v>
      </c>
      <c r="W385" s="55" t="e">
        <f t="shared" ca="1" si="111"/>
        <v>#N/A</v>
      </c>
      <c r="X385" s="55" t="e">
        <f t="shared" ca="1" si="112"/>
        <v>#N/A</v>
      </c>
      <c r="Y385" s="55" t="e">
        <f t="shared" ca="1" si="113"/>
        <v>#N/A</v>
      </c>
      <c r="Z385" s="55" t="e">
        <f t="shared" ca="1" si="114"/>
        <v>#N/A</v>
      </c>
      <c r="AB385" t="e">
        <f t="shared" ca="1" si="107"/>
        <v>#N/A</v>
      </c>
      <c r="AC385" t="e">
        <f t="shared" ca="1" si="115"/>
        <v>#N/A</v>
      </c>
      <c r="AD385" t="e">
        <f t="shared" ca="1" si="108"/>
        <v>#N/A</v>
      </c>
      <c r="AE385" t="e">
        <f t="shared" ca="1" si="109"/>
        <v>#N/A</v>
      </c>
      <c r="AF385" s="83" t="e">
        <f ca="1"/>
        <v>#N/A</v>
      </c>
      <c r="AG385" s="55" t="e">
        <f t="shared" ca="1" si="119"/>
        <v>#N/A</v>
      </c>
      <c r="AH385" s="55" t="e">
        <f t="shared" ca="1" si="120"/>
        <v>#N/A</v>
      </c>
      <c r="AI385" s="55" t="e">
        <f t="shared" ca="1" si="121"/>
        <v>#N/A</v>
      </c>
      <c r="AJ385" s="55" t="e">
        <f t="shared" ca="1" si="122"/>
        <v>#N/A</v>
      </c>
      <c r="AK385" s="55" t="e">
        <f t="shared" ca="1" si="116"/>
        <v>#N/A</v>
      </c>
      <c r="AL385" s="55" t="e">
        <f t="shared" ca="1" si="117"/>
        <v>#N/A</v>
      </c>
      <c r="AM385" s="55" t="e">
        <f t="shared" ca="1" si="118"/>
        <v>#N/A</v>
      </c>
    </row>
    <row r="386" spans="18:39">
      <c r="R386" s="83" t="e">
        <f ca="1"/>
        <v>#N/A</v>
      </c>
      <c r="S386" s="55" t="e">
        <f t="shared" ca="1" si="110"/>
        <v>#N/A</v>
      </c>
      <c r="T386" s="55" t="e">
        <f t="shared" ca="1" si="104"/>
        <v>#N/A</v>
      </c>
      <c r="U386" s="55" t="e">
        <f t="shared" ca="1" si="105"/>
        <v>#N/A</v>
      </c>
      <c r="V386" s="55" t="e">
        <f t="shared" ca="1" si="106"/>
        <v>#N/A</v>
      </c>
      <c r="W386" s="55" t="e">
        <f t="shared" ca="1" si="111"/>
        <v>#N/A</v>
      </c>
      <c r="X386" s="55" t="e">
        <f t="shared" ca="1" si="112"/>
        <v>#N/A</v>
      </c>
      <c r="Y386" s="55" t="e">
        <f t="shared" ca="1" si="113"/>
        <v>#N/A</v>
      </c>
      <c r="Z386" s="55" t="e">
        <f t="shared" ca="1" si="114"/>
        <v>#N/A</v>
      </c>
      <c r="AB386" t="e">
        <f t="shared" ca="1" si="107"/>
        <v>#N/A</v>
      </c>
      <c r="AC386" t="e">
        <f t="shared" ca="1" si="115"/>
        <v>#N/A</v>
      </c>
      <c r="AD386" t="e">
        <f t="shared" ca="1" si="108"/>
        <v>#N/A</v>
      </c>
      <c r="AE386" t="e">
        <f t="shared" ca="1" si="109"/>
        <v>#N/A</v>
      </c>
      <c r="AF386" s="83" t="e">
        <f ca="1"/>
        <v>#N/A</v>
      </c>
      <c r="AG386" s="55" t="e">
        <f t="shared" ca="1" si="119"/>
        <v>#N/A</v>
      </c>
      <c r="AH386" s="55" t="e">
        <f t="shared" ca="1" si="120"/>
        <v>#N/A</v>
      </c>
      <c r="AI386" s="55" t="e">
        <f t="shared" ca="1" si="121"/>
        <v>#N/A</v>
      </c>
      <c r="AJ386" s="55" t="e">
        <f t="shared" ca="1" si="122"/>
        <v>#N/A</v>
      </c>
      <c r="AK386" s="55" t="e">
        <f t="shared" ca="1" si="116"/>
        <v>#N/A</v>
      </c>
      <c r="AL386" s="55" t="e">
        <f t="shared" ca="1" si="117"/>
        <v>#N/A</v>
      </c>
      <c r="AM386" s="55" t="e">
        <f t="shared" ca="1" si="118"/>
        <v>#N/A</v>
      </c>
    </row>
    <row r="387" spans="18:39">
      <c r="R387" s="83" t="e">
        <f ca="1"/>
        <v>#N/A</v>
      </c>
      <c r="S387" s="55" t="e">
        <f t="shared" ca="1" si="110"/>
        <v>#N/A</v>
      </c>
      <c r="T387" s="55" t="e">
        <f t="shared" ca="1" si="104"/>
        <v>#N/A</v>
      </c>
      <c r="U387" s="55" t="e">
        <f t="shared" ca="1" si="105"/>
        <v>#N/A</v>
      </c>
      <c r="V387" s="55" t="e">
        <f t="shared" ca="1" si="106"/>
        <v>#N/A</v>
      </c>
      <c r="W387" s="55" t="e">
        <f t="shared" ca="1" si="111"/>
        <v>#N/A</v>
      </c>
      <c r="X387" s="55" t="e">
        <f t="shared" ca="1" si="112"/>
        <v>#N/A</v>
      </c>
      <c r="Y387" s="55" t="e">
        <f t="shared" ca="1" si="113"/>
        <v>#N/A</v>
      </c>
      <c r="Z387" s="55" t="e">
        <f t="shared" ca="1" si="114"/>
        <v>#N/A</v>
      </c>
      <c r="AB387" t="e">
        <f t="shared" ca="1" si="107"/>
        <v>#N/A</v>
      </c>
      <c r="AC387" t="e">
        <f t="shared" ca="1" si="115"/>
        <v>#N/A</v>
      </c>
      <c r="AD387" t="e">
        <f t="shared" ca="1" si="108"/>
        <v>#N/A</v>
      </c>
      <c r="AE387" t="e">
        <f t="shared" ca="1" si="109"/>
        <v>#N/A</v>
      </c>
      <c r="AF387" s="83" t="e">
        <f ca="1"/>
        <v>#N/A</v>
      </c>
      <c r="AG387" s="55" t="e">
        <f t="shared" ca="1" si="119"/>
        <v>#N/A</v>
      </c>
      <c r="AH387" s="55" t="e">
        <f t="shared" ca="1" si="120"/>
        <v>#N/A</v>
      </c>
      <c r="AI387" s="55" t="e">
        <f t="shared" ca="1" si="121"/>
        <v>#N/A</v>
      </c>
      <c r="AJ387" s="55" t="e">
        <f t="shared" ca="1" si="122"/>
        <v>#N/A</v>
      </c>
      <c r="AK387" s="55" t="e">
        <f t="shared" ca="1" si="116"/>
        <v>#N/A</v>
      </c>
      <c r="AL387" s="55" t="e">
        <f t="shared" ca="1" si="117"/>
        <v>#N/A</v>
      </c>
      <c r="AM387" s="55" t="e">
        <f t="shared" ca="1" si="118"/>
        <v>#N/A</v>
      </c>
    </row>
    <row r="388" spans="18:39">
      <c r="R388" s="83" t="e">
        <f ca="1"/>
        <v>#N/A</v>
      </c>
      <c r="S388" s="55" t="e">
        <f t="shared" ca="1" si="110"/>
        <v>#N/A</v>
      </c>
      <c r="T388" s="55" t="e">
        <f t="shared" ca="1" si="104"/>
        <v>#N/A</v>
      </c>
      <c r="U388" s="55" t="e">
        <f t="shared" ca="1" si="105"/>
        <v>#N/A</v>
      </c>
      <c r="V388" s="55" t="e">
        <f t="shared" ca="1" si="106"/>
        <v>#N/A</v>
      </c>
      <c r="W388" s="55" t="e">
        <f t="shared" ca="1" si="111"/>
        <v>#N/A</v>
      </c>
      <c r="X388" s="55" t="e">
        <f t="shared" ca="1" si="112"/>
        <v>#N/A</v>
      </c>
      <c r="Y388" s="55" t="e">
        <f t="shared" ca="1" si="113"/>
        <v>#N/A</v>
      </c>
      <c r="Z388" s="55" t="e">
        <f t="shared" ca="1" si="114"/>
        <v>#N/A</v>
      </c>
      <c r="AB388" t="e">
        <f t="shared" ca="1" si="107"/>
        <v>#N/A</v>
      </c>
      <c r="AC388" t="e">
        <f t="shared" ca="1" si="115"/>
        <v>#N/A</v>
      </c>
      <c r="AD388" t="e">
        <f t="shared" ca="1" si="108"/>
        <v>#N/A</v>
      </c>
      <c r="AE388" t="e">
        <f t="shared" ca="1" si="109"/>
        <v>#N/A</v>
      </c>
      <c r="AF388" s="83" t="e">
        <f ca="1"/>
        <v>#N/A</v>
      </c>
      <c r="AG388" s="55" t="e">
        <f t="shared" ca="1" si="119"/>
        <v>#N/A</v>
      </c>
      <c r="AH388" s="55" t="e">
        <f t="shared" ca="1" si="120"/>
        <v>#N/A</v>
      </c>
      <c r="AI388" s="55" t="e">
        <f t="shared" ca="1" si="121"/>
        <v>#N/A</v>
      </c>
      <c r="AJ388" s="55" t="e">
        <f t="shared" ca="1" si="122"/>
        <v>#N/A</v>
      </c>
      <c r="AK388" s="55" t="e">
        <f t="shared" ca="1" si="116"/>
        <v>#N/A</v>
      </c>
      <c r="AL388" s="55" t="e">
        <f t="shared" ca="1" si="117"/>
        <v>#N/A</v>
      </c>
      <c r="AM388" s="55" t="e">
        <f t="shared" ca="1" si="118"/>
        <v>#N/A</v>
      </c>
    </row>
    <row r="389" spans="18:39">
      <c r="R389" s="83" t="e">
        <f ca="1"/>
        <v>#N/A</v>
      </c>
      <c r="S389" s="55" t="e">
        <f t="shared" ca="1" si="110"/>
        <v>#N/A</v>
      </c>
      <c r="T389" s="55" t="e">
        <f t="shared" ca="1" si="104"/>
        <v>#N/A</v>
      </c>
      <c r="U389" s="55" t="e">
        <f t="shared" ca="1" si="105"/>
        <v>#N/A</v>
      </c>
      <c r="V389" s="55" t="e">
        <f t="shared" ca="1" si="106"/>
        <v>#N/A</v>
      </c>
      <c r="W389" s="55" t="e">
        <f t="shared" ca="1" si="111"/>
        <v>#N/A</v>
      </c>
      <c r="X389" s="55" t="e">
        <f t="shared" ca="1" si="112"/>
        <v>#N/A</v>
      </c>
      <c r="Y389" s="55" t="e">
        <f t="shared" ca="1" si="113"/>
        <v>#N/A</v>
      </c>
      <c r="Z389" s="55" t="e">
        <f t="shared" ca="1" si="114"/>
        <v>#N/A</v>
      </c>
      <c r="AB389" t="e">
        <f t="shared" ca="1" si="107"/>
        <v>#N/A</v>
      </c>
      <c r="AC389" t="e">
        <f t="shared" ca="1" si="115"/>
        <v>#N/A</v>
      </c>
      <c r="AD389" t="e">
        <f t="shared" ca="1" si="108"/>
        <v>#N/A</v>
      </c>
      <c r="AE389" t="e">
        <f t="shared" ca="1" si="109"/>
        <v>#N/A</v>
      </c>
      <c r="AF389" s="83" t="e">
        <f ca="1"/>
        <v>#N/A</v>
      </c>
      <c r="AG389" s="55" t="e">
        <f t="shared" ca="1" si="119"/>
        <v>#N/A</v>
      </c>
      <c r="AH389" s="55" t="e">
        <f t="shared" ca="1" si="120"/>
        <v>#N/A</v>
      </c>
      <c r="AI389" s="55" t="e">
        <f t="shared" ca="1" si="121"/>
        <v>#N/A</v>
      </c>
      <c r="AJ389" s="55" t="e">
        <f t="shared" ca="1" si="122"/>
        <v>#N/A</v>
      </c>
      <c r="AK389" s="55" t="e">
        <f t="shared" ca="1" si="116"/>
        <v>#N/A</v>
      </c>
      <c r="AL389" s="55" t="e">
        <f t="shared" ca="1" si="117"/>
        <v>#N/A</v>
      </c>
      <c r="AM389" s="55" t="e">
        <f t="shared" ca="1" si="118"/>
        <v>#N/A</v>
      </c>
    </row>
    <row r="390" spans="18:39">
      <c r="R390" s="83" t="e">
        <f ca="1"/>
        <v>#N/A</v>
      </c>
      <c r="S390" s="55" t="e">
        <f t="shared" ca="1" si="110"/>
        <v>#N/A</v>
      </c>
      <c r="T390" s="55" t="e">
        <f t="shared" ca="1" si="104"/>
        <v>#N/A</v>
      </c>
      <c r="U390" s="55" t="e">
        <f t="shared" ca="1" si="105"/>
        <v>#N/A</v>
      </c>
      <c r="V390" s="55" t="e">
        <f t="shared" ca="1" si="106"/>
        <v>#N/A</v>
      </c>
      <c r="W390" s="55" t="e">
        <f t="shared" ca="1" si="111"/>
        <v>#N/A</v>
      </c>
      <c r="X390" s="55" t="e">
        <f t="shared" ca="1" si="112"/>
        <v>#N/A</v>
      </c>
      <c r="Y390" s="55" t="e">
        <f t="shared" ca="1" si="113"/>
        <v>#N/A</v>
      </c>
      <c r="Z390" s="55" t="e">
        <f t="shared" ca="1" si="114"/>
        <v>#N/A</v>
      </c>
      <c r="AB390" t="e">
        <f t="shared" ca="1" si="107"/>
        <v>#N/A</v>
      </c>
      <c r="AC390" t="e">
        <f t="shared" ca="1" si="115"/>
        <v>#N/A</v>
      </c>
      <c r="AD390" t="e">
        <f t="shared" ca="1" si="108"/>
        <v>#N/A</v>
      </c>
      <c r="AE390" t="e">
        <f t="shared" ca="1" si="109"/>
        <v>#N/A</v>
      </c>
      <c r="AF390" s="83" t="e">
        <f ca="1"/>
        <v>#N/A</v>
      </c>
      <c r="AG390" s="55" t="e">
        <f t="shared" ca="1" si="119"/>
        <v>#N/A</v>
      </c>
      <c r="AH390" s="55" t="e">
        <f t="shared" ca="1" si="120"/>
        <v>#N/A</v>
      </c>
      <c r="AI390" s="55" t="e">
        <f t="shared" ca="1" si="121"/>
        <v>#N/A</v>
      </c>
      <c r="AJ390" s="55" t="e">
        <f t="shared" ca="1" si="122"/>
        <v>#N/A</v>
      </c>
      <c r="AK390" s="55" t="e">
        <f t="shared" ca="1" si="116"/>
        <v>#N/A</v>
      </c>
      <c r="AL390" s="55" t="e">
        <f t="shared" ca="1" si="117"/>
        <v>#N/A</v>
      </c>
      <c r="AM390" s="55" t="e">
        <f t="shared" ca="1" si="118"/>
        <v>#N/A</v>
      </c>
    </row>
    <row r="391" spans="18:39">
      <c r="R391" s="83" t="e">
        <f ca="1"/>
        <v>#N/A</v>
      </c>
      <c r="S391" s="55" t="e">
        <f t="shared" ca="1" si="110"/>
        <v>#N/A</v>
      </c>
      <c r="T391" s="55" t="e">
        <f t="shared" ca="1" si="104"/>
        <v>#N/A</v>
      </c>
      <c r="U391" s="55" t="e">
        <f t="shared" ca="1" si="105"/>
        <v>#N/A</v>
      </c>
      <c r="V391" s="55" t="e">
        <f t="shared" ca="1" si="106"/>
        <v>#N/A</v>
      </c>
      <c r="W391" s="55" t="e">
        <f t="shared" ca="1" si="111"/>
        <v>#N/A</v>
      </c>
      <c r="X391" s="55" t="e">
        <f t="shared" ca="1" si="112"/>
        <v>#N/A</v>
      </c>
      <c r="Y391" s="55" t="e">
        <f t="shared" ca="1" si="113"/>
        <v>#N/A</v>
      </c>
      <c r="Z391" s="55" t="e">
        <f t="shared" ca="1" si="114"/>
        <v>#N/A</v>
      </c>
      <c r="AB391" t="e">
        <f t="shared" ca="1" si="107"/>
        <v>#N/A</v>
      </c>
      <c r="AC391" t="e">
        <f t="shared" ca="1" si="115"/>
        <v>#N/A</v>
      </c>
      <c r="AD391" t="e">
        <f t="shared" ca="1" si="108"/>
        <v>#N/A</v>
      </c>
      <c r="AE391" t="e">
        <f t="shared" ca="1" si="109"/>
        <v>#N/A</v>
      </c>
      <c r="AF391" s="83" t="e">
        <f ca="1"/>
        <v>#N/A</v>
      </c>
      <c r="AG391" s="55" t="e">
        <f t="shared" ca="1" si="119"/>
        <v>#N/A</v>
      </c>
      <c r="AH391" s="55" t="e">
        <f t="shared" ca="1" si="120"/>
        <v>#N/A</v>
      </c>
      <c r="AI391" s="55" t="e">
        <f t="shared" ca="1" si="121"/>
        <v>#N/A</v>
      </c>
      <c r="AJ391" s="55" t="e">
        <f t="shared" ca="1" si="122"/>
        <v>#N/A</v>
      </c>
      <c r="AK391" s="55" t="e">
        <f t="shared" ca="1" si="116"/>
        <v>#N/A</v>
      </c>
      <c r="AL391" s="55" t="e">
        <f t="shared" ca="1" si="117"/>
        <v>#N/A</v>
      </c>
      <c r="AM391" s="55" t="e">
        <f t="shared" ca="1" si="118"/>
        <v>#N/A</v>
      </c>
    </row>
    <row r="392" spans="18:39">
      <c r="R392" s="83" t="e">
        <f ca="1"/>
        <v>#N/A</v>
      </c>
      <c r="S392" s="55" t="e">
        <f t="shared" ca="1" si="110"/>
        <v>#N/A</v>
      </c>
      <c r="T392" s="55" t="e">
        <f t="shared" ca="1" si="104"/>
        <v>#N/A</v>
      </c>
      <c r="U392" s="55" t="e">
        <f t="shared" ca="1" si="105"/>
        <v>#N/A</v>
      </c>
      <c r="V392" s="55" t="e">
        <f t="shared" ca="1" si="106"/>
        <v>#N/A</v>
      </c>
      <c r="W392" s="55" t="e">
        <f t="shared" ca="1" si="111"/>
        <v>#N/A</v>
      </c>
      <c r="X392" s="55" t="e">
        <f t="shared" ca="1" si="112"/>
        <v>#N/A</v>
      </c>
      <c r="Y392" s="55" t="e">
        <f t="shared" ca="1" si="113"/>
        <v>#N/A</v>
      </c>
      <c r="Z392" s="55" t="e">
        <f t="shared" ca="1" si="114"/>
        <v>#N/A</v>
      </c>
      <c r="AB392" t="e">
        <f t="shared" ca="1" si="107"/>
        <v>#N/A</v>
      </c>
      <c r="AC392" t="e">
        <f t="shared" ca="1" si="115"/>
        <v>#N/A</v>
      </c>
      <c r="AD392" t="e">
        <f t="shared" ca="1" si="108"/>
        <v>#N/A</v>
      </c>
      <c r="AE392" t="e">
        <f t="shared" ca="1" si="109"/>
        <v>#N/A</v>
      </c>
      <c r="AF392" s="83" t="e">
        <f ca="1"/>
        <v>#N/A</v>
      </c>
      <c r="AG392" s="55" t="e">
        <f t="shared" ca="1" si="119"/>
        <v>#N/A</v>
      </c>
      <c r="AH392" s="55" t="e">
        <f t="shared" ca="1" si="120"/>
        <v>#N/A</v>
      </c>
      <c r="AI392" s="55" t="e">
        <f t="shared" ca="1" si="121"/>
        <v>#N/A</v>
      </c>
      <c r="AJ392" s="55" t="e">
        <f t="shared" ca="1" si="122"/>
        <v>#N/A</v>
      </c>
      <c r="AK392" s="55" t="e">
        <f t="shared" ca="1" si="116"/>
        <v>#N/A</v>
      </c>
      <c r="AL392" s="55" t="e">
        <f t="shared" ca="1" si="117"/>
        <v>#N/A</v>
      </c>
      <c r="AM392" s="55" t="e">
        <f t="shared" ca="1" si="118"/>
        <v>#N/A</v>
      </c>
    </row>
    <row r="393" spans="18:39">
      <c r="R393" s="83" t="e">
        <f ca="1"/>
        <v>#N/A</v>
      </c>
      <c r="S393" s="55" t="e">
        <f t="shared" ca="1" si="110"/>
        <v>#N/A</v>
      </c>
      <c r="T393" s="55" t="e">
        <f t="shared" ca="1" si="104"/>
        <v>#N/A</v>
      </c>
      <c r="U393" s="55" t="e">
        <f t="shared" ca="1" si="105"/>
        <v>#N/A</v>
      </c>
      <c r="V393" s="55" t="e">
        <f t="shared" ca="1" si="106"/>
        <v>#N/A</v>
      </c>
      <c r="W393" s="55" t="e">
        <f t="shared" ca="1" si="111"/>
        <v>#N/A</v>
      </c>
      <c r="X393" s="55" t="e">
        <f t="shared" ca="1" si="112"/>
        <v>#N/A</v>
      </c>
      <c r="Y393" s="55" t="e">
        <f t="shared" ca="1" si="113"/>
        <v>#N/A</v>
      </c>
      <c r="Z393" s="55" t="e">
        <f t="shared" ca="1" si="114"/>
        <v>#N/A</v>
      </c>
      <c r="AB393" t="e">
        <f t="shared" ca="1" si="107"/>
        <v>#N/A</v>
      </c>
      <c r="AC393" t="e">
        <f t="shared" ca="1" si="115"/>
        <v>#N/A</v>
      </c>
      <c r="AD393" t="e">
        <f t="shared" ca="1" si="108"/>
        <v>#N/A</v>
      </c>
      <c r="AE393" t="e">
        <f t="shared" ca="1" si="109"/>
        <v>#N/A</v>
      </c>
      <c r="AF393" s="83" t="e">
        <f ca="1"/>
        <v>#N/A</v>
      </c>
      <c r="AG393" s="55" t="e">
        <f t="shared" ca="1" si="119"/>
        <v>#N/A</v>
      </c>
      <c r="AH393" s="55" t="e">
        <f t="shared" ca="1" si="120"/>
        <v>#N/A</v>
      </c>
      <c r="AI393" s="55" t="e">
        <f t="shared" ca="1" si="121"/>
        <v>#N/A</v>
      </c>
      <c r="AJ393" s="55" t="e">
        <f t="shared" ca="1" si="122"/>
        <v>#N/A</v>
      </c>
      <c r="AK393" s="55" t="e">
        <f t="shared" ca="1" si="116"/>
        <v>#N/A</v>
      </c>
      <c r="AL393" s="55" t="e">
        <f t="shared" ca="1" si="117"/>
        <v>#N/A</v>
      </c>
      <c r="AM393" s="55" t="e">
        <f t="shared" ca="1" si="118"/>
        <v>#N/A</v>
      </c>
    </row>
    <row r="394" spans="18:39">
      <c r="R394" s="83" t="e">
        <f ca="1"/>
        <v>#N/A</v>
      </c>
      <c r="S394" s="55" t="e">
        <f t="shared" ca="1" si="110"/>
        <v>#N/A</v>
      </c>
      <c r="T394" s="55" t="e">
        <f t="shared" ca="1" si="104"/>
        <v>#N/A</v>
      </c>
      <c r="U394" s="55" t="e">
        <f t="shared" ca="1" si="105"/>
        <v>#N/A</v>
      </c>
      <c r="V394" s="55" t="e">
        <f t="shared" ca="1" si="106"/>
        <v>#N/A</v>
      </c>
      <c r="W394" s="55" t="e">
        <f t="shared" ca="1" si="111"/>
        <v>#N/A</v>
      </c>
      <c r="X394" s="55" t="e">
        <f t="shared" ca="1" si="112"/>
        <v>#N/A</v>
      </c>
      <c r="Y394" s="55" t="e">
        <f t="shared" ca="1" si="113"/>
        <v>#N/A</v>
      </c>
      <c r="Z394" s="55" t="e">
        <f t="shared" ca="1" si="114"/>
        <v>#N/A</v>
      </c>
      <c r="AB394" t="e">
        <f t="shared" ca="1" si="107"/>
        <v>#N/A</v>
      </c>
      <c r="AC394" t="e">
        <f t="shared" ca="1" si="115"/>
        <v>#N/A</v>
      </c>
      <c r="AD394" t="e">
        <f t="shared" ca="1" si="108"/>
        <v>#N/A</v>
      </c>
      <c r="AE394" t="e">
        <f t="shared" ca="1" si="109"/>
        <v>#N/A</v>
      </c>
      <c r="AF394" s="83" t="e">
        <f ca="1"/>
        <v>#N/A</v>
      </c>
      <c r="AG394" s="55" t="e">
        <f t="shared" ca="1" si="119"/>
        <v>#N/A</v>
      </c>
      <c r="AH394" s="55" t="e">
        <f t="shared" ca="1" si="120"/>
        <v>#N/A</v>
      </c>
      <c r="AI394" s="55" t="e">
        <f t="shared" ca="1" si="121"/>
        <v>#N/A</v>
      </c>
      <c r="AJ394" s="55" t="e">
        <f t="shared" ca="1" si="122"/>
        <v>#N/A</v>
      </c>
      <c r="AK394" s="55" t="e">
        <f t="shared" ca="1" si="116"/>
        <v>#N/A</v>
      </c>
      <c r="AL394" s="55" t="e">
        <f t="shared" ca="1" si="117"/>
        <v>#N/A</v>
      </c>
      <c r="AM394" s="55" t="e">
        <f t="shared" ca="1" si="118"/>
        <v>#N/A</v>
      </c>
    </row>
    <row r="395" spans="18:39">
      <c r="R395" s="83" t="e">
        <f ca="1"/>
        <v>#N/A</v>
      </c>
      <c r="S395" s="55" t="e">
        <f t="shared" ca="1" si="110"/>
        <v>#N/A</v>
      </c>
      <c r="T395" s="55" t="e">
        <f t="shared" ca="1" si="104"/>
        <v>#N/A</v>
      </c>
      <c r="U395" s="55" t="e">
        <f t="shared" ca="1" si="105"/>
        <v>#N/A</v>
      </c>
      <c r="V395" s="55" t="e">
        <f t="shared" ca="1" si="106"/>
        <v>#N/A</v>
      </c>
      <c r="W395" s="55" t="e">
        <f t="shared" ca="1" si="111"/>
        <v>#N/A</v>
      </c>
      <c r="X395" s="55" t="e">
        <f t="shared" ca="1" si="112"/>
        <v>#N/A</v>
      </c>
      <c r="Y395" s="55" t="e">
        <f t="shared" ca="1" si="113"/>
        <v>#N/A</v>
      </c>
      <c r="Z395" s="55" t="e">
        <f t="shared" ca="1" si="114"/>
        <v>#N/A</v>
      </c>
      <c r="AB395" t="e">
        <f t="shared" ca="1" si="107"/>
        <v>#N/A</v>
      </c>
      <c r="AC395" t="e">
        <f t="shared" ca="1" si="115"/>
        <v>#N/A</v>
      </c>
      <c r="AD395" t="e">
        <f t="shared" ca="1" si="108"/>
        <v>#N/A</v>
      </c>
      <c r="AE395" t="e">
        <f t="shared" ca="1" si="109"/>
        <v>#N/A</v>
      </c>
      <c r="AF395" s="83" t="e">
        <f ca="1"/>
        <v>#N/A</v>
      </c>
      <c r="AG395" s="55" t="e">
        <f t="shared" ca="1" si="119"/>
        <v>#N/A</v>
      </c>
      <c r="AH395" s="55" t="e">
        <f t="shared" ca="1" si="120"/>
        <v>#N/A</v>
      </c>
      <c r="AI395" s="55" t="e">
        <f t="shared" ca="1" si="121"/>
        <v>#N/A</v>
      </c>
      <c r="AJ395" s="55" t="e">
        <f t="shared" ca="1" si="122"/>
        <v>#N/A</v>
      </c>
      <c r="AK395" s="55" t="e">
        <f t="shared" ca="1" si="116"/>
        <v>#N/A</v>
      </c>
      <c r="AL395" s="55" t="e">
        <f t="shared" ca="1" si="117"/>
        <v>#N/A</v>
      </c>
      <c r="AM395" s="55" t="e">
        <f t="shared" ca="1" si="118"/>
        <v>#N/A</v>
      </c>
    </row>
    <row r="396" spans="18:39">
      <c r="R396" s="55" t="e">
        <f ca="1"/>
        <v>#N/A</v>
      </c>
      <c r="S396" s="55" t="e">
        <f t="shared" ref="S396:S459" ca="1" si="123">IF(R396&gt;1,R396,"")</f>
        <v>#N/A</v>
      </c>
      <c r="T396" s="55" t="e">
        <f t="shared" ref="T396:T459" ca="1" si="124">VLOOKUP(S396,ModelOutputs,2,FALSE)</f>
        <v>#N/A</v>
      </c>
      <c r="U396" s="55" t="e">
        <f t="shared" ref="U396:U459" ca="1" si="125">VLOOKUP(S396,ModelOutputs,7,FALSE)</f>
        <v>#N/A</v>
      </c>
      <c r="V396" s="55" t="e">
        <f t="shared" ref="V396:V459" ca="1" si="126">VLOOKUP(S396,ModelOutputs,6,FALSE)</f>
        <v>#N/A</v>
      </c>
      <c r="W396" s="55" t="e">
        <f t="shared" ca="1" si="111"/>
        <v>#N/A</v>
      </c>
      <c r="X396" s="55" t="e">
        <f t="shared" ca="1" si="112"/>
        <v>#N/A</v>
      </c>
      <c r="Y396" s="55" t="e">
        <f t="shared" ca="1" si="113"/>
        <v>#N/A</v>
      </c>
      <c r="Z396" s="55" t="e">
        <f t="shared" ca="1" si="114"/>
        <v>#N/A</v>
      </c>
      <c r="AB396" t="e">
        <f t="shared" ca="1" si="107"/>
        <v>#N/A</v>
      </c>
      <c r="AC396" t="e">
        <f t="shared" ref="AC396:AC459" ca="1" si="127">VLOOKUP(S396,ModelOutputs,11,FALSE)+AC395</f>
        <v>#N/A</v>
      </c>
      <c r="AD396" t="e">
        <f t="shared" ref="AD396:AD459" ca="1" si="128">VLOOKUP(S396,ModelOutputs,12,FALSE)</f>
        <v>#N/A</v>
      </c>
      <c r="AE396" t="e">
        <f t="shared" ref="AE396:AE459" ca="1" si="129">VLOOKUP(S396,ModelOutputs,13,FALSE)</f>
        <v>#N/A</v>
      </c>
      <c r="AF396" s="83" t="e">
        <f ca="1"/>
        <v>#N/A</v>
      </c>
      <c r="AG396" s="55" t="e">
        <f t="shared" ref="AG396:AG459" ca="1" si="130">IF(AF396&gt;1,AF396,"")</f>
        <v>#N/A</v>
      </c>
      <c r="AH396" s="55" t="e">
        <f t="shared" ref="AH396:AH459" ca="1" si="131">VLOOKUP(AG396,ModelOutputs,2,FALSE)</f>
        <v>#N/A</v>
      </c>
      <c r="AI396" s="55" t="e">
        <f t="shared" ref="AI396:AI459" ca="1" si="132">VLOOKUP(AG396,ModelOutputs,7,FALSE)</f>
        <v>#N/A</v>
      </c>
      <c r="AJ396" s="55" t="e">
        <f t="shared" ref="AJ396:AJ459" ca="1" si="133">VLOOKUP(AG396,ModelOutputs,6,FALSE)</f>
        <v>#N/A</v>
      </c>
      <c r="AK396" s="55" t="e">
        <f t="shared" ca="1" si="116"/>
        <v>#N/A</v>
      </c>
      <c r="AL396" s="55" t="e">
        <f t="shared" ca="1" si="117"/>
        <v>#N/A</v>
      </c>
      <c r="AM396" s="55" t="e">
        <f t="shared" ca="1" si="118"/>
        <v>#N/A</v>
      </c>
    </row>
    <row r="397" spans="18:39">
      <c r="R397" s="55" t="e">
        <f ca="1"/>
        <v>#N/A</v>
      </c>
      <c r="S397" s="55" t="e">
        <f t="shared" ca="1" si="123"/>
        <v>#N/A</v>
      </c>
      <c r="T397" s="55" t="e">
        <f t="shared" ca="1" si="124"/>
        <v>#N/A</v>
      </c>
      <c r="U397" s="55" t="e">
        <f t="shared" ca="1" si="125"/>
        <v>#N/A</v>
      </c>
      <c r="V397" s="55" t="e">
        <f t="shared" ca="1" si="126"/>
        <v>#N/A</v>
      </c>
      <c r="W397" s="55" t="e">
        <f t="shared" ca="1" si="111"/>
        <v>#N/A</v>
      </c>
      <c r="X397" s="55" t="e">
        <f t="shared" ca="1" si="112"/>
        <v>#N/A</v>
      </c>
      <c r="Y397" s="55" t="e">
        <f t="shared" ca="1" si="113"/>
        <v>#N/A</v>
      </c>
      <c r="Z397" s="55" t="e">
        <f t="shared" ca="1" si="114"/>
        <v>#N/A</v>
      </c>
      <c r="AB397" t="e">
        <f t="shared" ca="1" si="107"/>
        <v>#N/A</v>
      </c>
      <c r="AC397" t="e">
        <f t="shared" ca="1" si="127"/>
        <v>#N/A</v>
      </c>
      <c r="AD397" t="e">
        <f t="shared" ca="1" si="128"/>
        <v>#N/A</v>
      </c>
      <c r="AE397" t="e">
        <f t="shared" ca="1" si="129"/>
        <v>#N/A</v>
      </c>
      <c r="AF397" s="83" t="e">
        <f ca="1"/>
        <v>#N/A</v>
      </c>
      <c r="AG397" s="55" t="e">
        <f t="shared" ca="1" si="130"/>
        <v>#N/A</v>
      </c>
      <c r="AH397" s="55" t="e">
        <f t="shared" ca="1" si="131"/>
        <v>#N/A</v>
      </c>
      <c r="AI397" s="55" t="e">
        <f t="shared" ca="1" si="132"/>
        <v>#N/A</v>
      </c>
      <c r="AJ397" s="55" t="e">
        <f t="shared" ca="1" si="133"/>
        <v>#N/A</v>
      </c>
      <c r="AK397" s="55" t="e">
        <f t="shared" ca="1" si="116"/>
        <v>#N/A</v>
      </c>
      <c r="AL397" s="55" t="e">
        <f t="shared" ca="1" si="117"/>
        <v>#N/A</v>
      </c>
      <c r="AM397" s="55" t="e">
        <f t="shared" ca="1" si="118"/>
        <v>#N/A</v>
      </c>
    </row>
    <row r="398" spans="18:39">
      <c r="R398" s="55" t="e">
        <f ca="1"/>
        <v>#N/A</v>
      </c>
      <c r="S398" s="55" t="e">
        <f t="shared" ca="1" si="123"/>
        <v>#N/A</v>
      </c>
      <c r="T398" s="55" t="e">
        <f t="shared" ca="1" si="124"/>
        <v>#N/A</v>
      </c>
      <c r="U398" s="55" t="e">
        <f t="shared" ca="1" si="125"/>
        <v>#N/A</v>
      </c>
      <c r="V398" s="55" t="e">
        <f t="shared" ca="1" si="126"/>
        <v>#N/A</v>
      </c>
      <c r="W398" s="55" t="e">
        <f t="shared" ca="1" si="111"/>
        <v>#N/A</v>
      </c>
      <c r="X398" s="55" t="e">
        <f t="shared" ca="1" si="112"/>
        <v>#N/A</v>
      </c>
      <c r="Y398" s="55" t="e">
        <f t="shared" ca="1" si="113"/>
        <v>#N/A</v>
      </c>
      <c r="Z398" s="55" t="e">
        <f t="shared" ca="1" si="114"/>
        <v>#N/A</v>
      </c>
      <c r="AB398" t="e">
        <f t="shared" ca="1" si="107"/>
        <v>#N/A</v>
      </c>
      <c r="AC398" t="e">
        <f t="shared" ca="1" si="127"/>
        <v>#N/A</v>
      </c>
      <c r="AD398" t="e">
        <f t="shared" ca="1" si="128"/>
        <v>#N/A</v>
      </c>
      <c r="AE398" t="e">
        <f t="shared" ca="1" si="129"/>
        <v>#N/A</v>
      </c>
      <c r="AF398" s="83" t="e">
        <f ca="1"/>
        <v>#N/A</v>
      </c>
      <c r="AG398" s="55" t="e">
        <f t="shared" ca="1" si="130"/>
        <v>#N/A</v>
      </c>
      <c r="AH398" s="55" t="e">
        <f t="shared" ca="1" si="131"/>
        <v>#N/A</v>
      </c>
      <c r="AI398" s="55" t="e">
        <f t="shared" ca="1" si="132"/>
        <v>#N/A</v>
      </c>
      <c r="AJ398" s="55" t="e">
        <f t="shared" ca="1" si="133"/>
        <v>#N/A</v>
      </c>
      <c r="AK398" s="55" t="e">
        <f t="shared" ca="1" si="116"/>
        <v>#N/A</v>
      </c>
      <c r="AL398" s="55" t="e">
        <f t="shared" ca="1" si="117"/>
        <v>#N/A</v>
      </c>
      <c r="AM398" s="55" t="e">
        <f t="shared" ca="1" si="118"/>
        <v>#N/A</v>
      </c>
    </row>
    <row r="399" spans="18:39">
      <c r="R399" s="55" t="e">
        <f ca="1"/>
        <v>#N/A</v>
      </c>
      <c r="S399" s="55" t="e">
        <f t="shared" ca="1" si="123"/>
        <v>#N/A</v>
      </c>
      <c r="T399" s="55" t="e">
        <f t="shared" ca="1" si="124"/>
        <v>#N/A</v>
      </c>
      <c r="U399" s="55" t="e">
        <f t="shared" ca="1" si="125"/>
        <v>#N/A</v>
      </c>
      <c r="V399" s="55" t="e">
        <f t="shared" ca="1" si="126"/>
        <v>#N/A</v>
      </c>
      <c r="W399" s="55" t="e">
        <f t="shared" ca="1" si="111"/>
        <v>#N/A</v>
      </c>
      <c r="X399" s="55" t="e">
        <f t="shared" ca="1" si="112"/>
        <v>#N/A</v>
      </c>
      <c r="Y399" s="55" t="e">
        <f t="shared" ca="1" si="113"/>
        <v>#N/A</v>
      </c>
      <c r="Z399" s="55" t="e">
        <f t="shared" ca="1" si="114"/>
        <v>#N/A</v>
      </c>
      <c r="AB399" t="e">
        <f t="shared" ca="1" si="107"/>
        <v>#N/A</v>
      </c>
      <c r="AC399" t="e">
        <f t="shared" ca="1" si="127"/>
        <v>#N/A</v>
      </c>
      <c r="AD399" t="e">
        <f t="shared" ca="1" si="128"/>
        <v>#N/A</v>
      </c>
      <c r="AE399" t="e">
        <f t="shared" ca="1" si="129"/>
        <v>#N/A</v>
      </c>
      <c r="AF399" s="83" t="e">
        <f ca="1"/>
        <v>#N/A</v>
      </c>
      <c r="AG399" s="55" t="e">
        <f t="shared" ca="1" si="130"/>
        <v>#N/A</v>
      </c>
      <c r="AH399" s="55" t="e">
        <f t="shared" ca="1" si="131"/>
        <v>#N/A</v>
      </c>
      <c r="AI399" s="55" t="e">
        <f t="shared" ca="1" si="132"/>
        <v>#N/A</v>
      </c>
      <c r="AJ399" s="55" t="e">
        <f t="shared" ca="1" si="133"/>
        <v>#N/A</v>
      </c>
      <c r="AK399" s="55" t="e">
        <f t="shared" ca="1" si="116"/>
        <v>#N/A</v>
      </c>
      <c r="AL399" s="55" t="e">
        <f t="shared" ca="1" si="117"/>
        <v>#N/A</v>
      </c>
      <c r="AM399" s="55" t="e">
        <f t="shared" ca="1" si="118"/>
        <v>#N/A</v>
      </c>
    </row>
    <row r="400" spans="18:39">
      <c r="R400" s="55" t="e">
        <f ca="1"/>
        <v>#N/A</v>
      </c>
      <c r="S400" s="55" t="e">
        <f t="shared" ca="1" si="123"/>
        <v>#N/A</v>
      </c>
      <c r="T400" s="55" t="e">
        <f t="shared" ca="1" si="124"/>
        <v>#N/A</v>
      </c>
      <c r="U400" s="55" t="e">
        <f t="shared" ca="1" si="125"/>
        <v>#N/A</v>
      </c>
      <c r="V400" s="55" t="e">
        <f t="shared" ca="1" si="126"/>
        <v>#N/A</v>
      </c>
      <c r="W400" s="55" t="e">
        <f t="shared" ca="1" si="111"/>
        <v>#N/A</v>
      </c>
      <c r="X400" s="55" t="e">
        <f t="shared" ca="1" si="112"/>
        <v>#N/A</v>
      </c>
      <c r="Y400" s="55" t="e">
        <f t="shared" ca="1" si="113"/>
        <v>#N/A</v>
      </c>
      <c r="Z400" s="55" t="e">
        <f t="shared" ca="1" si="114"/>
        <v>#N/A</v>
      </c>
      <c r="AB400" t="e">
        <f t="shared" ca="1" si="107"/>
        <v>#N/A</v>
      </c>
      <c r="AC400" t="e">
        <f t="shared" ca="1" si="127"/>
        <v>#N/A</v>
      </c>
      <c r="AD400" t="e">
        <f t="shared" ca="1" si="128"/>
        <v>#N/A</v>
      </c>
      <c r="AE400" t="e">
        <f t="shared" ca="1" si="129"/>
        <v>#N/A</v>
      </c>
      <c r="AF400" s="83" t="e">
        <f ca="1"/>
        <v>#N/A</v>
      </c>
      <c r="AG400" s="55" t="e">
        <f t="shared" ca="1" si="130"/>
        <v>#N/A</v>
      </c>
      <c r="AH400" s="55" t="e">
        <f t="shared" ca="1" si="131"/>
        <v>#N/A</v>
      </c>
      <c r="AI400" s="55" t="e">
        <f t="shared" ca="1" si="132"/>
        <v>#N/A</v>
      </c>
      <c r="AJ400" s="55" t="e">
        <f t="shared" ca="1" si="133"/>
        <v>#N/A</v>
      </c>
      <c r="AK400" s="55" t="e">
        <f t="shared" ca="1" si="116"/>
        <v>#N/A</v>
      </c>
      <c r="AL400" s="55" t="e">
        <f t="shared" ca="1" si="117"/>
        <v>#N/A</v>
      </c>
      <c r="AM400" s="55" t="e">
        <f t="shared" ca="1" si="118"/>
        <v>#N/A</v>
      </c>
    </row>
    <row r="401" spans="18:39">
      <c r="R401" s="55" t="e">
        <f ca="1"/>
        <v>#N/A</v>
      </c>
      <c r="S401" s="55" t="e">
        <f t="shared" ca="1" si="123"/>
        <v>#N/A</v>
      </c>
      <c r="T401" s="55" t="e">
        <f t="shared" ca="1" si="124"/>
        <v>#N/A</v>
      </c>
      <c r="U401" s="55" t="e">
        <f t="shared" ca="1" si="125"/>
        <v>#N/A</v>
      </c>
      <c r="V401" s="55" t="e">
        <f t="shared" ca="1" si="126"/>
        <v>#N/A</v>
      </c>
      <c r="W401" s="55" t="e">
        <f t="shared" ca="1" si="111"/>
        <v>#N/A</v>
      </c>
      <c r="X401" s="55" t="e">
        <f t="shared" ca="1" si="112"/>
        <v>#N/A</v>
      </c>
      <c r="Y401" s="55" t="e">
        <f t="shared" ca="1" si="113"/>
        <v>#N/A</v>
      </c>
      <c r="Z401" s="55" t="e">
        <f t="shared" ca="1" si="114"/>
        <v>#N/A</v>
      </c>
      <c r="AB401" t="e">
        <f t="shared" ca="1" si="107"/>
        <v>#N/A</v>
      </c>
      <c r="AC401" t="e">
        <f t="shared" ca="1" si="127"/>
        <v>#N/A</v>
      </c>
      <c r="AD401" t="e">
        <f t="shared" ca="1" si="128"/>
        <v>#N/A</v>
      </c>
      <c r="AE401" t="e">
        <f t="shared" ca="1" si="129"/>
        <v>#N/A</v>
      </c>
      <c r="AF401" s="83" t="e">
        <f ca="1"/>
        <v>#N/A</v>
      </c>
      <c r="AG401" s="55" t="e">
        <f t="shared" ca="1" si="130"/>
        <v>#N/A</v>
      </c>
      <c r="AH401" s="55" t="e">
        <f t="shared" ca="1" si="131"/>
        <v>#N/A</v>
      </c>
      <c r="AI401" s="55" t="e">
        <f t="shared" ca="1" si="132"/>
        <v>#N/A</v>
      </c>
      <c r="AJ401" s="55" t="e">
        <f t="shared" ca="1" si="133"/>
        <v>#N/A</v>
      </c>
      <c r="AK401" s="55" t="e">
        <f t="shared" ca="1" si="116"/>
        <v>#N/A</v>
      </c>
      <c r="AL401" s="55" t="e">
        <f t="shared" ca="1" si="117"/>
        <v>#N/A</v>
      </c>
      <c r="AM401" s="55" t="e">
        <f t="shared" ca="1" si="118"/>
        <v>#N/A</v>
      </c>
    </row>
    <row r="402" spans="18:39">
      <c r="R402" s="55" t="e">
        <f ca="1"/>
        <v>#N/A</v>
      </c>
      <c r="S402" s="55" t="e">
        <f t="shared" ca="1" si="123"/>
        <v>#N/A</v>
      </c>
      <c r="T402" s="55" t="e">
        <f t="shared" ca="1" si="124"/>
        <v>#N/A</v>
      </c>
      <c r="U402" s="55" t="e">
        <f t="shared" ca="1" si="125"/>
        <v>#N/A</v>
      </c>
      <c r="V402" s="55" t="e">
        <f t="shared" ca="1" si="126"/>
        <v>#N/A</v>
      </c>
      <c r="W402" s="55" t="e">
        <f t="shared" ca="1" si="111"/>
        <v>#N/A</v>
      </c>
      <c r="X402" s="55" t="e">
        <f t="shared" ca="1" si="112"/>
        <v>#N/A</v>
      </c>
      <c r="Y402" s="55" t="e">
        <f t="shared" ca="1" si="113"/>
        <v>#N/A</v>
      </c>
      <c r="Z402" s="55" t="e">
        <f t="shared" ca="1" si="114"/>
        <v>#N/A</v>
      </c>
      <c r="AB402" t="e">
        <f t="shared" ref="AB402:AB465" ca="1" si="134">VLOOKUP(S402,ModelOutputs,10,FALSE)*AWC</f>
        <v>#N/A</v>
      </c>
      <c r="AC402" t="e">
        <f t="shared" ca="1" si="127"/>
        <v>#N/A</v>
      </c>
      <c r="AD402" t="e">
        <f t="shared" ca="1" si="128"/>
        <v>#N/A</v>
      </c>
      <c r="AE402" t="e">
        <f t="shared" ca="1" si="129"/>
        <v>#N/A</v>
      </c>
      <c r="AF402" s="83" t="e">
        <f ca="1"/>
        <v>#N/A</v>
      </c>
      <c r="AG402" s="55" t="e">
        <f t="shared" ca="1" si="130"/>
        <v>#N/A</v>
      </c>
      <c r="AH402" s="55" t="e">
        <f t="shared" ca="1" si="131"/>
        <v>#N/A</v>
      </c>
      <c r="AI402" s="55" t="e">
        <f t="shared" ca="1" si="132"/>
        <v>#N/A</v>
      </c>
      <c r="AJ402" s="55" t="e">
        <f t="shared" ca="1" si="133"/>
        <v>#N/A</v>
      </c>
      <c r="AK402" s="55" t="e">
        <f t="shared" ca="1" si="116"/>
        <v>#N/A</v>
      </c>
      <c r="AL402" s="55" t="e">
        <f t="shared" ca="1" si="117"/>
        <v>#N/A</v>
      </c>
      <c r="AM402" s="55" t="e">
        <f t="shared" ca="1" si="118"/>
        <v>#N/A</v>
      </c>
    </row>
    <row r="403" spans="18:39">
      <c r="R403" s="55" t="e">
        <f ca="1"/>
        <v>#N/A</v>
      </c>
      <c r="S403" s="55" t="e">
        <f t="shared" ca="1" si="123"/>
        <v>#N/A</v>
      </c>
      <c r="T403" s="55" t="e">
        <f t="shared" ca="1" si="124"/>
        <v>#N/A</v>
      </c>
      <c r="U403" s="55" t="e">
        <f t="shared" ca="1" si="125"/>
        <v>#N/A</v>
      </c>
      <c r="V403" s="55" t="e">
        <f t="shared" ca="1" si="126"/>
        <v>#N/A</v>
      </c>
      <c r="W403" s="55" t="e">
        <f t="shared" ref="W403:W466" ca="1" si="135">-VLOOKUP(S403,ModelOutputs,9,FALSE)+W402</f>
        <v>#N/A</v>
      </c>
      <c r="X403" s="55" t="e">
        <f t="shared" ref="X403:X466" ca="1" si="136">VLOOKUP(S403,ModelOutputs,5,FALSE)+X402</f>
        <v>#N/A</v>
      </c>
      <c r="Y403" s="55" t="e">
        <f t="shared" ref="Y403:Y466" ca="1" si="137">VLOOKUP(S403,ModelOutputs,4,FALSE)+Y402</f>
        <v>#N/A</v>
      </c>
      <c r="Z403" s="55" t="e">
        <f t="shared" ref="Z403:Z466" ca="1" si="138">VLOOKUP(S403,ModelOutputs,3,FALSE)*10</f>
        <v>#N/A</v>
      </c>
      <c r="AB403" t="e">
        <f t="shared" ca="1" si="134"/>
        <v>#N/A</v>
      </c>
      <c r="AC403" t="e">
        <f t="shared" ca="1" si="127"/>
        <v>#N/A</v>
      </c>
      <c r="AD403" t="e">
        <f t="shared" ca="1" si="128"/>
        <v>#N/A</v>
      </c>
      <c r="AE403" t="e">
        <f t="shared" ca="1" si="129"/>
        <v>#N/A</v>
      </c>
      <c r="AF403" s="83" t="e">
        <f ca="1"/>
        <v>#N/A</v>
      </c>
      <c r="AG403" s="55" t="e">
        <f t="shared" ca="1" si="130"/>
        <v>#N/A</v>
      </c>
      <c r="AH403" s="55" t="e">
        <f t="shared" ca="1" si="131"/>
        <v>#N/A</v>
      </c>
      <c r="AI403" s="55" t="e">
        <f t="shared" ca="1" si="132"/>
        <v>#N/A</v>
      </c>
      <c r="AJ403" s="55" t="e">
        <f t="shared" ca="1" si="133"/>
        <v>#N/A</v>
      </c>
      <c r="AK403" s="55" t="e">
        <f t="shared" ref="AK403:AK466" ca="1" si="139">-VLOOKUP(AG403,ModelOutputs,9,FALSE)+AK402</f>
        <v>#N/A</v>
      </c>
      <c r="AL403" s="55" t="e">
        <f t="shared" ref="AL403:AL466" ca="1" si="140">VLOOKUP(AG403,ModelOutputs,5,FALSE)+AL402</f>
        <v>#N/A</v>
      </c>
      <c r="AM403" s="55" t="e">
        <f t="shared" ref="AM403:AM466" ca="1" si="141">VLOOKUP(AG403,ModelOutputs,4,FALSE)+AM402</f>
        <v>#N/A</v>
      </c>
    </row>
    <row r="404" spans="18:39">
      <c r="R404" s="55" t="e">
        <f ca="1"/>
        <v>#N/A</v>
      </c>
      <c r="S404" s="55" t="e">
        <f t="shared" ca="1" si="123"/>
        <v>#N/A</v>
      </c>
      <c r="T404" s="55" t="e">
        <f t="shared" ca="1" si="124"/>
        <v>#N/A</v>
      </c>
      <c r="U404" s="55" t="e">
        <f t="shared" ca="1" si="125"/>
        <v>#N/A</v>
      </c>
      <c r="V404" s="55" t="e">
        <f t="shared" ca="1" si="126"/>
        <v>#N/A</v>
      </c>
      <c r="W404" s="55" t="e">
        <f t="shared" ca="1" si="135"/>
        <v>#N/A</v>
      </c>
      <c r="X404" s="55" t="e">
        <f t="shared" ca="1" si="136"/>
        <v>#N/A</v>
      </c>
      <c r="Y404" s="55" t="e">
        <f t="shared" ca="1" si="137"/>
        <v>#N/A</v>
      </c>
      <c r="Z404" s="55" t="e">
        <f t="shared" ca="1" si="138"/>
        <v>#N/A</v>
      </c>
      <c r="AB404" t="e">
        <f t="shared" ca="1" si="134"/>
        <v>#N/A</v>
      </c>
      <c r="AC404" t="e">
        <f t="shared" ca="1" si="127"/>
        <v>#N/A</v>
      </c>
      <c r="AD404" t="e">
        <f t="shared" ca="1" si="128"/>
        <v>#N/A</v>
      </c>
      <c r="AE404" t="e">
        <f t="shared" ca="1" si="129"/>
        <v>#N/A</v>
      </c>
      <c r="AF404" s="83" t="e">
        <f ca="1"/>
        <v>#N/A</v>
      </c>
      <c r="AG404" s="55" t="e">
        <f t="shared" ca="1" si="130"/>
        <v>#N/A</v>
      </c>
      <c r="AH404" s="55" t="e">
        <f t="shared" ca="1" si="131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9"/>
        <v>#N/A</v>
      </c>
      <c r="AL404" s="55" t="e">
        <f t="shared" ca="1" si="140"/>
        <v>#N/A</v>
      </c>
      <c r="AM404" s="55" t="e">
        <f t="shared" ca="1" si="141"/>
        <v>#N/A</v>
      </c>
    </row>
    <row r="405" spans="18:39">
      <c r="R405" s="55" t="e">
        <f ca="1"/>
        <v>#N/A</v>
      </c>
      <c r="S405" s="55" t="e">
        <f t="shared" ca="1" si="123"/>
        <v>#N/A</v>
      </c>
      <c r="T405" s="55" t="e">
        <f t="shared" ca="1" si="124"/>
        <v>#N/A</v>
      </c>
      <c r="U405" s="55" t="e">
        <f t="shared" ca="1" si="125"/>
        <v>#N/A</v>
      </c>
      <c r="V405" s="55" t="e">
        <f t="shared" ca="1" si="126"/>
        <v>#N/A</v>
      </c>
      <c r="W405" s="55" t="e">
        <f t="shared" ca="1" si="135"/>
        <v>#N/A</v>
      </c>
      <c r="X405" s="55" t="e">
        <f t="shared" ca="1" si="136"/>
        <v>#N/A</v>
      </c>
      <c r="Y405" s="55" t="e">
        <f t="shared" ca="1" si="137"/>
        <v>#N/A</v>
      </c>
      <c r="Z405" s="55" t="e">
        <f t="shared" ca="1" si="138"/>
        <v>#N/A</v>
      </c>
      <c r="AB405" t="e">
        <f t="shared" ca="1" si="134"/>
        <v>#N/A</v>
      </c>
      <c r="AC405" t="e">
        <f t="shared" ca="1" si="127"/>
        <v>#N/A</v>
      </c>
      <c r="AD405" t="e">
        <f t="shared" ca="1" si="128"/>
        <v>#N/A</v>
      </c>
      <c r="AE405" t="e">
        <f t="shared" ca="1" si="129"/>
        <v>#N/A</v>
      </c>
      <c r="AF405" s="83" t="e">
        <f ca="1"/>
        <v>#N/A</v>
      </c>
      <c r="AG405" s="55" t="e">
        <f t="shared" ca="1" si="130"/>
        <v>#N/A</v>
      </c>
      <c r="AH405" s="55" t="e">
        <f t="shared" ca="1" si="131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9"/>
        <v>#N/A</v>
      </c>
      <c r="AL405" s="55" t="e">
        <f t="shared" ca="1" si="140"/>
        <v>#N/A</v>
      </c>
      <c r="AM405" s="55" t="e">
        <f t="shared" ca="1" si="141"/>
        <v>#N/A</v>
      </c>
    </row>
    <row r="406" spans="18:39">
      <c r="R406" s="55" t="e">
        <f ca="1"/>
        <v>#N/A</v>
      </c>
      <c r="S406" s="55" t="e">
        <f t="shared" ca="1" si="123"/>
        <v>#N/A</v>
      </c>
      <c r="T406" s="55" t="e">
        <f t="shared" ca="1" si="124"/>
        <v>#N/A</v>
      </c>
      <c r="U406" s="55" t="e">
        <f t="shared" ca="1" si="125"/>
        <v>#N/A</v>
      </c>
      <c r="V406" s="55" t="e">
        <f t="shared" ca="1" si="126"/>
        <v>#N/A</v>
      </c>
      <c r="W406" s="55" t="e">
        <f t="shared" ca="1" si="135"/>
        <v>#N/A</v>
      </c>
      <c r="X406" s="55" t="e">
        <f t="shared" ca="1" si="136"/>
        <v>#N/A</v>
      </c>
      <c r="Y406" s="55" t="e">
        <f t="shared" ca="1" si="137"/>
        <v>#N/A</v>
      </c>
      <c r="Z406" s="55" t="e">
        <f t="shared" ca="1" si="138"/>
        <v>#N/A</v>
      </c>
      <c r="AB406" t="e">
        <f t="shared" ca="1" si="134"/>
        <v>#N/A</v>
      </c>
      <c r="AC406" t="e">
        <f t="shared" ca="1" si="127"/>
        <v>#N/A</v>
      </c>
      <c r="AD406" t="e">
        <f t="shared" ca="1" si="128"/>
        <v>#N/A</v>
      </c>
      <c r="AE406" t="e">
        <f t="shared" ca="1" si="129"/>
        <v>#N/A</v>
      </c>
      <c r="AF406" s="83" t="e">
        <f ca="1"/>
        <v>#N/A</v>
      </c>
      <c r="AG406" s="55" t="e">
        <f t="shared" ca="1" si="130"/>
        <v>#N/A</v>
      </c>
      <c r="AH406" s="55" t="e">
        <f t="shared" ca="1" si="131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9"/>
        <v>#N/A</v>
      </c>
      <c r="AL406" s="55" t="e">
        <f t="shared" ca="1" si="140"/>
        <v>#N/A</v>
      </c>
      <c r="AM406" s="55" t="e">
        <f t="shared" ca="1" si="141"/>
        <v>#N/A</v>
      </c>
    </row>
    <row r="407" spans="18:39">
      <c r="R407" s="55" t="e">
        <f ca="1"/>
        <v>#N/A</v>
      </c>
      <c r="S407" s="55" t="e">
        <f t="shared" ca="1" si="123"/>
        <v>#N/A</v>
      </c>
      <c r="T407" s="55" t="e">
        <f t="shared" ca="1" si="124"/>
        <v>#N/A</v>
      </c>
      <c r="U407" s="55" t="e">
        <f t="shared" ca="1" si="125"/>
        <v>#N/A</v>
      </c>
      <c r="V407" s="55" t="e">
        <f t="shared" ca="1" si="126"/>
        <v>#N/A</v>
      </c>
      <c r="W407" s="55" t="e">
        <f t="shared" ca="1" si="135"/>
        <v>#N/A</v>
      </c>
      <c r="X407" s="55" t="e">
        <f t="shared" ca="1" si="136"/>
        <v>#N/A</v>
      </c>
      <c r="Y407" s="55" t="e">
        <f t="shared" ca="1" si="137"/>
        <v>#N/A</v>
      </c>
      <c r="Z407" s="55" t="e">
        <f t="shared" ca="1" si="138"/>
        <v>#N/A</v>
      </c>
      <c r="AB407" t="e">
        <f t="shared" ca="1" si="134"/>
        <v>#N/A</v>
      </c>
      <c r="AC407" t="e">
        <f t="shared" ca="1" si="127"/>
        <v>#N/A</v>
      </c>
      <c r="AD407" t="e">
        <f t="shared" ca="1" si="128"/>
        <v>#N/A</v>
      </c>
      <c r="AE407" t="e">
        <f t="shared" ca="1" si="129"/>
        <v>#N/A</v>
      </c>
      <c r="AF407" s="83" t="e">
        <f ca="1"/>
        <v>#N/A</v>
      </c>
      <c r="AG407" s="55" t="e">
        <f t="shared" ca="1" si="130"/>
        <v>#N/A</v>
      </c>
      <c r="AH407" s="55" t="e">
        <f t="shared" ca="1" si="131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9"/>
        <v>#N/A</v>
      </c>
      <c r="AL407" s="55" t="e">
        <f t="shared" ca="1" si="140"/>
        <v>#N/A</v>
      </c>
      <c r="AM407" s="55" t="e">
        <f t="shared" ca="1" si="141"/>
        <v>#N/A</v>
      </c>
    </row>
    <row r="408" spans="18:39">
      <c r="R408" s="55" t="e">
        <f ca="1"/>
        <v>#N/A</v>
      </c>
      <c r="S408" s="55" t="e">
        <f t="shared" ca="1" si="123"/>
        <v>#N/A</v>
      </c>
      <c r="T408" s="55" t="e">
        <f t="shared" ca="1" si="124"/>
        <v>#N/A</v>
      </c>
      <c r="U408" s="55" t="e">
        <f t="shared" ca="1" si="125"/>
        <v>#N/A</v>
      </c>
      <c r="V408" s="55" t="e">
        <f t="shared" ca="1" si="126"/>
        <v>#N/A</v>
      </c>
      <c r="W408" s="55" t="e">
        <f t="shared" ca="1" si="135"/>
        <v>#N/A</v>
      </c>
      <c r="X408" s="55" t="e">
        <f t="shared" ca="1" si="136"/>
        <v>#N/A</v>
      </c>
      <c r="Y408" s="55" t="e">
        <f t="shared" ca="1" si="137"/>
        <v>#N/A</v>
      </c>
      <c r="Z408" s="55" t="e">
        <f t="shared" ca="1" si="138"/>
        <v>#N/A</v>
      </c>
      <c r="AB408" t="e">
        <f t="shared" ca="1" si="134"/>
        <v>#N/A</v>
      </c>
      <c r="AC408" t="e">
        <f t="shared" ca="1" si="127"/>
        <v>#N/A</v>
      </c>
      <c r="AD408" t="e">
        <f t="shared" ca="1" si="128"/>
        <v>#N/A</v>
      </c>
      <c r="AE408" t="e">
        <f t="shared" ca="1" si="129"/>
        <v>#N/A</v>
      </c>
      <c r="AF408" s="83" t="e">
        <f ca="1"/>
        <v>#N/A</v>
      </c>
      <c r="AG408" s="55" t="e">
        <f t="shared" ca="1" si="130"/>
        <v>#N/A</v>
      </c>
      <c r="AH408" s="55" t="e">
        <f t="shared" ca="1" si="131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9"/>
        <v>#N/A</v>
      </c>
      <c r="AL408" s="55" t="e">
        <f t="shared" ca="1" si="140"/>
        <v>#N/A</v>
      </c>
      <c r="AM408" s="55" t="e">
        <f t="shared" ca="1" si="141"/>
        <v>#N/A</v>
      </c>
    </row>
    <row r="409" spans="18:39">
      <c r="R409" s="55" t="e">
        <f ca="1"/>
        <v>#N/A</v>
      </c>
      <c r="S409" s="55" t="e">
        <f t="shared" ca="1" si="123"/>
        <v>#N/A</v>
      </c>
      <c r="T409" s="55" t="e">
        <f t="shared" ca="1" si="124"/>
        <v>#N/A</v>
      </c>
      <c r="U409" s="55" t="e">
        <f t="shared" ca="1" si="125"/>
        <v>#N/A</v>
      </c>
      <c r="V409" s="55" t="e">
        <f t="shared" ca="1" si="126"/>
        <v>#N/A</v>
      </c>
      <c r="W409" s="55" t="e">
        <f t="shared" ca="1" si="135"/>
        <v>#N/A</v>
      </c>
      <c r="X409" s="55" t="e">
        <f t="shared" ca="1" si="136"/>
        <v>#N/A</v>
      </c>
      <c r="Y409" s="55" t="e">
        <f t="shared" ca="1" si="137"/>
        <v>#N/A</v>
      </c>
      <c r="Z409" s="55" t="e">
        <f t="shared" ca="1" si="138"/>
        <v>#N/A</v>
      </c>
      <c r="AB409" t="e">
        <f t="shared" ca="1" si="134"/>
        <v>#N/A</v>
      </c>
      <c r="AC409" t="e">
        <f t="shared" ca="1" si="127"/>
        <v>#N/A</v>
      </c>
      <c r="AD409" t="e">
        <f t="shared" ca="1" si="128"/>
        <v>#N/A</v>
      </c>
      <c r="AE409" t="e">
        <f t="shared" ca="1" si="129"/>
        <v>#N/A</v>
      </c>
      <c r="AF409" s="83" t="e">
        <f ca="1"/>
        <v>#N/A</v>
      </c>
      <c r="AG409" s="55" t="e">
        <f t="shared" ca="1" si="130"/>
        <v>#N/A</v>
      </c>
      <c r="AH409" s="55" t="e">
        <f t="shared" ca="1" si="131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9"/>
        <v>#N/A</v>
      </c>
      <c r="AL409" s="55" t="e">
        <f t="shared" ca="1" si="140"/>
        <v>#N/A</v>
      </c>
      <c r="AM409" s="55" t="e">
        <f t="shared" ca="1" si="141"/>
        <v>#N/A</v>
      </c>
    </row>
    <row r="410" spans="18:39">
      <c r="R410" s="55" t="e">
        <f ca="1"/>
        <v>#N/A</v>
      </c>
      <c r="S410" s="55" t="e">
        <f t="shared" ca="1" si="123"/>
        <v>#N/A</v>
      </c>
      <c r="T410" s="55" t="e">
        <f t="shared" ca="1" si="124"/>
        <v>#N/A</v>
      </c>
      <c r="U410" s="55" t="e">
        <f t="shared" ca="1" si="125"/>
        <v>#N/A</v>
      </c>
      <c r="V410" s="55" t="e">
        <f t="shared" ca="1" si="126"/>
        <v>#N/A</v>
      </c>
      <c r="W410" s="55" t="e">
        <f t="shared" ca="1" si="135"/>
        <v>#N/A</v>
      </c>
      <c r="X410" s="55" t="e">
        <f t="shared" ca="1" si="136"/>
        <v>#N/A</v>
      </c>
      <c r="Y410" s="55" t="e">
        <f t="shared" ca="1" si="137"/>
        <v>#N/A</v>
      </c>
      <c r="Z410" s="55" t="e">
        <f t="shared" ca="1" si="138"/>
        <v>#N/A</v>
      </c>
      <c r="AB410" t="e">
        <f t="shared" ca="1" si="134"/>
        <v>#N/A</v>
      </c>
      <c r="AC410" t="e">
        <f t="shared" ca="1" si="127"/>
        <v>#N/A</v>
      </c>
      <c r="AD410" t="e">
        <f t="shared" ca="1" si="128"/>
        <v>#N/A</v>
      </c>
      <c r="AE410" t="e">
        <f t="shared" ca="1" si="129"/>
        <v>#N/A</v>
      </c>
      <c r="AF410" s="83" t="e">
        <f ca="1"/>
        <v>#N/A</v>
      </c>
      <c r="AG410" s="55" t="e">
        <f t="shared" ca="1" si="130"/>
        <v>#N/A</v>
      </c>
      <c r="AH410" s="55" t="e">
        <f t="shared" ca="1" si="131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9"/>
        <v>#N/A</v>
      </c>
      <c r="AL410" s="55" t="e">
        <f t="shared" ca="1" si="140"/>
        <v>#N/A</v>
      </c>
      <c r="AM410" s="55" t="e">
        <f t="shared" ca="1" si="141"/>
        <v>#N/A</v>
      </c>
    </row>
    <row r="411" spans="18:39">
      <c r="R411" s="55" t="e">
        <f ca="1"/>
        <v>#N/A</v>
      </c>
      <c r="S411" s="55" t="e">
        <f t="shared" ca="1" si="123"/>
        <v>#N/A</v>
      </c>
      <c r="T411" s="55" t="e">
        <f t="shared" ca="1" si="124"/>
        <v>#N/A</v>
      </c>
      <c r="U411" s="55" t="e">
        <f t="shared" ca="1" si="125"/>
        <v>#N/A</v>
      </c>
      <c r="V411" s="55" t="e">
        <f t="shared" ca="1" si="126"/>
        <v>#N/A</v>
      </c>
      <c r="W411" s="55" t="e">
        <f t="shared" ca="1" si="135"/>
        <v>#N/A</v>
      </c>
      <c r="X411" s="55" t="e">
        <f t="shared" ca="1" si="136"/>
        <v>#N/A</v>
      </c>
      <c r="Y411" s="55" t="e">
        <f t="shared" ca="1" si="137"/>
        <v>#N/A</v>
      </c>
      <c r="Z411" s="55" t="e">
        <f t="shared" ca="1" si="138"/>
        <v>#N/A</v>
      </c>
      <c r="AB411" t="e">
        <f t="shared" ca="1" si="134"/>
        <v>#N/A</v>
      </c>
      <c r="AC411" t="e">
        <f t="shared" ca="1" si="127"/>
        <v>#N/A</v>
      </c>
      <c r="AD411" t="e">
        <f t="shared" ca="1" si="128"/>
        <v>#N/A</v>
      </c>
      <c r="AE411" t="e">
        <f t="shared" ca="1" si="129"/>
        <v>#N/A</v>
      </c>
      <c r="AF411" s="83" t="e">
        <f ca="1"/>
        <v>#N/A</v>
      </c>
      <c r="AG411" s="55" t="e">
        <f t="shared" ca="1" si="130"/>
        <v>#N/A</v>
      </c>
      <c r="AH411" s="55" t="e">
        <f t="shared" ca="1" si="131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9"/>
        <v>#N/A</v>
      </c>
      <c r="AL411" s="55" t="e">
        <f t="shared" ca="1" si="140"/>
        <v>#N/A</v>
      </c>
      <c r="AM411" s="55" t="e">
        <f t="shared" ca="1" si="141"/>
        <v>#N/A</v>
      </c>
    </row>
    <row r="412" spans="18:39">
      <c r="R412" s="55" t="e">
        <f ca="1"/>
        <v>#N/A</v>
      </c>
      <c r="S412" s="55" t="e">
        <f t="shared" ca="1" si="123"/>
        <v>#N/A</v>
      </c>
      <c r="T412" s="55" t="e">
        <f t="shared" ca="1" si="124"/>
        <v>#N/A</v>
      </c>
      <c r="U412" s="55" t="e">
        <f t="shared" ca="1" si="125"/>
        <v>#N/A</v>
      </c>
      <c r="V412" s="55" t="e">
        <f t="shared" ca="1" si="126"/>
        <v>#N/A</v>
      </c>
      <c r="W412" s="55" t="e">
        <f t="shared" ca="1" si="135"/>
        <v>#N/A</v>
      </c>
      <c r="X412" s="55" t="e">
        <f t="shared" ca="1" si="136"/>
        <v>#N/A</v>
      </c>
      <c r="Y412" s="55" t="e">
        <f t="shared" ca="1" si="137"/>
        <v>#N/A</v>
      </c>
      <c r="Z412" s="55" t="e">
        <f t="shared" ca="1" si="138"/>
        <v>#N/A</v>
      </c>
      <c r="AB412" t="e">
        <f t="shared" ca="1" si="134"/>
        <v>#N/A</v>
      </c>
      <c r="AC412" t="e">
        <f t="shared" ca="1" si="127"/>
        <v>#N/A</v>
      </c>
      <c r="AD412" t="e">
        <f t="shared" ca="1" si="128"/>
        <v>#N/A</v>
      </c>
      <c r="AE412" t="e">
        <f t="shared" ca="1" si="129"/>
        <v>#N/A</v>
      </c>
      <c r="AF412" s="83" t="e">
        <f ca="1"/>
        <v>#N/A</v>
      </c>
      <c r="AG412" s="55" t="e">
        <f t="shared" ca="1" si="130"/>
        <v>#N/A</v>
      </c>
      <c r="AH412" s="55" t="e">
        <f t="shared" ca="1" si="131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9"/>
        <v>#N/A</v>
      </c>
      <c r="AL412" s="55" t="e">
        <f t="shared" ca="1" si="140"/>
        <v>#N/A</v>
      </c>
      <c r="AM412" s="55" t="e">
        <f t="shared" ca="1" si="141"/>
        <v>#N/A</v>
      </c>
    </row>
    <row r="413" spans="18:39">
      <c r="R413" s="55" t="e">
        <f ca="1"/>
        <v>#N/A</v>
      </c>
      <c r="S413" s="55" t="e">
        <f t="shared" ca="1" si="123"/>
        <v>#N/A</v>
      </c>
      <c r="T413" s="55" t="e">
        <f t="shared" ca="1" si="124"/>
        <v>#N/A</v>
      </c>
      <c r="U413" s="55" t="e">
        <f t="shared" ca="1" si="125"/>
        <v>#N/A</v>
      </c>
      <c r="V413" s="55" t="e">
        <f t="shared" ca="1" si="126"/>
        <v>#N/A</v>
      </c>
      <c r="W413" s="55" t="e">
        <f t="shared" ca="1" si="135"/>
        <v>#N/A</v>
      </c>
      <c r="X413" s="55" t="e">
        <f t="shared" ca="1" si="136"/>
        <v>#N/A</v>
      </c>
      <c r="Y413" s="55" t="e">
        <f t="shared" ca="1" si="137"/>
        <v>#N/A</v>
      </c>
      <c r="Z413" s="55" t="e">
        <f t="shared" ca="1" si="138"/>
        <v>#N/A</v>
      </c>
      <c r="AB413" t="e">
        <f t="shared" ca="1" si="134"/>
        <v>#N/A</v>
      </c>
      <c r="AC413" t="e">
        <f t="shared" ca="1" si="127"/>
        <v>#N/A</v>
      </c>
      <c r="AD413" t="e">
        <f t="shared" ca="1" si="128"/>
        <v>#N/A</v>
      </c>
      <c r="AE413" t="e">
        <f t="shared" ca="1" si="129"/>
        <v>#N/A</v>
      </c>
      <c r="AF413" s="83" t="e">
        <f ca="1"/>
        <v>#N/A</v>
      </c>
      <c r="AG413" s="55" t="e">
        <f t="shared" ca="1" si="130"/>
        <v>#N/A</v>
      </c>
      <c r="AH413" s="55" t="e">
        <f t="shared" ca="1" si="131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9"/>
        <v>#N/A</v>
      </c>
      <c r="AL413" s="55" t="e">
        <f t="shared" ca="1" si="140"/>
        <v>#N/A</v>
      </c>
      <c r="AM413" s="55" t="e">
        <f t="shared" ca="1" si="141"/>
        <v>#N/A</v>
      </c>
    </row>
    <row r="414" spans="18:39">
      <c r="R414" s="55" t="e">
        <f ca="1"/>
        <v>#N/A</v>
      </c>
      <c r="S414" s="55" t="e">
        <f t="shared" ca="1" si="123"/>
        <v>#N/A</v>
      </c>
      <c r="T414" s="55" t="e">
        <f t="shared" ca="1" si="124"/>
        <v>#N/A</v>
      </c>
      <c r="U414" s="55" t="e">
        <f t="shared" ca="1" si="125"/>
        <v>#N/A</v>
      </c>
      <c r="V414" s="55" t="e">
        <f t="shared" ca="1" si="126"/>
        <v>#N/A</v>
      </c>
      <c r="W414" s="55" t="e">
        <f t="shared" ca="1" si="135"/>
        <v>#N/A</v>
      </c>
      <c r="X414" s="55" t="e">
        <f t="shared" ca="1" si="136"/>
        <v>#N/A</v>
      </c>
      <c r="Y414" s="55" t="e">
        <f t="shared" ca="1" si="137"/>
        <v>#N/A</v>
      </c>
      <c r="Z414" s="55" t="e">
        <f t="shared" ca="1" si="138"/>
        <v>#N/A</v>
      </c>
      <c r="AB414" t="e">
        <f t="shared" ca="1" si="134"/>
        <v>#N/A</v>
      </c>
      <c r="AC414" t="e">
        <f t="shared" ca="1" si="127"/>
        <v>#N/A</v>
      </c>
      <c r="AD414" t="e">
        <f t="shared" ca="1" si="128"/>
        <v>#N/A</v>
      </c>
      <c r="AE414" t="e">
        <f t="shared" ca="1" si="129"/>
        <v>#N/A</v>
      </c>
      <c r="AF414" s="83" t="e">
        <f ca="1"/>
        <v>#N/A</v>
      </c>
      <c r="AG414" s="55" t="e">
        <f t="shared" ca="1" si="130"/>
        <v>#N/A</v>
      </c>
      <c r="AH414" s="55" t="e">
        <f t="shared" ca="1" si="131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9"/>
        <v>#N/A</v>
      </c>
      <c r="AL414" s="55" t="e">
        <f t="shared" ca="1" si="140"/>
        <v>#N/A</v>
      </c>
      <c r="AM414" s="55" t="e">
        <f t="shared" ca="1" si="141"/>
        <v>#N/A</v>
      </c>
    </row>
    <row r="415" spans="18:39">
      <c r="R415" s="55" t="e">
        <f ca="1"/>
        <v>#N/A</v>
      </c>
      <c r="S415" s="55" t="e">
        <f t="shared" ca="1" si="123"/>
        <v>#N/A</v>
      </c>
      <c r="T415" s="55" t="e">
        <f t="shared" ca="1" si="124"/>
        <v>#N/A</v>
      </c>
      <c r="U415" s="55" t="e">
        <f t="shared" ca="1" si="125"/>
        <v>#N/A</v>
      </c>
      <c r="V415" s="55" t="e">
        <f t="shared" ca="1" si="126"/>
        <v>#N/A</v>
      </c>
      <c r="W415" s="55" t="e">
        <f t="shared" ca="1" si="135"/>
        <v>#N/A</v>
      </c>
      <c r="X415" s="55" t="e">
        <f t="shared" ca="1" si="136"/>
        <v>#N/A</v>
      </c>
      <c r="Y415" s="55" t="e">
        <f t="shared" ca="1" si="137"/>
        <v>#N/A</v>
      </c>
      <c r="Z415" s="55" t="e">
        <f t="shared" ca="1" si="138"/>
        <v>#N/A</v>
      </c>
      <c r="AB415" t="e">
        <f t="shared" ca="1" si="134"/>
        <v>#N/A</v>
      </c>
      <c r="AC415" t="e">
        <f t="shared" ca="1" si="127"/>
        <v>#N/A</v>
      </c>
      <c r="AD415" t="e">
        <f t="shared" ca="1" si="128"/>
        <v>#N/A</v>
      </c>
      <c r="AE415" t="e">
        <f t="shared" ca="1" si="129"/>
        <v>#N/A</v>
      </c>
      <c r="AF415" s="83" t="e">
        <f ca="1"/>
        <v>#N/A</v>
      </c>
      <c r="AG415" s="55" t="e">
        <f t="shared" ca="1" si="130"/>
        <v>#N/A</v>
      </c>
      <c r="AH415" s="55" t="e">
        <f t="shared" ca="1" si="131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9"/>
        <v>#N/A</v>
      </c>
      <c r="AL415" s="55" t="e">
        <f t="shared" ca="1" si="140"/>
        <v>#N/A</v>
      </c>
      <c r="AM415" s="55" t="e">
        <f t="shared" ca="1" si="141"/>
        <v>#N/A</v>
      </c>
    </row>
    <row r="416" spans="18:39">
      <c r="R416" s="55" t="e">
        <f ca="1"/>
        <v>#N/A</v>
      </c>
      <c r="S416" s="55" t="e">
        <f t="shared" ca="1" si="123"/>
        <v>#N/A</v>
      </c>
      <c r="T416" s="55" t="e">
        <f t="shared" ca="1" si="124"/>
        <v>#N/A</v>
      </c>
      <c r="U416" s="55" t="e">
        <f t="shared" ca="1" si="125"/>
        <v>#N/A</v>
      </c>
      <c r="V416" s="55" t="e">
        <f t="shared" ca="1" si="126"/>
        <v>#N/A</v>
      </c>
      <c r="W416" s="55" t="e">
        <f t="shared" ca="1" si="135"/>
        <v>#N/A</v>
      </c>
      <c r="X416" s="55" t="e">
        <f t="shared" ca="1" si="136"/>
        <v>#N/A</v>
      </c>
      <c r="Y416" s="55" t="e">
        <f t="shared" ca="1" si="137"/>
        <v>#N/A</v>
      </c>
      <c r="Z416" s="55" t="e">
        <f t="shared" ca="1" si="138"/>
        <v>#N/A</v>
      </c>
      <c r="AB416" t="e">
        <f t="shared" ca="1" si="134"/>
        <v>#N/A</v>
      </c>
      <c r="AC416" t="e">
        <f t="shared" ca="1" si="127"/>
        <v>#N/A</v>
      </c>
      <c r="AD416" t="e">
        <f t="shared" ca="1" si="128"/>
        <v>#N/A</v>
      </c>
      <c r="AE416" t="e">
        <f t="shared" ca="1" si="129"/>
        <v>#N/A</v>
      </c>
      <c r="AF416" s="83" t="e">
        <f ca="1"/>
        <v>#N/A</v>
      </c>
      <c r="AG416" s="55" t="e">
        <f t="shared" ca="1" si="130"/>
        <v>#N/A</v>
      </c>
      <c r="AH416" s="55" t="e">
        <f t="shared" ca="1" si="131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9"/>
        <v>#N/A</v>
      </c>
      <c r="AL416" s="55" t="e">
        <f t="shared" ca="1" si="140"/>
        <v>#N/A</v>
      </c>
      <c r="AM416" s="55" t="e">
        <f t="shared" ca="1" si="141"/>
        <v>#N/A</v>
      </c>
    </row>
    <row r="417" spans="18:39">
      <c r="R417" s="55" t="e">
        <f ca="1"/>
        <v>#N/A</v>
      </c>
      <c r="S417" s="55" t="e">
        <f t="shared" ca="1" si="123"/>
        <v>#N/A</v>
      </c>
      <c r="T417" s="55" t="e">
        <f t="shared" ca="1" si="124"/>
        <v>#N/A</v>
      </c>
      <c r="U417" s="55" t="e">
        <f t="shared" ca="1" si="125"/>
        <v>#N/A</v>
      </c>
      <c r="V417" s="55" t="e">
        <f t="shared" ca="1" si="126"/>
        <v>#N/A</v>
      </c>
      <c r="W417" s="55" t="e">
        <f t="shared" ca="1" si="135"/>
        <v>#N/A</v>
      </c>
      <c r="X417" s="55" t="e">
        <f t="shared" ca="1" si="136"/>
        <v>#N/A</v>
      </c>
      <c r="Y417" s="55" t="e">
        <f t="shared" ca="1" si="137"/>
        <v>#N/A</v>
      </c>
      <c r="Z417" s="55" t="e">
        <f t="shared" ca="1" si="138"/>
        <v>#N/A</v>
      </c>
      <c r="AB417" t="e">
        <f t="shared" ca="1" si="134"/>
        <v>#N/A</v>
      </c>
      <c r="AC417" t="e">
        <f t="shared" ca="1" si="127"/>
        <v>#N/A</v>
      </c>
      <c r="AD417" t="e">
        <f t="shared" ca="1" si="128"/>
        <v>#N/A</v>
      </c>
      <c r="AE417" t="e">
        <f t="shared" ca="1" si="129"/>
        <v>#N/A</v>
      </c>
      <c r="AF417" s="83" t="e">
        <f ca="1"/>
        <v>#N/A</v>
      </c>
      <c r="AG417" s="55" t="e">
        <f t="shared" ca="1" si="130"/>
        <v>#N/A</v>
      </c>
      <c r="AH417" s="55" t="e">
        <f t="shared" ca="1" si="131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9"/>
        <v>#N/A</v>
      </c>
      <c r="AL417" s="55" t="e">
        <f t="shared" ca="1" si="140"/>
        <v>#N/A</v>
      </c>
      <c r="AM417" s="55" t="e">
        <f t="shared" ca="1" si="141"/>
        <v>#N/A</v>
      </c>
    </row>
    <row r="418" spans="18:39">
      <c r="R418" s="55" t="e">
        <f ca="1"/>
        <v>#N/A</v>
      </c>
      <c r="S418" s="55" t="e">
        <f t="shared" ca="1" si="123"/>
        <v>#N/A</v>
      </c>
      <c r="T418" s="55" t="e">
        <f t="shared" ca="1" si="124"/>
        <v>#N/A</v>
      </c>
      <c r="U418" s="55" t="e">
        <f t="shared" ca="1" si="125"/>
        <v>#N/A</v>
      </c>
      <c r="V418" s="55" t="e">
        <f t="shared" ca="1" si="126"/>
        <v>#N/A</v>
      </c>
      <c r="W418" s="55" t="e">
        <f t="shared" ca="1" si="135"/>
        <v>#N/A</v>
      </c>
      <c r="X418" s="55" t="e">
        <f t="shared" ca="1" si="136"/>
        <v>#N/A</v>
      </c>
      <c r="Y418" s="55" t="e">
        <f t="shared" ca="1" si="137"/>
        <v>#N/A</v>
      </c>
      <c r="Z418" s="55" t="e">
        <f t="shared" ca="1" si="138"/>
        <v>#N/A</v>
      </c>
      <c r="AB418" t="e">
        <f t="shared" ca="1" si="134"/>
        <v>#N/A</v>
      </c>
      <c r="AC418" t="e">
        <f t="shared" ca="1" si="127"/>
        <v>#N/A</v>
      </c>
      <c r="AD418" t="e">
        <f t="shared" ca="1" si="128"/>
        <v>#N/A</v>
      </c>
      <c r="AE418" t="e">
        <f t="shared" ca="1" si="129"/>
        <v>#N/A</v>
      </c>
      <c r="AF418" s="83" t="e">
        <f ca="1"/>
        <v>#N/A</v>
      </c>
      <c r="AG418" s="55" t="e">
        <f t="shared" ca="1" si="130"/>
        <v>#N/A</v>
      </c>
      <c r="AH418" s="55" t="e">
        <f t="shared" ca="1" si="131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9"/>
        <v>#N/A</v>
      </c>
      <c r="AL418" s="55" t="e">
        <f t="shared" ca="1" si="140"/>
        <v>#N/A</v>
      </c>
      <c r="AM418" s="55" t="e">
        <f t="shared" ca="1" si="141"/>
        <v>#N/A</v>
      </c>
    </row>
    <row r="419" spans="18:39">
      <c r="R419" s="55" t="e">
        <f ca="1"/>
        <v>#N/A</v>
      </c>
      <c r="S419" s="55" t="e">
        <f t="shared" ca="1" si="123"/>
        <v>#N/A</v>
      </c>
      <c r="T419" s="55" t="e">
        <f t="shared" ca="1" si="124"/>
        <v>#N/A</v>
      </c>
      <c r="U419" s="55" t="e">
        <f t="shared" ca="1" si="125"/>
        <v>#N/A</v>
      </c>
      <c r="V419" s="55" t="e">
        <f t="shared" ca="1" si="126"/>
        <v>#N/A</v>
      </c>
      <c r="W419" s="55" t="e">
        <f t="shared" ca="1" si="135"/>
        <v>#N/A</v>
      </c>
      <c r="X419" s="55" t="e">
        <f t="shared" ca="1" si="136"/>
        <v>#N/A</v>
      </c>
      <c r="Y419" s="55" t="e">
        <f t="shared" ca="1" si="137"/>
        <v>#N/A</v>
      </c>
      <c r="Z419" s="55" t="e">
        <f t="shared" ca="1" si="138"/>
        <v>#N/A</v>
      </c>
      <c r="AB419" t="e">
        <f t="shared" ca="1" si="134"/>
        <v>#N/A</v>
      </c>
      <c r="AC419" t="e">
        <f t="shared" ca="1" si="127"/>
        <v>#N/A</v>
      </c>
      <c r="AD419" t="e">
        <f t="shared" ca="1" si="128"/>
        <v>#N/A</v>
      </c>
      <c r="AE419" t="e">
        <f t="shared" ca="1" si="129"/>
        <v>#N/A</v>
      </c>
      <c r="AF419" s="83" t="e">
        <f ca="1"/>
        <v>#N/A</v>
      </c>
      <c r="AG419" s="55" t="e">
        <f t="shared" ca="1" si="130"/>
        <v>#N/A</v>
      </c>
      <c r="AH419" s="55" t="e">
        <f t="shared" ca="1" si="131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9"/>
        <v>#N/A</v>
      </c>
      <c r="AL419" s="55" t="e">
        <f t="shared" ca="1" si="140"/>
        <v>#N/A</v>
      </c>
      <c r="AM419" s="55" t="e">
        <f t="shared" ca="1" si="141"/>
        <v>#N/A</v>
      </c>
    </row>
    <row r="420" spans="18:39">
      <c r="R420" s="55" t="e">
        <f ca="1"/>
        <v>#N/A</v>
      </c>
      <c r="S420" s="55" t="e">
        <f t="shared" ca="1" si="123"/>
        <v>#N/A</v>
      </c>
      <c r="T420" s="55" t="e">
        <f t="shared" ca="1" si="124"/>
        <v>#N/A</v>
      </c>
      <c r="U420" s="55" t="e">
        <f t="shared" ca="1" si="125"/>
        <v>#N/A</v>
      </c>
      <c r="V420" s="55" t="e">
        <f t="shared" ca="1" si="126"/>
        <v>#N/A</v>
      </c>
      <c r="W420" s="55" t="e">
        <f t="shared" ca="1" si="135"/>
        <v>#N/A</v>
      </c>
      <c r="X420" s="55" t="e">
        <f t="shared" ca="1" si="136"/>
        <v>#N/A</v>
      </c>
      <c r="Y420" s="55" t="e">
        <f t="shared" ca="1" si="137"/>
        <v>#N/A</v>
      </c>
      <c r="Z420" s="55" t="e">
        <f t="shared" ca="1" si="138"/>
        <v>#N/A</v>
      </c>
      <c r="AB420" t="e">
        <f t="shared" ca="1" si="134"/>
        <v>#N/A</v>
      </c>
      <c r="AC420" t="e">
        <f t="shared" ca="1" si="127"/>
        <v>#N/A</v>
      </c>
      <c r="AD420" t="e">
        <f t="shared" ca="1" si="128"/>
        <v>#N/A</v>
      </c>
      <c r="AE420" t="e">
        <f t="shared" ca="1" si="129"/>
        <v>#N/A</v>
      </c>
      <c r="AF420" s="83" t="e">
        <f ca="1"/>
        <v>#N/A</v>
      </c>
      <c r="AG420" s="55" t="e">
        <f t="shared" ca="1" si="130"/>
        <v>#N/A</v>
      </c>
      <c r="AH420" s="55" t="e">
        <f t="shared" ca="1" si="131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9"/>
        <v>#N/A</v>
      </c>
      <c r="AL420" s="55" t="e">
        <f t="shared" ca="1" si="140"/>
        <v>#N/A</v>
      </c>
      <c r="AM420" s="55" t="e">
        <f t="shared" ca="1" si="141"/>
        <v>#N/A</v>
      </c>
    </row>
    <row r="421" spans="18:39">
      <c r="R421" s="55" t="e">
        <f ca="1"/>
        <v>#N/A</v>
      </c>
      <c r="S421" s="55" t="e">
        <f t="shared" ca="1" si="123"/>
        <v>#N/A</v>
      </c>
      <c r="T421" s="55" t="e">
        <f t="shared" ca="1" si="124"/>
        <v>#N/A</v>
      </c>
      <c r="U421" s="55" t="e">
        <f t="shared" ca="1" si="125"/>
        <v>#N/A</v>
      </c>
      <c r="V421" s="55" t="e">
        <f t="shared" ca="1" si="126"/>
        <v>#N/A</v>
      </c>
      <c r="W421" s="55" t="e">
        <f t="shared" ca="1" si="135"/>
        <v>#N/A</v>
      </c>
      <c r="X421" s="55" t="e">
        <f t="shared" ca="1" si="136"/>
        <v>#N/A</v>
      </c>
      <c r="Y421" s="55" t="e">
        <f t="shared" ca="1" si="137"/>
        <v>#N/A</v>
      </c>
      <c r="Z421" s="55" t="e">
        <f t="shared" ca="1" si="138"/>
        <v>#N/A</v>
      </c>
      <c r="AB421" t="e">
        <f t="shared" ca="1" si="134"/>
        <v>#N/A</v>
      </c>
      <c r="AC421" t="e">
        <f t="shared" ca="1" si="127"/>
        <v>#N/A</v>
      </c>
      <c r="AD421" t="e">
        <f t="shared" ca="1" si="128"/>
        <v>#N/A</v>
      </c>
      <c r="AE421" t="e">
        <f t="shared" ca="1" si="129"/>
        <v>#N/A</v>
      </c>
      <c r="AF421" s="83" t="e">
        <f ca="1"/>
        <v>#N/A</v>
      </c>
      <c r="AG421" s="55" t="e">
        <f t="shared" ca="1" si="130"/>
        <v>#N/A</v>
      </c>
      <c r="AH421" s="55" t="e">
        <f t="shared" ca="1" si="131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9"/>
        <v>#N/A</v>
      </c>
      <c r="AL421" s="55" t="e">
        <f t="shared" ca="1" si="140"/>
        <v>#N/A</v>
      </c>
      <c r="AM421" s="55" t="e">
        <f t="shared" ca="1" si="141"/>
        <v>#N/A</v>
      </c>
    </row>
    <row r="422" spans="18:39">
      <c r="R422" s="55" t="e">
        <f ca="1"/>
        <v>#N/A</v>
      </c>
      <c r="S422" s="55" t="e">
        <f t="shared" ca="1" si="123"/>
        <v>#N/A</v>
      </c>
      <c r="T422" s="55" t="e">
        <f t="shared" ca="1" si="124"/>
        <v>#N/A</v>
      </c>
      <c r="U422" s="55" t="e">
        <f t="shared" ca="1" si="125"/>
        <v>#N/A</v>
      </c>
      <c r="V422" s="55" t="e">
        <f t="shared" ca="1" si="126"/>
        <v>#N/A</v>
      </c>
      <c r="W422" s="55" t="e">
        <f t="shared" ca="1" si="135"/>
        <v>#N/A</v>
      </c>
      <c r="X422" s="55" t="e">
        <f t="shared" ca="1" si="136"/>
        <v>#N/A</v>
      </c>
      <c r="Y422" s="55" t="e">
        <f t="shared" ca="1" si="137"/>
        <v>#N/A</v>
      </c>
      <c r="Z422" s="55" t="e">
        <f t="shared" ca="1" si="138"/>
        <v>#N/A</v>
      </c>
      <c r="AB422" t="e">
        <f t="shared" ca="1" si="134"/>
        <v>#N/A</v>
      </c>
      <c r="AC422" t="e">
        <f t="shared" ca="1" si="127"/>
        <v>#N/A</v>
      </c>
      <c r="AD422" t="e">
        <f t="shared" ca="1" si="128"/>
        <v>#N/A</v>
      </c>
      <c r="AE422" t="e">
        <f t="shared" ca="1" si="129"/>
        <v>#N/A</v>
      </c>
      <c r="AF422" s="83" t="e">
        <f ca="1"/>
        <v>#N/A</v>
      </c>
      <c r="AG422" s="55" t="e">
        <f t="shared" ca="1" si="130"/>
        <v>#N/A</v>
      </c>
      <c r="AH422" s="55" t="e">
        <f t="shared" ca="1" si="131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9"/>
        <v>#N/A</v>
      </c>
      <c r="AL422" s="55" t="e">
        <f t="shared" ca="1" si="140"/>
        <v>#N/A</v>
      </c>
      <c r="AM422" s="55" t="e">
        <f t="shared" ca="1" si="141"/>
        <v>#N/A</v>
      </c>
    </row>
    <row r="423" spans="18:39">
      <c r="R423" s="55" t="e">
        <f ca="1"/>
        <v>#N/A</v>
      </c>
      <c r="S423" s="55" t="e">
        <f t="shared" ca="1" si="123"/>
        <v>#N/A</v>
      </c>
      <c r="T423" s="55" t="e">
        <f t="shared" ca="1" si="124"/>
        <v>#N/A</v>
      </c>
      <c r="U423" s="55" t="e">
        <f t="shared" ca="1" si="125"/>
        <v>#N/A</v>
      </c>
      <c r="V423" s="55" t="e">
        <f t="shared" ca="1" si="126"/>
        <v>#N/A</v>
      </c>
      <c r="W423" s="55" t="e">
        <f t="shared" ca="1" si="135"/>
        <v>#N/A</v>
      </c>
      <c r="X423" s="55" t="e">
        <f t="shared" ca="1" si="136"/>
        <v>#N/A</v>
      </c>
      <c r="Y423" s="55" t="e">
        <f t="shared" ca="1" si="137"/>
        <v>#N/A</v>
      </c>
      <c r="Z423" s="55" t="e">
        <f t="shared" ca="1" si="138"/>
        <v>#N/A</v>
      </c>
      <c r="AB423" t="e">
        <f t="shared" ca="1" si="134"/>
        <v>#N/A</v>
      </c>
      <c r="AC423" t="e">
        <f t="shared" ca="1" si="127"/>
        <v>#N/A</v>
      </c>
      <c r="AD423" t="e">
        <f t="shared" ca="1" si="128"/>
        <v>#N/A</v>
      </c>
      <c r="AE423" t="e">
        <f t="shared" ca="1" si="129"/>
        <v>#N/A</v>
      </c>
      <c r="AF423" s="83" t="e">
        <f ca="1"/>
        <v>#N/A</v>
      </c>
      <c r="AG423" s="55" t="e">
        <f t="shared" ca="1" si="130"/>
        <v>#N/A</v>
      </c>
      <c r="AH423" s="55" t="e">
        <f t="shared" ca="1" si="131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9"/>
        <v>#N/A</v>
      </c>
      <c r="AL423" s="55" t="e">
        <f t="shared" ca="1" si="140"/>
        <v>#N/A</v>
      </c>
      <c r="AM423" s="55" t="e">
        <f t="shared" ca="1" si="141"/>
        <v>#N/A</v>
      </c>
    </row>
    <row r="424" spans="18:39">
      <c r="R424" s="55" t="e">
        <f ca="1"/>
        <v>#N/A</v>
      </c>
      <c r="S424" s="55" t="e">
        <f t="shared" ca="1" si="123"/>
        <v>#N/A</v>
      </c>
      <c r="T424" s="55" t="e">
        <f t="shared" ca="1" si="124"/>
        <v>#N/A</v>
      </c>
      <c r="U424" s="55" t="e">
        <f t="shared" ca="1" si="125"/>
        <v>#N/A</v>
      </c>
      <c r="V424" s="55" t="e">
        <f t="shared" ca="1" si="126"/>
        <v>#N/A</v>
      </c>
      <c r="W424" s="55" t="e">
        <f t="shared" ca="1" si="135"/>
        <v>#N/A</v>
      </c>
      <c r="X424" s="55" t="e">
        <f t="shared" ca="1" si="136"/>
        <v>#N/A</v>
      </c>
      <c r="Y424" s="55" t="e">
        <f t="shared" ca="1" si="137"/>
        <v>#N/A</v>
      </c>
      <c r="Z424" s="55" t="e">
        <f t="shared" ca="1" si="138"/>
        <v>#N/A</v>
      </c>
      <c r="AB424" t="e">
        <f t="shared" ca="1" si="134"/>
        <v>#N/A</v>
      </c>
      <c r="AC424" t="e">
        <f t="shared" ca="1" si="127"/>
        <v>#N/A</v>
      </c>
      <c r="AD424" t="e">
        <f t="shared" ca="1" si="128"/>
        <v>#N/A</v>
      </c>
      <c r="AE424" t="e">
        <f t="shared" ca="1" si="129"/>
        <v>#N/A</v>
      </c>
      <c r="AF424" s="83" t="e">
        <f ca="1"/>
        <v>#N/A</v>
      </c>
      <c r="AG424" s="55" t="e">
        <f t="shared" ca="1" si="130"/>
        <v>#N/A</v>
      </c>
      <c r="AH424" s="55" t="e">
        <f t="shared" ca="1" si="131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9"/>
        <v>#N/A</v>
      </c>
      <c r="AL424" s="55" t="e">
        <f t="shared" ca="1" si="140"/>
        <v>#N/A</v>
      </c>
      <c r="AM424" s="55" t="e">
        <f t="shared" ca="1" si="141"/>
        <v>#N/A</v>
      </c>
    </row>
    <row r="425" spans="18:39">
      <c r="R425" s="55" t="e">
        <f ca="1"/>
        <v>#N/A</v>
      </c>
      <c r="S425" s="55" t="e">
        <f t="shared" ca="1" si="123"/>
        <v>#N/A</v>
      </c>
      <c r="T425" s="55" t="e">
        <f t="shared" ca="1" si="124"/>
        <v>#N/A</v>
      </c>
      <c r="U425" s="55" t="e">
        <f t="shared" ca="1" si="125"/>
        <v>#N/A</v>
      </c>
      <c r="V425" s="55" t="e">
        <f t="shared" ca="1" si="126"/>
        <v>#N/A</v>
      </c>
      <c r="W425" s="55" t="e">
        <f t="shared" ca="1" si="135"/>
        <v>#N/A</v>
      </c>
      <c r="X425" s="55" t="e">
        <f t="shared" ca="1" si="136"/>
        <v>#N/A</v>
      </c>
      <c r="Y425" s="55" t="e">
        <f t="shared" ca="1" si="137"/>
        <v>#N/A</v>
      </c>
      <c r="Z425" s="55" t="e">
        <f t="shared" ca="1" si="138"/>
        <v>#N/A</v>
      </c>
      <c r="AB425" t="e">
        <f t="shared" ca="1" si="134"/>
        <v>#N/A</v>
      </c>
      <c r="AC425" t="e">
        <f t="shared" ca="1" si="127"/>
        <v>#N/A</v>
      </c>
      <c r="AD425" t="e">
        <f t="shared" ca="1" si="128"/>
        <v>#N/A</v>
      </c>
      <c r="AE425" t="e">
        <f t="shared" ca="1" si="129"/>
        <v>#N/A</v>
      </c>
      <c r="AF425" s="83" t="e">
        <f ca="1"/>
        <v>#N/A</v>
      </c>
      <c r="AG425" s="55" t="e">
        <f t="shared" ca="1" si="130"/>
        <v>#N/A</v>
      </c>
      <c r="AH425" s="55" t="e">
        <f t="shared" ca="1" si="131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9"/>
        <v>#N/A</v>
      </c>
      <c r="AL425" s="55" t="e">
        <f t="shared" ca="1" si="140"/>
        <v>#N/A</v>
      </c>
      <c r="AM425" s="55" t="e">
        <f t="shared" ca="1" si="141"/>
        <v>#N/A</v>
      </c>
    </row>
    <row r="426" spans="18:39">
      <c r="R426" s="55" t="e">
        <f ca="1"/>
        <v>#N/A</v>
      </c>
      <c r="S426" s="55" t="e">
        <f t="shared" ca="1" si="123"/>
        <v>#N/A</v>
      </c>
      <c r="T426" s="55" t="e">
        <f t="shared" ca="1" si="124"/>
        <v>#N/A</v>
      </c>
      <c r="U426" s="55" t="e">
        <f t="shared" ca="1" si="125"/>
        <v>#N/A</v>
      </c>
      <c r="V426" s="55" t="e">
        <f t="shared" ca="1" si="126"/>
        <v>#N/A</v>
      </c>
      <c r="W426" s="55" t="e">
        <f t="shared" ca="1" si="135"/>
        <v>#N/A</v>
      </c>
      <c r="X426" s="55" t="e">
        <f t="shared" ca="1" si="136"/>
        <v>#N/A</v>
      </c>
      <c r="Y426" s="55" t="e">
        <f t="shared" ca="1" si="137"/>
        <v>#N/A</v>
      </c>
      <c r="Z426" s="55" t="e">
        <f t="shared" ca="1" si="138"/>
        <v>#N/A</v>
      </c>
      <c r="AB426" t="e">
        <f t="shared" ca="1" si="134"/>
        <v>#N/A</v>
      </c>
      <c r="AC426" t="e">
        <f t="shared" ca="1" si="127"/>
        <v>#N/A</v>
      </c>
      <c r="AD426" t="e">
        <f t="shared" ca="1" si="128"/>
        <v>#N/A</v>
      </c>
      <c r="AE426" t="e">
        <f t="shared" ca="1" si="129"/>
        <v>#N/A</v>
      </c>
      <c r="AF426" s="83" t="e">
        <f ca="1"/>
        <v>#N/A</v>
      </c>
      <c r="AG426" s="55" t="e">
        <f t="shared" ca="1" si="130"/>
        <v>#N/A</v>
      </c>
      <c r="AH426" s="55" t="e">
        <f t="shared" ca="1" si="131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9"/>
        <v>#N/A</v>
      </c>
      <c r="AL426" s="55" t="e">
        <f t="shared" ca="1" si="140"/>
        <v>#N/A</v>
      </c>
      <c r="AM426" s="55" t="e">
        <f t="shared" ca="1" si="141"/>
        <v>#N/A</v>
      </c>
    </row>
    <row r="427" spans="18:39">
      <c r="R427" s="55" t="e">
        <f ca="1"/>
        <v>#N/A</v>
      </c>
      <c r="S427" s="55" t="e">
        <f t="shared" ca="1" si="123"/>
        <v>#N/A</v>
      </c>
      <c r="T427" s="55" t="e">
        <f t="shared" ca="1" si="124"/>
        <v>#N/A</v>
      </c>
      <c r="U427" s="55" t="e">
        <f t="shared" ca="1" si="125"/>
        <v>#N/A</v>
      </c>
      <c r="V427" s="55" t="e">
        <f t="shared" ca="1" si="126"/>
        <v>#N/A</v>
      </c>
      <c r="W427" s="55" t="e">
        <f t="shared" ca="1" si="135"/>
        <v>#N/A</v>
      </c>
      <c r="X427" s="55" t="e">
        <f t="shared" ca="1" si="136"/>
        <v>#N/A</v>
      </c>
      <c r="Y427" s="55" t="e">
        <f t="shared" ca="1" si="137"/>
        <v>#N/A</v>
      </c>
      <c r="Z427" s="55" t="e">
        <f t="shared" ca="1" si="138"/>
        <v>#N/A</v>
      </c>
      <c r="AB427" t="e">
        <f t="shared" ca="1" si="134"/>
        <v>#N/A</v>
      </c>
      <c r="AC427" t="e">
        <f t="shared" ca="1" si="127"/>
        <v>#N/A</v>
      </c>
      <c r="AD427" t="e">
        <f t="shared" ca="1" si="128"/>
        <v>#N/A</v>
      </c>
      <c r="AE427" t="e">
        <f t="shared" ca="1" si="129"/>
        <v>#N/A</v>
      </c>
      <c r="AF427" s="83" t="e">
        <f ca="1"/>
        <v>#N/A</v>
      </c>
      <c r="AG427" s="55" t="e">
        <f t="shared" ca="1" si="130"/>
        <v>#N/A</v>
      </c>
      <c r="AH427" s="55" t="e">
        <f t="shared" ca="1" si="131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9"/>
        <v>#N/A</v>
      </c>
      <c r="AL427" s="55" t="e">
        <f t="shared" ca="1" si="140"/>
        <v>#N/A</v>
      </c>
      <c r="AM427" s="55" t="e">
        <f t="shared" ca="1" si="141"/>
        <v>#N/A</v>
      </c>
    </row>
    <row r="428" spans="18:39">
      <c r="R428" s="55" t="e">
        <f ca="1"/>
        <v>#N/A</v>
      </c>
      <c r="S428" s="55" t="e">
        <f t="shared" ca="1" si="123"/>
        <v>#N/A</v>
      </c>
      <c r="T428" s="55" t="e">
        <f t="shared" ca="1" si="124"/>
        <v>#N/A</v>
      </c>
      <c r="U428" s="55" t="e">
        <f t="shared" ca="1" si="125"/>
        <v>#N/A</v>
      </c>
      <c r="V428" s="55" t="e">
        <f t="shared" ca="1" si="126"/>
        <v>#N/A</v>
      </c>
      <c r="W428" s="55" t="e">
        <f t="shared" ca="1" si="135"/>
        <v>#N/A</v>
      </c>
      <c r="X428" s="55" t="e">
        <f t="shared" ca="1" si="136"/>
        <v>#N/A</v>
      </c>
      <c r="Y428" s="55" t="e">
        <f t="shared" ca="1" si="137"/>
        <v>#N/A</v>
      </c>
      <c r="Z428" s="55" t="e">
        <f t="shared" ca="1" si="138"/>
        <v>#N/A</v>
      </c>
      <c r="AB428" t="e">
        <f t="shared" ca="1" si="134"/>
        <v>#N/A</v>
      </c>
      <c r="AC428" t="e">
        <f t="shared" ca="1" si="127"/>
        <v>#N/A</v>
      </c>
      <c r="AD428" t="e">
        <f t="shared" ca="1" si="128"/>
        <v>#N/A</v>
      </c>
      <c r="AE428" t="e">
        <f t="shared" ca="1" si="129"/>
        <v>#N/A</v>
      </c>
      <c r="AF428" s="83" t="e">
        <f ca="1"/>
        <v>#N/A</v>
      </c>
      <c r="AG428" s="55" t="e">
        <f t="shared" ca="1" si="130"/>
        <v>#N/A</v>
      </c>
      <c r="AH428" s="55" t="e">
        <f t="shared" ca="1" si="131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9"/>
        <v>#N/A</v>
      </c>
      <c r="AL428" s="55" t="e">
        <f t="shared" ca="1" si="140"/>
        <v>#N/A</v>
      </c>
      <c r="AM428" s="55" t="e">
        <f t="shared" ca="1" si="141"/>
        <v>#N/A</v>
      </c>
    </row>
    <row r="429" spans="18:39">
      <c r="R429" s="55" t="e">
        <f ca="1"/>
        <v>#N/A</v>
      </c>
      <c r="S429" s="55" t="e">
        <f t="shared" ca="1" si="123"/>
        <v>#N/A</v>
      </c>
      <c r="T429" s="55" t="e">
        <f t="shared" ca="1" si="124"/>
        <v>#N/A</v>
      </c>
      <c r="U429" s="55" t="e">
        <f t="shared" ca="1" si="125"/>
        <v>#N/A</v>
      </c>
      <c r="V429" s="55" t="e">
        <f t="shared" ca="1" si="126"/>
        <v>#N/A</v>
      </c>
      <c r="W429" s="55" t="e">
        <f t="shared" ca="1" si="135"/>
        <v>#N/A</v>
      </c>
      <c r="X429" s="55" t="e">
        <f t="shared" ca="1" si="136"/>
        <v>#N/A</v>
      </c>
      <c r="Y429" s="55" t="e">
        <f t="shared" ca="1" si="137"/>
        <v>#N/A</v>
      </c>
      <c r="Z429" s="55" t="e">
        <f t="shared" ca="1" si="138"/>
        <v>#N/A</v>
      </c>
      <c r="AB429" t="e">
        <f t="shared" ca="1" si="134"/>
        <v>#N/A</v>
      </c>
      <c r="AC429" t="e">
        <f t="shared" ca="1" si="127"/>
        <v>#N/A</v>
      </c>
      <c r="AD429" t="e">
        <f t="shared" ca="1" si="128"/>
        <v>#N/A</v>
      </c>
      <c r="AE429" t="e">
        <f t="shared" ca="1" si="129"/>
        <v>#N/A</v>
      </c>
      <c r="AF429" s="83" t="e">
        <f ca="1"/>
        <v>#N/A</v>
      </c>
      <c r="AG429" s="55" t="e">
        <f t="shared" ca="1" si="130"/>
        <v>#N/A</v>
      </c>
      <c r="AH429" s="55" t="e">
        <f t="shared" ca="1" si="131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9"/>
        <v>#N/A</v>
      </c>
      <c r="AL429" s="55" t="e">
        <f t="shared" ca="1" si="140"/>
        <v>#N/A</v>
      </c>
      <c r="AM429" s="55" t="e">
        <f t="shared" ca="1" si="141"/>
        <v>#N/A</v>
      </c>
    </row>
    <row r="430" spans="18:39">
      <c r="R430" s="55" t="e">
        <f ca="1"/>
        <v>#N/A</v>
      </c>
      <c r="S430" s="55" t="e">
        <f t="shared" ca="1" si="123"/>
        <v>#N/A</v>
      </c>
      <c r="T430" s="55" t="e">
        <f t="shared" ca="1" si="124"/>
        <v>#N/A</v>
      </c>
      <c r="U430" s="55" t="e">
        <f t="shared" ca="1" si="125"/>
        <v>#N/A</v>
      </c>
      <c r="V430" s="55" t="e">
        <f t="shared" ca="1" si="126"/>
        <v>#N/A</v>
      </c>
      <c r="W430" s="55" t="e">
        <f t="shared" ca="1" si="135"/>
        <v>#N/A</v>
      </c>
      <c r="X430" s="55" t="e">
        <f t="shared" ca="1" si="136"/>
        <v>#N/A</v>
      </c>
      <c r="Y430" s="55" t="e">
        <f t="shared" ca="1" si="137"/>
        <v>#N/A</v>
      </c>
      <c r="Z430" s="55" t="e">
        <f t="shared" ca="1" si="138"/>
        <v>#N/A</v>
      </c>
      <c r="AB430" t="e">
        <f t="shared" ca="1" si="134"/>
        <v>#N/A</v>
      </c>
      <c r="AC430" t="e">
        <f t="shared" ca="1" si="127"/>
        <v>#N/A</v>
      </c>
      <c r="AD430" t="e">
        <f t="shared" ca="1" si="128"/>
        <v>#N/A</v>
      </c>
      <c r="AE430" t="e">
        <f t="shared" ca="1" si="129"/>
        <v>#N/A</v>
      </c>
      <c r="AF430" s="83" t="e">
        <f ca="1"/>
        <v>#N/A</v>
      </c>
      <c r="AG430" s="55" t="e">
        <f t="shared" ca="1" si="130"/>
        <v>#N/A</v>
      </c>
      <c r="AH430" s="55" t="e">
        <f t="shared" ca="1" si="131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9"/>
        <v>#N/A</v>
      </c>
      <c r="AL430" s="55" t="e">
        <f t="shared" ca="1" si="140"/>
        <v>#N/A</v>
      </c>
      <c r="AM430" s="55" t="e">
        <f t="shared" ca="1" si="141"/>
        <v>#N/A</v>
      </c>
    </row>
    <row r="431" spans="18:39">
      <c r="R431" s="55" t="e">
        <f ca="1"/>
        <v>#N/A</v>
      </c>
      <c r="S431" s="55" t="e">
        <f t="shared" ca="1" si="123"/>
        <v>#N/A</v>
      </c>
      <c r="T431" s="55" t="e">
        <f t="shared" ca="1" si="124"/>
        <v>#N/A</v>
      </c>
      <c r="U431" s="55" t="e">
        <f t="shared" ca="1" si="125"/>
        <v>#N/A</v>
      </c>
      <c r="V431" s="55" t="e">
        <f t="shared" ca="1" si="126"/>
        <v>#N/A</v>
      </c>
      <c r="W431" s="55" t="e">
        <f t="shared" ca="1" si="135"/>
        <v>#N/A</v>
      </c>
      <c r="X431" s="55" t="e">
        <f t="shared" ca="1" si="136"/>
        <v>#N/A</v>
      </c>
      <c r="Y431" s="55" t="e">
        <f t="shared" ca="1" si="137"/>
        <v>#N/A</v>
      </c>
      <c r="Z431" s="55" t="e">
        <f t="shared" ca="1" si="138"/>
        <v>#N/A</v>
      </c>
      <c r="AB431" t="e">
        <f t="shared" ca="1" si="134"/>
        <v>#N/A</v>
      </c>
      <c r="AC431" t="e">
        <f t="shared" ca="1" si="127"/>
        <v>#N/A</v>
      </c>
      <c r="AD431" t="e">
        <f t="shared" ca="1" si="128"/>
        <v>#N/A</v>
      </c>
      <c r="AE431" t="e">
        <f t="shared" ca="1" si="129"/>
        <v>#N/A</v>
      </c>
      <c r="AF431" s="83" t="e">
        <f ca="1"/>
        <v>#N/A</v>
      </c>
      <c r="AG431" s="55" t="e">
        <f t="shared" ca="1" si="130"/>
        <v>#N/A</v>
      </c>
      <c r="AH431" s="55" t="e">
        <f t="shared" ca="1" si="131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9"/>
        <v>#N/A</v>
      </c>
      <c r="AL431" s="55" t="e">
        <f t="shared" ca="1" si="140"/>
        <v>#N/A</v>
      </c>
      <c r="AM431" s="55" t="e">
        <f t="shared" ca="1" si="141"/>
        <v>#N/A</v>
      </c>
    </row>
    <row r="432" spans="18:39">
      <c r="R432" s="55" t="e">
        <f ca="1"/>
        <v>#N/A</v>
      </c>
      <c r="S432" s="55" t="e">
        <f t="shared" ca="1" si="123"/>
        <v>#N/A</v>
      </c>
      <c r="T432" s="55" t="e">
        <f t="shared" ca="1" si="124"/>
        <v>#N/A</v>
      </c>
      <c r="U432" s="55" t="e">
        <f t="shared" ca="1" si="125"/>
        <v>#N/A</v>
      </c>
      <c r="V432" s="55" t="e">
        <f t="shared" ca="1" si="126"/>
        <v>#N/A</v>
      </c>
      <c r="W432" s="55" t="e">
        <f t="shared" ca="1" si="135"/>
        <v>#N/A</v>
      </c>
      <c r="X432" s="55" t="e">
        <f t="shared" ca="1" si="136"/>
        <v>#N/A</v>
      </c>
      <c r="Y432" s="55" t="e">
        <f t="shared" ca="1" si="137"/>
        <v>#N/A</v>
      </c>
      <c r="Z432" s="55" t="e">
        <f t="shared" ca="1" si="138"/>
        <v>#N/A</v>
      </c>
      <c r="AB432" t="e">
        <f t="shared" ca="1" si="134"/>
        <v>#N/A</v>
      </c>
      <c r="AC432" t="e">
        <f t="shared" ca="1" si="127"/>
        <v>#N/A</v>
      </c>
      <c r="AD432" t="e">
        <f t="shared" ca="1" si="128"/>
        <v>#N/A</v>
      </c>
      <c r="AE432" t="e">
        <f t="shared" ca="1" si="129"/>
        <v>#N/A</v>
      </c>
      <c r="AF432" s="83" t="e">
        <f ca="1"/>
        <v>#N/A</v>
      </c>
      <c r="AG432" s="55" t="e">
        <f t="shared" ca="1" si="130"/>
        <v>#N/A</v>
      </c>
      <c r="AH432" s="55" t="e">
        <f t="shared" ca="1" si="131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9"/>
        <v>#N/A</v>
      </c>
      <c r="AL432" s="55" t="e">
        <f t="shared" ca="1" si="140"/>
        <v>#N/A</v>
      </c>
      <c r="AM432" s="55" t="e">
        <f t="shared" ca="1" si="141"/>
        <v>#N/A</v>
      </c>
    </row>
    <row r="433" spans="18:39">
      <c r="R433" s="55" t="e">
        <f ca="1"/>
        <v>#N/A</v>
      </c>
      <c r="S433" s="55" t="e">
        <f t="shared" ca="1" si="123"/>
        <v>#N/A</v>
      </c>
      <c r="T433" s="55" t="e">
        <f t="shared" ca="1" si="124"/>
        <v>#N/A</v>
      </c>
      <c r="U433" s="55" t="e">
        <f t="shared" ca="1" si="125"/>
        <v>#N/A</v>
      </c>
      <c r="V433" s="55" t="e">
        <f t="shared" ca="1" si="126"/>
        <v>#N/A</v>
      </c>
      <c r="W433" s="55" t="e">
        <f t="shared" ca="1" si="135"/>
        <v>#N/A</v>
      </c>
      <c r="X433" s="55" t="e">
        <f t="shared" ca="1" si="136"/>
        <v>#N/A</v>
      </c>
      <c r="Y433" s="55" t="e">
        <f t="shared" ca="1" si="137"/>
        <v>#N/A</v>
      </c>
      <c r="Z433" s="55" t="e">
        <f t="shared" ca="1" si="138"/>
        <v>#N/A</v>
      </c>
      <c r="AB433" t="e">
        <f t="shared" ca="1" si="134"/>
        <v>#N/A</v>
      </c>
      <c r="AC433" t="e">
        <f t="shared" ca="1" si="127"/>
        <v>#N/A</v>
      </c>
      <c r="AD433" t="e">
        <f t="shared" ca="1" si="128"/>
        <v>#N/A</v>
      </c>
      <c r="AE433" t="e">
        <f t="shared" ca="1" si="129"/>
        <v>#N/A</v>
      </c>
      <c r="AF433" s="83" t="e">
        <f ca="1"/>
        <v>#N/A</v>
      </c>
      <c r="AG433" s="55" t="e">
        <f t="shared" ca="1" si="130"/>
        <v>#N/A</v>
      </c>
      <c r="AH433" s="55" t="e">
        <f t="shared" ca="1" si="131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9"/>
        <v>#N/A</v>
      </c>
      <c r="AL433" s="55" t="e">
        <f t="shared" ca="1" si="140"/>
        <v>#N/A</v>
      </c>
      <c r="AM433" s="55" t="e">
        <f t="shared" ca="1" si="141"/>
        <v>#N/A</v>
      </c>
    </row>
    <row r="434" spans="18:39">
      <c r="R434" s="55" t="e">
        <f ca="1"/>
        <v>#N/A</v>
      </c>
      <c r="S434" s="55" t="e">
        <f t="shared" ca="1" si="123"/>
        <v>#N/A</v>
      </c>
      <c r="T434" s="55" t="e">
        <f t="shared" ca="1" si="124"/>
        <v>#N/A</v>
      </c>
      <c r="U434" s="55" t="e">
        <f t="shared" ca="1" si="125"/>
        <v>#N/A</v>
      </c>
      <c r="V434" s="55" t="e">
        <f t="shared" ca="1" si="126"/>
        <v>#N/A</v>
      </c>
      <c r="W434" s="55" t="e">
        <f t="shared" ca="1" si="135"/>
        <v>#N/A</v>
      </c>
      <c r="X434" s="55" t="e">
        <f t="shared" ca="1" si="136"/>
        <v>#N/A</v>
      </c>
      <c r="Y434" s="55" t="e">
        <f t="shared" ca="1" si="137"/>
        <v>#N/A</v>
      </c>
      <c r="Z434" s="55" t="e">
        <f t="shared" ca="1" si="138"/>
        <v>#N/A</v>
      </c>
      <c r="AB434" t="e">
        <f t="shared" ca="1" si="134"/>
        <v>#N/A</v>
      </c>
      <c r="AC434" t="e">
        <f t="shared" ca="1" si="127"/>
        <v>#N/A</v>
      </c>
      <c r="AD434" t="e">
        <f t="shared" ca="1" si="128"/>
        <v>#N/A</v>
      </c>
      <c r="AE434" t="e">
        <f t="shared" ca="1" si="129"/>
        <v>#N/A</v>
      </c>
      <c r="AF434" s="83" t="e">
        <f ca="1"/>
        <v>#N/A</v>
      </c>
      <c r="AG434" s="55" t="e">
        <f t="shared" ca="1" si="130"/>
        <v>#N/A</v>
      </c>
      <c r="AH434" s="55" t="e">
        <f t="shared" ca="1" si="131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9"/>
        <v>#N/A</v>
      </c>
      <c r="AL434" s="55" t="e">
        <f t="shared" ca="1" si="140"/>
        <v>#N/A</v>
      </c>
      <c r="AM434" s="55" t="e">
        <f t="shared" ca="1" si="141"/>
        <v>#N/A</v>
      </c>
    </row>
    <row r="435" spans="18:39">
      <c r="R435" s="55" t="e">
        <f ca="1"/>
        <v>#N/A</v>
      </c>
      <c r="S435" s="55" t="e">
        <f t="shared" ca="1" si="123"/>
        <v>#N/A</v>
      </c>
      <c r="T435" s="55" t="e">
        <f t="shared" ca="1" si="124"/>
        <v>#N/A</v>
      </c>
      <c r="U435" s="55" t="e">
        <f t="shared" ca="1" si="125"/>
        <v>#N/A</v>
      </c>
      <c r="V435" s="55" t="e">
        <f t="shared" ca="1" si="126"/>
        <v>#N/A</v>
      </c>
      <c r="W435" s="55" t="e">
        <f t="shared" ca="1" si="135"/>
        <v>#N/A</v>
      </c>
      <c r="X435" s="55" t="e">
        <f t="shared" ca="1" si="136"/>
        <v>#N/A</v>
      </c>
      <c r="Y435" s="55" t="e">
        <f t="shared" ca="1" si="137"/>
        <v>#N/A</v>
      </c>
      <c r="Z435" s="55" t="e">
        <f t="shared" ca="1" si="138"/>
        <v>#N/A</v>
      </c>
      <c r="AB435" t="e">
        <f t="shared" ca="1" si="134"/>
        <v>#N/A</v>
      </c>
      <c r="AC435" t="e">
        <f t="shared" ca="1" si="127"/>
        <v>#N/A</v>
      </c>
      <c r="AD435" t="e">
        <f t="shared" ca="1" si="128"/>
        <v>#N/A</v>
      </c>
      <c r="AE435" t="e">
        <f t="shared" ca="1" si="129"/>
        <v>#N/A</v>
      </c>
      <c r="AF435" s="83" t="e">
        <f ca="1"/>
        <v>#N/A</v>
      </c>
      <c r="AG435" s="55" t="e">
        <f t="shared" ca="1" si="130"/>
        <v>#N/A</v>
      </c>
      <c r="AH435" s="55" t="e">
        <f t="shared" ca="1" si="131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9"/>
        <v>#N/A</v>
      </c>
      <c r="AL435" s="55" t="e">
        <f t="shared" ca="1" si="140"/>
        <v>#N/A</v>
      </c>
      <c r="AM435" s="55" t="e">
        <f t="shared" ca="1" si="141"/>
        <v>#N/A</v>
      </c>
    </row>
    <row r="436" spans="18:39">
      <c r="R436" s="55" t="e">
        <f ca="1"/>
        <v>#N/A</v>
      </c>
      <c r="S436" s="55" t="e">
        <f t="shared" ca="1" si="123"/>
        <v>#N/A</v>
      </c>
      <c r="T436" s="55" t="e">
        <f t="shared" ca="1" si="124"/>
        <v>#N/A</v>
      </c>
      <c r="U436" s="55" t="e">
        <f t="shared" ca="1" si="125"/>
        <v>#N/A</v>
      </c>
      <c r="V436" s="55" t="e">
        <f t="shared" ca="1" si="126"/>
        <v>#N/A</v>
      </c>
      <c r="W436" s="55" t="e">
        <f t="shared" ca="1" si="135"/>
        <v>#N/A</v>
      </c>
      <c r="X436" s="55" t="e">
        <f t="shared" ca="1" si="136"/>
        <v>#N/A</v>
      </c>
      <c r="Y436" s="55" t="e">
        <f t="shared" ca="1" si="137"/>
        <v>#N/A</v>
      </c>
      <c r="Z436" s="55" t="e">
        <f t="shared" ca="1" si="138"/>
        <v>#N/A</v>
      </c>
      <c r="AB436" t="e">
        <f t="shared" ca="1" si="134"/>
        <v>#N/A</v>
      </c>
      <c r="AC436" t="e">
        <f t="shared" ca="1" si="127"/>
        <v>#N/A</v>
      </c>
      <c r="AD436" t="e">
        <f t="shared" ca="1" si="128"/>
        <v>#N/A</v>
      </c>
      <c r="AE436" t="e">
        <f t="shared" ca="1" si="129"/>
        <v>#N/A</v>
      </c>
      <c r="AF436" s="83" t="e">
        <f ca="1"/>
        <v>#N/A</v>
      </c>
      <c r="AG436" s="55" t="e">
        <f t="shared" ca="1" si="130"/>
        <v>#N/A</v>
      </c>
      <c r="AH436" s="55" t="e">
        <f t="shared" ca="1" si="131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9"/>
        <v>#N/A</v>
      </c>
      <c r="AL436" s="55" t="e">
        <f t="shared" ca="1" si="140"/>
        <v>#N/A</v>
      </c>
      <c r="AM436" s="55" t="e">
        <f t="shared" ca="1" si="141"/>
        <v>#N/A</v>
      </c>
    </row>
    <row r="437" spans="18:39">
      <c r="R437" s="55" t="e">
        <f ca="1"/>
        <v>#N/A</v>
      </c>
      <c r="S437" s="55" t="e">
        <f t="shared" ca="1" si="123"/>
        <v>#N/A</v>
      </c>
      <c r="T437" s="55" t="e">
        <f t="shared" ca="1" si="124"/>
        <v>#N/A</v>
      </c>
      <c r="U437" s="55" t="e">
        <f t="shared" ca="1" si="125"/>
        <v>#N/A</v>
      </c>
      <c r="V437" s="55" t="e">
        <f t="shared" ca="1" si="126"/>
        <v>#N/A</v>
      </c>
      <c r="W437" s="55" t="e">
        <f t="shared" ca="1" si="135"/>
        <v>#N/A</v>
      </c>
      <c r="X437" s="55" t="e">
        <f t="shared" ca="1" si="136"/>
        <v>#N/A</v>
      </c>
      <c r="Y437" s="55" t="e">
        <f t="shared" ca="1" si="137"/>
        <v>#N/A</v>
      </c>
      <c r="Z437" s="55" t="e">
        <f t="shared" ca="1" si="138"/>
        <v>#N/A</v>
      </c>
      <c r="AB437" t="e">
        <f t="shared" ca="1" si="134"/>
        <v>#N/A</v>
      </c>
      <c r="AC437" t="e">
        <f t="shared" ca="1" si="127"/>
        <v>#N/A</v>
      </c>
      <c r="AD437" t="e">
        <f t="shared" ca="1" si="128"/>
        <v>#N/A</v>
      </c>
      <c r="AE437" t="e">
        <f t="shared" ca="1" si="129"/>
        <v>#N/A</v>
      </c>
      <c r="AF437" s="83" t="e">
        <f ca="1"/>
        <v>#N/A</v>
      </c>
      <c r="AG437" s="55" t="e">
        <f t="shared" ca="1" si="130"/>
        <v>#N/A</v>
      </c>
      <c r="AH437" s="55" t="e">
        <f t="shared" ca="1" si="131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9"/>
        <v>#N/A</v>
      </c>
      <c r="AL437" s="55" t="e">
        <f t="shared" ca="1" si="140"/>
        <v>#N/A</v>
      </c>
      <c r="AM437" s="55" t="e">
        <f t="shared" ca="1" si="141"/>
        <v>#N/A</v>
      </c>
    </row>
    <row r="438" spans="18:39">
      <c r="R438" s="55" t="e">
        <f ca="1"/>
        <v>#N/A</v>
      </c>
      <c r="S438" s="55" t="e">
        <f t="shared" ca="1" si="123"/>
        <v>#N/A</v>
      </c>
      <c r="T438" s="55" t="e">
        <f t="shared" ca="1" si="124"/>
        <v>#N/A</v>
      </c>
      <c r="U438" s="55" t="e">
        <f t="shared" ca="1" si="125"/>
        <v>#N/A</v>
      </c>
      <c r="V438" s="55" t="e">
        <f t="shared" ca="1" si="126"/>
        <v>#N/A</v>
      </c>
      <c r="W438" s="55" t="e">
        <f t="shared" ca="1" si="135"/>
        <v>#N/A</v>
      </c>
      <c r="X438" s="55" t="e">
        <f t="shared" ca="1" si="136"/>
        <v>#N/A</v>
      </c>
      <c r="Y438" s="55" t="e">
        <f t="shared" ca="1" si="137"/>
        <v>#N/A</v>
      </c>
      <c r="Z438" s="55" t="e">
        <f t="shared" ca="1" si="138"/>
        <v>#N/A</v>
      </c>
      <c r="AB438" t="e">
        <f t="shared" ca="1" si="134"/>
        <v>#N/A</v>
      </c>
      <c r="AC438" t="e">
        <f t="shared" ca="1" si="127"/>
        <v>#N/A</v>
      </c>
      <c r="AD438" t="e">
        <f t="shared" ca="1" si="128"/>
        <v>#N/A</v>
      </c>
      <c r="AE438" t="e">
        <f t="shared" ca="1" si="129"/>
        <v>#N/A</v>
      </c>
      <c r="AF438" s="83" t="e">
        <f ca="1"/>
        <v>#N/A</v>
      </c>
      <c r="AG438" s="55" t="e">
        <f t="shared" ca="1" si="130"/>
        <v>#N/A</v>
      </c>
      <c r="AH438" s="55" t="e">
        <f t="shared" ca="1" si="131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9"/>
        <v>#N/A</v>
      </c>
      <c r="AL438" s="55" t="e">
        <f t="shared" ca="1" si="140"/>
        <v>#N/A</v>
      </c>
      <c r="AM438" s="55" t="e">
        <f t="shared" ca="1" si="141"/>
        <v>#N/A</v>
      </c>
    </row>
    <row r="439" spans="18:39">
      <c r="R439" s="55" t="e">
        <f ca="1"/>
        <v>#N/A</v>
      </c>
      <c r="S439" s="55" t="e">
        <f t="shared" ca="1" si="123"/>
        <v>#N/A</v>
      </c>
      <c r="T439" s="55" t="e">
        <f t="shared" ca="1" si="124"/>
        <v>#N/A</v>
      </c>
      <c r="U439" s="55" t="e">
        <f t="shared" ca="1" si="125"/>
        <v>#N/A</v>
      </c>
      <c r="V439" s="55" t="e">
        <f t="shared" ca="1" si="126"/>
        <v>#N/A</v>
      </c>
      <c r="W439" s="55" t="e">
        <f t="shared" ca="1" si="135"/>
        <v>#N/A</v>
      </c>
      <c r="X439" s="55" t="e">
        <f t="shared" ca="1" si="136"/>
        <v>#N/A</v>
      </c>
      <c r="Y439" s="55" t="e">
        <f t="shared" ca="1" si="137"/>
        <v>#N/A</v>
      </c>
      <c r="Z439" s="55" t="e">
        <f t="shared" ca="1" si="138"/>
        <v>#N/A</v>
      </c>
      <c r="AB439" t="e">
        <f t="shared" ca="1" si="134"/>
        <v>#N/A</v>
      </c>
      <c r="AC439" t="e">
        <f t="shared" ca="1" si="127"/>
        <v>#N/A</v>
      </c>
      <c r="AD439" t="e">
        <f t="shared" ca="1" si="128"/>
        <v>#N/A</v>
      </c>
      <c r="AE439" t="e">
        <f t="shared" ca="1" si="129"/>
        <v>#N/A</v>
      </c>
      <c r="AF439" s="83" t="e">
        <f ca="1"/>
        <v>#N/A</v>
      </c>
      <c r="AG439" s="55" t="e">
        <f t="shared" ca="1" si="130"/>
        <v>#N/A</v>
      </c>
      <c r="AH439" s="55" t="e">
        <f t="shared" ca="1" si="131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9"/>
        <v>#N/A</v>
      </c>
      <c r="AL439" s="55" t="e">
        <f t="shared" ca="1" si="140"/>
        <v>#N/A</v>
      </c>
      <c r="AM439" s="55" t="e">
        <f t="shared" ca="1" si="141"/>
        <v>#N/A</v>
      </c>
    </row>
    <row r="440" spans="18:39">
      <c r="R440" s="55" t="e">
        <f ca="1"/>
        <v>#N/A</v>
      </c>
      <c r="S440" s="55" t="e">
        <f t="shared" ca="1" si="123"/>
        <v>#N/A</v>
      </c>
      <c r="T440" s="55" t="e">
        <f t="shared" ca="1" si="124"/>
        <v>#N/A</v>
      </c>
      <c r="U440" s="55" t="e">
        <f t="shared" ca="1" si="125"/>
        <v>#N/A</v>
      </c>
      <c r="V440" s="55" t="e">
        <f t="shared" ca="1" si="126"/>
        <v>#N/A</v>
      </c>
      <c r="W440" s="55" t="e">
        <f t="shared" ca="1" si="135"/>
        <v>#N/A</v>
      </c>
      <c r="X440" s="55" t="e">
        <f t="shared" ca="1" si="136"/>
        <v>#N/A</v>
      </c>
      <c r="Y440" s="55" t="e">
        <f t="shared" ca="1" si="137"/>
        <v>#N/A</v>
      </c>
      <c r="Z440" s="55" t="e">
        <f t="shared" ca="1" si="138"/>
        <v>#N/A</v>
      </c>
      <c r="AB440" t="e">
        <f t="shared" ca="1" si="134"/>
        <v>#N/A</v>
      </c>
      <c r="AC440" t="e">
        <f t="shared" ca="1" si="127"/>
        <v>#N/A</v>
      </c>
      <c r="AD440" t="e">
        <f t="shared" ca="1" si="128"/>
        <v>#N/A</v>
      </c>
      <c r="AE440" t="e">
        <f t="shared" ca="1" si="129"/>
        <v>#N/A</v>
      </c>
      <c r="AF440" s="83" t="e">
        <f ca="1"/>
        <v>#N/A</v>
      </c>
      <c r="AG440" s="55" t="e">
        <f t="shared" ca="1" si="130"/>
        <v>#N/A</v>
      </c>
      <c r="AH440" s="55" t="e">
        <f t="shared" ca="1" si="131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9"/>
        <v>#N/A</v>
      </c>
      <c r="AL440" s="55" t="e">
        <f t="shared" ca="1" si="140"/>
        <v>#N/A</v>
      </c>
      <c r="AM440" s="55" t="e">
        <f t="shared" ca="1" si="141"/>
        <v>#N/A</v>
      </c>
    </row>
    <row r="441" spans="18:39">
      <c r="R441" s="55" t="e">
        <f ca="1"/>
        <v>#N/A</v>
      </c>
      <c r="S441" s="55" t="e">
        <f t="shared" ca="1" si="123"/>
        <v>#N/A</v>
      </c>
      <c r="T441" s="55" t="e">
        <f t="shared" ca="1" si="124"/>
        <v>#N/A</v>
      </c>
      <c r="U441" s="55" t="e">
        <f t="shared" ca="1" si="125"/>
        <v>#N/A</v>
      </c>
      <c r="V441" s="55" t="e">
        <f t="shared" ca="1" si="126"/>
        <v>#N/A</v>
      </c>
      <c r="W441" s="55" t="e">
        <f t="shared" ca="1" si="135"/>
        <v>#N/A</v>
      </c>
      <c r="X441" s="55" t="e">
        <f t="shared" ca="1" si="136"/>
        <v>#N/A</v>
      </c>
      <c r="Y441" s="55" t="e">
        <f t="shared" ca="1" si="137"/>
        <v>#N/A</v>
      </c>
      <c r="Z441" s="55" t="e">
        <f t="shared" ca="1" si="138"/>
        <v>#N/A</v>
      </c>
      <c r="AB441" t="e">
        <f t="shared" ca="1" si="134"/>
        <v>#N/A</v>
      </c>
      <c r="AC441" t="e">
        <f t="shared" ca="1" si="127"/>
        <v>#N/A</v>
      </c>
      <c r="AD441" t="e">
        <f t="shared" ca="1" si="128"/>
        <v>#N/A</v>
      </c>
      <c r="AE441" t="e">
        <f t="shared" ca="1" si="129"/>
        <v>#N/A</v>
      </c>
      <c r="AF441" s="83" t="e">
        <f ca="1"/>
        <v>#N/A</v>
      </c>
      <c r="AG441" s="55" t="e">
        <f t="shared" ca="1" si="130"/>
        <v>#N/A</v>
      </c>
      <c r="AH441" s="55" t="e">
        <f t="shared" ca="1" si="131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9"/>
        <v>#N/A</v>
      </c>
      <c r="AL441" s="55" t="e">
        <f t="shared" ca="1" si="140"/>
        <v>#N/A</v>
      </c>
      <c r="AM441" s="55" t="e">
        <f t="shared" ca="1" si="141"/>
        <v>#N/A</v>
      </c>
    </row>
    <row r="442" spans="18:39">
      <c r="R442" s="55" t="e">
        <f ca="1"/>
        <v>#N/A</v>
      </c>
      <c r="S442" s="55" t="e">
        <f t="shared" ca="1" si="123"/>
        <v>#N/A</v>
      </c>
      <c r="T442" s="55" t="e">
        <f t="shared" ca="1" si="124"/>
        <v>#N/A</v>
      </c>
      <c r="U442" s="55" t="e">
        <f t="shared" ca="1" si="125"/>
        <v>#N/A</v>
      </c>
      <c r="V442" s="55" t="e">
        <f t="shared" ca="1" si="126"/>
        <v>#N/A</v>
      </c>
      <c r="W442" s="55" t="e">
        <f t="shared" ca="1" si="135"/>
        <v>#N/A</v>
      </c>
      <c r="X442" s="55" t="e">
        <f t="shared" ca="1" si="136"/>
        <v>#N/A</v>
      </c>
      <c r="Y442" s="55" t="e">
        <f t="shared" ca="1" si="137"/>
        <v>#N/A</v>
      </c>
      <c r="Z442" s="55" t="e">
        <f t="shared" ca="1" si="138"/>
        <v>#N/A</v>
      </c>
      <c r="AB442" t="e">
        <f t="shared" ca="1" si="134"/>
        <v>#N/A</v>
      </c>
      <c r="AC442" t="e">
        <f t="shared" ca="1" si="127"/>
        <v>#N/A</v>
      </c>
      <c r="AD442" t="e">
        <f t="shared" ca="1" si="128"/>
        <v>#N/A</v>
      </c>
      <c r="AE442" t="e">
        <f t="shared" ca="1" si="129"/>
        <v>#N/A</v>
      </c>
      <c r="AF442" s="83" t="e">
        <f ca="1"/>
        <v>#N/A</v>
      </c>
      <c r="AG442" s="55" t="e">
        <f t="shared" ca="1" si="130"/>
        <v>#N/A</v>
      </c>
      <c r="AH442" s="55" t="e">
        <f t="shared" ca="1" si="131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9"/>
        <v>#N/A</v>
      </c>
      <c r="AL442" s="55" t="e">
        <f t="shared" ca="1" si="140"/>
        <v>#N/A</v>
      </c>
      <c r="AM442" s="55" t="e">
        <f t="shared" ca="1" si="141"/>
        <v>#N/A</v>
      </c>
    </row>
    <row r="443" spans="18:39">
      <c r="R443" s="55" t="e">
        <f ca="1"/>
        <v>#N/A</v>
      </c>
      <c r="S443" s="55" t="e">
        <f t="shared" ca="1" si="123"/>
        <v>#N/A</v>
      </c>
      <c r="T443" s="55" t="e">
        <f t="shared" ca="1" si="124"/>
        <v>#N/A</v>
      </c>
      <c r="U443" s="55" t="e">
        <f t="shared" ca="1" si="125"/>
        <v>#N/A</v>
      </c>
      <c r="V443" s="55" t="e">
        <f t="shared" ca="1" si="126"/>
        <v>#N/A</v>
      </c>
      <c r="W443" s="55" t="e">
        <f t="shared" ca="1" si="135"/>
        <v>#N/A</v>
      </c>
      <c r="X443" s="55" t="e">
        <f t="shared" ca="1" si="136"/>
        <v>#N/A</v>
      </c>
      <c r="Y443" s="55" t="e">
        <f t="shared" ca="1" si="137"/>
        <v>#N/A</v>
      </c>
      <c r="Z443" s="55" t="e">
        <f t="shared" ca="1" si="138"/>
        <v>#N/A</v>
      </c>
      <c r="AB443" t="e">
        <f t="shared" ca="1" si="134"/>
        <v>#N/A</v>
      </c>
      <c r="AC443" t="e">
        <f t="shared" ca="1" si="127"/>
        <v>#N/A</v>
      </c>
      <c r="AD443" t="e">
        <f t="shared" ca="1" si="128"/>
        <v>#N/A</v>
      </c>
      <c r="AE443" t="e">
        <f t="shared" ca="1" si="129"/>
        <v>#N/A</v>
      </c>
      <c r="AF443" s="83" t="e">
        <f ca="1"/>
        <v>#N/A</v>
      </c>
      <c r="AG443" s="55" t="e">
        <f t="shared" ca="1" si="130"/>
        <v>#N/A</v>
      </c>
      <c r="AH443" s="55" t="e">
        <f t="shared" ca="1" si="131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9"/>
        <v>#N/A</v>
      </c>
      <c r="AL443" s="55" t="e">
        <f t="shared" ca="1" si="140"/>
        <v>#N/A</v>
      </c>
      <c r="AM443" s="55" t="e">
        <f t="shared" ca="1" si="141"/>
        <v>#N/A</v>
      </c>
    </row>
    <row r="444" spans="18:39">
      <c r="R444" s="55" t="e">
        <f ca="1"/>
        <v>#N/A</v>
      </c>
      <c r="S444" s="55" t="e">
        <f t="shared" ca="1" si="123"/>
        <v>#N/A</v>
      </c>
      <c r="T444" s="55" t="e">
        <f t="shared" ca="1" si="124"/>
        <v>#N/A</v>
      </c>
      <c r="U444" s="55" t="e">
        <f t="shared" ca="1" si="125"/>
        <v>#N/A</v>
      </c>
      <c r="V444" s="55" t="e">
        <f t="shared" ca="1" si="126"/>
        <v>#N/A</v>
      </c>
      <c r="W444" s="55" t="e">
        <f t="shared" ca="1" si="135"/>
        <v>#N/A</v>
      </c>
      <c r="X444" s="55" t="e">
        <f t="shared" ca="1" si="136"/>
        <v>#N/A</v>
      </c>
      <c r="Y444" s="55" t="e">
        <f t="shared" ca="1" si="137"/>
        <v>#N/A</v>
      </c>
      <c r="Z444" s="55" t="e">
        <f t="shared" ca="1" si="138"/>
        <v>#N/A</v>
      </c>
      <c r="AB444" t="e">
        <f t="shared" ca="1" si="134"/>
        <v>#N/A</v>
      </c>
      <c r="AC444" t="e">
        <f t="shared" ca="1" si="127"/>
        <v>#N/A</v>
      </c>
      <c r="AD444" t="e">
        <f t="shared" ca="1" si="128"/>
        <v>#N/A</v>
      </c>
      <c r="AE444" t="e">
        <f t="shared" ca="1" si="129"/>
        <v>#N/A</v>
      </c>
      <c r="AF444" s="83" t="e">
        <f ca="1"/>
        <v>#N/A</v>
      </c>
      <c r="AG444" s="55" t="e">
        <f t="shared" ca="1" si="130"/>
        <v>#N/A</v>
      </c>
      <c r="AH444" s="55" t="e">
        <f t="shared" ca="1" si="131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9"/>
        <v>#N/A</v>
      </c>
      <c r="AL444" s="55" t="e">
        <f t="shared" ca="1" si="140"/>
        <v>#N/A</v>
      </c>
      <c r="AM444" s="55" t="e">
        <f t="shared" ca="1" si="141"/>
        <v>#N/A</v>
      </c>
    </row>
    <row r="445" spans="18:39">
      <c r="R445" s="55" t="e">
        <f ca="1"/>
        <v>#N/A</v>
      </c>
      <c r="S445" s="55" t="e">
        <f t="shared" ca="1" si="123"/>
        <v>#N/A</v>
      </c>
      <c r="T445" s="55" t="e">
        <f t="shared" ca="1" si="124"/>
        <v>#N/A</v>
      </c>
      <c r="U445" s="55" t="e">
        <f t="shared" ca="1" si="125"/>
        <v>#N/A</v>
      </c>
      <c r="V445" s="55" t="e">
        <f t="shared" ca="1" si="126"/>
        <v>#N/A</v>
      </c>
      <c r="W445" s="55" t="e">
        <f t="shared" ca="1" si="135"/>
        <v>#N/A</v>
      </c>
      <c r="X445" s="55" t="e">
        <f t="shared" ca="1" si="136"/>
        <v>#N/A</v>
      </c>
      <c r="Y445" s="55" t="e">
        <f t="shared" ca="1" si="137"/>
        <v>#N/A</v>
      </c>
      <c r="Z445" s="55" t="e">
        <f t="shared" ca="1" si="138"/>
        <v>#N/A</v>
      </c>
      <c r="AB445" t="e">
        <f t="shared" ca="1" si="134"/>
        <v>#N/A</v>
      </c>
      <c r="AC445" t="e">
        <f t="shared" ca="1" si="127"/>
        <v>#N/A</v>
      </c>
      <c r="AD445" t="e">
        <f t="shared" ca="1" si="128"/>
        <v>#N/A</v>
      </c>
      <c r="AE445" t="e">
        <f t="shared" ca="1" si="129"/>
        <v>#N/A</v>
      </c>
      <c r="AF445" s="83" t="e">
        <f ca="1"/>
        <v>#N/A</v>
      </c>
      <c r="AG445" s="55" t="e">
        <f t="shared" ca="1" si="130"/>
        <v>#N/A</v>
      </c>
      <c r="AH445" s="55" t="e">
        <f t="shared" ca="1" si="131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9"/>
        <v>#N/A</v>
      </c>
      <c r="AL445" s="55" t="e">
        <f t="shared" ca="1" si="140"/>
        <v>#N/A</v>
      </c>
      <c r="AM445" s="55" t="e">
        <f t="shared" ca="1" si="141"/>
        <v>#N/A</v>
      </c>
    </row>
    <row r="446" spans="18:39">
      <c r="R446" s="55" t="e">
        <f ca="1"/>
        <v>#N/A</v>
      </c>
      <c r="S446" s="55" t="e">
        <f t="shared" ca="1" si="123"/>
        <v>#N/A</v>
      </c>
      <c r="T446" s="55" t="e">
        <f t="shared" ca="1" si="124"/>
        <v>#N/A</v>
      </c>
      <c r="U446" s="55" t="e">
        <f t="shared" ca="1" si="125"/>
        <v>#N/A</v>
      </c>
      <c r="V446" s="55" t="e">
        <f t="shared" ca="1" si="126"/>
        <v>#N/A</v>
      </c>
      <c r="W446" s="55" t="e">
        <f t="shared" ca="1" si="135"/>
        <v>#N/A</v>
      </c>
      <c r="X446" s="55" t="e">
        <f t="shared" ca="1" si="136"/>
        <v>#N/A</v>
      </c>
      <c r="Y446" s="55" t="e">
        <f t="shared" ca="1" si="137"/>
        <v>#N/A</v>
      </c>
      <c r="Z446" s="55" t="e">
        <f t="shared" ca="1" si="138"/>
        <v>#N/A</v>
      </c>
      <c r="AB446" t="e">
        <f t="shared" ca="1" si="134"/>
        <v>#N/A</v>
      </c>
      <c r="AC446" t="e">
        <f t="shared" ca="1" si="127"/>
        <v>#N/A</v>
      </c>
      <c r="AD446" t="e">
        <f t="shared" ca="1" si="128"/>
        <v>#N/A</v>
      </c>
      <c r="AE446" t="e">
        <f t="shared" ca="1" si="129"/>
        <v>#N/A</v>
      </c>
      <c r="AF446" s="83" t="e">
        <f ca="1"/>
        <v>#N/A</v>
      </c>
      <c r="AG446" s="55" t="e">
        <f t="shared" ca="1" si="130"/>
        <v>#N/A</v>
      </c>
      <c r="AH446" s="55" t="e">
        <f t="shared" ca="1" si="131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9"/>
        <v>#N/A</v>
      </c>
      <c r="AL446" s="55" t="e">
        <f t="shared" ca="1" si="140"/>
        <v>#N/A</v>
      </c>
      <c r="AM446" s="55" t="e">
        <f t="shared" ca="1" si="141"/>
        <v>#N/A</v>
      </c>
    </row>
    <row r="447" spans="18:39">
      <c r="R447" s="55" t="e">
        <f ca="1"/>
        <v>#N/A</v>
      </c>
      <c r="S447" s="55" t="e">
        <f t="shared" ca="1" si="123"/>
        <v>#N/A</v>
      </c>
      <c r="T447" s="55" t="e">
        <f t="shared" ca="1" si="124"/>
        <v>#N/A</v>
      </c>
      <c r="U447" s="55" t="e">
        <f t="shared" ca="1" si="125"/>
        <v>#N/A</v>
      </c>
      <c r="V447" s="55" t="e">
        <f t="shared" ca="1" si="126"/>
        <v>#N/A</v>
      </c>
      <c r="W447" s="55" t="e">
        <f t="shared" ca="1" si="135"/>
        <v>#N/A</v>
      </c>
      <c r="X447" s="55" t="e">
        <f t="shared" ca="1" si="136"/>
        <v>#N/A</v>
      </c>
      <c r="Y447" s="55" t="e">
        <f t="shared" ca="1" si="137"/>
        <v>#N/A</v>
      </c>
      <c r="Z447" s="55" t="e">
        <f t="shared" ca="1" si="138"/>
        <v>#N/A</v>
      </c>
      <c r="AB447" t="e">
        <f t="shared" ca="1" si="134"/>
        <v>#N/A</v>
      </c>
      <c r="AC447" t="e">
        <f t="shared" ca="1" si="127"/>
        <v>#N/A</v>
      </c>
      <c r="AD447" t="e">
        <f t="shared" ca="1" si="128"/>
        <v>#N/A</v>
      </c>
      <c r="AE447" t="e">
        <f t="shared" ca="1" si="129"/>
        <v>#N/A</v>
      </c>
      <c r="AF447" s="83" t="e">
        <f ca="1"/>
        <v>#N/A</v>
      </c>
      <c r="AG447" s="55" t="e">
        <f t="shared" ca="1" si="130"/>
        <v>#N/A</v>
      </c>
      <c r="AH447" s="55" t="e">
        <f t="shared" ca="1" si="131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9"/>
        <v>#N/A</v>
      </c>
      <c r="AL447" s="55" t="e">
        <f t="shared" ca="1" si="140"/>
        <v>#N/A</v>
      </c>
      <c r="AM447" s="55" t="e">
        <f t="shared" ca="1" si="141"/>
        <v>#N/A</v>
      </c>
    </row>
    <row r="448" spans="18:39">
      <c r="R448" s="55" t="e">
        <f ca="1"/>
        <v>#N/A</v>
      </c>
      <c r="S448" s="55" t="e">
        <f t="shared" ca="1" si="123"/>
        <v>#N/A</v>
      </c>
      <c r="T448" s="55" t="e">
        <f t="shared" ca="1" si="124"/>
        <v>#N/A</v>
      </c>
      <c r="U448" s="55" t="e">
        <f t="shared" ca="1" si="125"/>
        <v>#N/A</v>
      </c>
      <c r="V448" s="55" t="e">
        <f t="shared" ca="1" si="126"/>
        <v>#N/A</v>
      </c>
      <c r="W448" s="55" t="e">
        <f t="shared" ca="1" si="135"/>
        <v>#N/A</v>
      </c>
      <c r="X448" s="55" t="e">
        <f t="shared" ca="1" si="136"/>
        <v>#N/A</v>
      </c>
      <c r="Y448" s="55" t="e">
        <f t="shared" ca="1" si="137"/>
        <v>#N/A</v>
      </c>
      <c r="Z448" s="55" t="e">
        <f t="shared" ca="1" si="138"/>
        <v>#N/A</v>
      </c>
      <c r="AB448" t="e">
        <f t="shared" ca="1" si="134"/>
        <v>#N/A</v>
      </c>
      <c r="AC448" t="e">
        <f t="shared" ca="1" si="127"/>
        <v>#N/A</v>
      </c>
      <c r="AD448" t="e">
        <f t="shared" ca="1" si="128"/>
        <v>#N/A</v>
      </c>
      <c r="AE448" t="e">
        <f t="shared" ca="1" si="129"/>
        <v>#N/A</v>
      </c>
      <c r="AF448" s="83" t="e">
        <f ca="1"/>
        <v>#N/A</v>
      </c>
      <c r="AG448" s="55" t="e">
        <f t="shared" ca="1" si="130"/>
        <v>#N/A</v>
      </c>
      <c r="AH448" s="55" t="e">
        <f t="shared" ca="1" si="131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9"/>
        <v>#N/A</v>
      </c>
      <c r="AL448" s="55" t="e">
        <f t="shared" ca="1" si="140"/>
        <v>#N/A</v>
      </c>
      <c r="AM448" s="55" t="e">
        <f t="shared" ca="1" si="141"/>
        <v>#N/A</v>
      </c>
    </row>
    <row r="449" spans="18:39">
      <c r="R449" s="55" t="e">
        <f ca="1"/>
        <v>#N/A</v>
      </c>
      <c r="S449" s="55" t="e">
        <f t="shared" ca="1" si="123"/>
        <v>#N/A</v>
      </c>
      <c r="T449" s="55" t="e">
        <f t="shared" ca="1" si="124"/>
        <v>#N/A</v>
      </c>
      <c r="U449" s="55" t="e">
        <f t="shared" ca="1" si="125"/>
        <v>#N/A</v>
      </c>
      <c r="V449" s="55" t="e">
        <f t="shared" ca="1" si="126"/>
        <v>#N/A</v>
      </c>
      <c r="W449" s="55" t="e">
        <f t="shared" ca="1" si="135"/>
        <v>#N/A</v>
      </c>
      <c r="X449" s="55" t="e">
        <f t="shared" ca="1" si="136"/>
        <v>#N/A</v>
      </c>
      <c r="Y449" s="55" t="e">
        <f t="shared" ca="1" si="137"/>
        <v>#N/A</v>
      </c>
      <c r="Z449" s="55" t="e">
        <f t="shared" ca="1" si="138"/>
        <v>#N/A</v>
      </c>
      <c r="AB449" t="e">
        <f t="shared" ca="1" si="134"/>
        <v>#N/A</v>
      </c>
      <c r="AC449" t="e">
        <f t="shared" ca="1" si="127"/>
        <v>#N/A</v>
      </c>
      <c r="AD449" t="e">
        <f t="shared" ca="1" si="128"/>
        <v>#N/A</v>
      </c>
      <c r="AE449" t="e">
        <f t="shared" ca="1" si="129"/>
        <v>#N/A</v>
      </c>
      <c r="AF449" s="83" t="e">
        <f ca="1"/>
        <v>#N/A</v>
      </c>
      <c r="AG449" s="55" t="e">
        <f t="shared" ca="1" si="130"/>
        <v>#N/A</v>
      </c>
      <c r="AH449" s="55" t="e">
        <f t="shared" ca="1" si="131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9"/>
        <v>#N/A</v>
      </c>
      <c r="AL449" s="55" t="e">
        <f t="shared" ca="1" si="140"/>
        <v>#N/A</v>
      </c>
      <c r="AM449" s="55" t="e">
        <f t="shared" ca="1" si="141"/>
        <v>#N/A</v>
      </c>
    </row>
    <row r="450" spans="18:39">
      <c r="R450" s="55" t="e">
        <f ca="1"/>
        <v>#N/A</v>
      </c>
      <c r="S450" s="55" t="e">
        <f t="shared" ca="1" si="123"/>
        <v>#N/A</v>
      </c>
      <c r="T450" s="55" t="e">
        <f t="shared" ca="1" si="124"/>
        <v>#N/A</v>
      </c>
      <c r="U450" s="55" t="e">
        <f t="shared" ca="1" si="125"/>
        <v>#N/A</v>
      </c>
      <c r="V450" s="55" t="e">
        <f t="shared" ca="1" si="126"/>
        <v>#N/A</v>
      </c>
      <c r="W450" s="55" t="e">
        <f t="shared" ca="1" si="135"/>
        <v>#N/A</v>
      </c>
      <c r="X450" s="55" t="e">
        <f t="shared" ca="1" si="136"/>
        <v>#N/A</v>
      </c>
      <c r="Y450" s="55" t="e">
        <f t="shared" ca="1" si="137"/>
        <v>#N/A</v>
      </c>
      <c r="Z450" s="55" t="e">
        <f t="shared" ca="1" si="138"/>
        <v>#N/A</v>
      </c>
      <c r="AB450" t="e">
        <f t="shared" ca="1" si="134"/>
        <v>#N/A</v>
      </c>
      <c r="AC450" t="e">
        <f t="shared" ca="1" si="127"/>
        <v>#N/A</v>
      </c>
      <c r="AD450" t="e">
        <f t="shared" ca="1" si="128"/>
        <v>#N/A</v>
      </c>
      <c r="AE450" t="e">
        <f t="shared" ca="1" si="129"/>
        <v>#N/A</v>
      </c>
      <c r="AF450" s="83" t="e">
        <f ca="1"/>
        <v>#N/A</v>
      </c>
      <c r="AG450" s="55" t="e">
        <f t="shared" ca="1" si="130"/>
        <v>#N/A</v>
      </c>
      <c r="AH450" s="55" t="e">
        <f t="shared" ca="1" si="131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9"/>
        <v>#N/A</v>
      </c>
      <c r="AL450" s="55" t="e">
        <f t="shared" ca="1" si="140"/>
        <v>#N/A</v>
      </c>
      <c r="AM450" s="55" t="e">
        <f t="shared" ca="1" si="141"/>
        <v>#N/A</v>
      </c>
    </row>
    <row r="451" spans="18:39">
      <c r="R451" s="55" t="e">
        <f ca="1"/>
        <v>#N/A</v>
      </c>
      <c r="S451" s="55" t="e">
        <f t="shared" ca="1" si="123"/>
        <v>#N/A</v>
      </c>
      <c r="T451" s="55" t="e">
        <f t="shared" ca="1" si="124"/>
        <v>#N/A</v>
      </c>
      <c r="U451" s="55" t="e">
        <f t="shared" ca="1" si="125"/>
        <v>#N/A</v>
      </c>
      <c r="V451" s="55" t="e">
        <f t="shared" ca="1" si="126"/>
        <v>#N/A</v>
      </c>
      <c r="W451" s="55" t="e">
        <f t="shared" ca="1" si="135"/>
        <v>#N/A</v>
      </c>
      <c r="X451" s="55" t="e">
        <f t="shared" ca="1" si="136"/>
        <v>#N/A</v>
      </c>
      <c r="Y451" s="55" t="e">
        <f t="shared" ca="1" si="137"/>
        <v>#N/A</v>
      </c>
      <c r="Z451" s="55" t="e">
        <f t="shared" ca="1" si="138"/>
        <v>#N/A</v>
      </c>
      <c r="AB451" t="e">
        <f t="shared" ca="1" si="134"/>
        <v>#N/A</v>
      </c>
      <c r="AC451" t="e">
        <f t="shared" ca="1" si="127"/>
        <v>#N/A</v>
      </c>
      <c r="AD451" t="e">
        <f t="shared" ca="1" si="128"/>
        <v>#N/A</v>
      </c>
      <c r="AE451" t="e">
        <f t="shared" ca="1" si="129"/>
        <v>#N/A</v>
      </c>
      <c r="AF451" s="83" t="e">
        <f ca="1"/>
        <v>#N/A</v>
      </c>
      <c r="AG451" s="55" t="e">
        <f t="shared" ca="1" si="130"/>
        <v>#N/A</v>
      </c>
      <c r="AH451" s="55" t="e">
        <f t="shared" ca="1" si="131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9"/>
        <v>#N/A</v>
      </c>
      <c r="AL451" s="55" t="e">
        <f t="shared" ca="1" si="140"/>
        <v>#N/A</v>
      </c>
      <c r="AM451" s="55" t="e">
        <f t="shared" ca="1" si="141"/>
        <v>#N/A</v>
      </c>
    </row>
    <row r="452" spans="18:39">
      <c r="R452" s="55" t="e">
        <f ca="1"/>
        <v>#N/A</v>
      </c>
      <c r="S452" s="55" t="e">
        <f t="shared" ca="1" si="123"/>
        <v>#N/A</v>
      </c>
      <c r="T452" s="55" t="e">
        <f t="shared" ca="1" si="124"/>
        <v>#N/A</v>
      </c>
      <c r="U452" s="55" t="e">
        <f t="shared" ca="1" si="125"/>
        <v>#N/A</v>
      </c>
      <c r="V452" s="55" t="e">
        <f t="shared" ca="1" si="126"/>
        <v>#N/A</v>
      </c>
      <c r="W452" s="55" t="e">
        <f t="shared" ca="1" si="135"/>
        <v>#N/A</v>
      </c>
      <c r="X452" s="55" t="e">
        <f t="shared" ca="1" si="136"/>
        <v>#N/A</v>
      </c>
      <c r="Y452" s="55" t="e">
        <f t="shared" ca="1" si="137"/>
        <v>#N/A</v>
      </c>
      <c r="Z452" s="55" t="e">
        <f t="shared" ca="1" si="138"/>
        <v>#N/A</v>
      </c>
      <c r="AB452" t="e">
        <f t="shared" ca="1" si="134"/>
        <v>#N/A</v>
      </c>
      <c r="AC452" t="e">
        <f t="shared" ca="1" si="127"/>
        <v>#N/A</v>
      </c>
      <c r="AD452" t="e">
        <f t="shared" ca="1" si="128"/>
        <v>#N/A</v>
      </c>
      <c r="AE452" t="e">
        <f t="shared" ca="1" si="129"/>
        <v>#N/A</v>
      </c>
      <c r="AF452" s="83" t="e">
        <f ca="1"/>
        <v>#N/A</v>
      </c>
      <c r="AG452" s="55" t="e">
        <f t="shared" ca="1" si="130"/>
        <v>#N/A</v>
      </c>
      <c r="AH452" s="55" t="e">
        <f t="shared" ca="1" si="131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9"/>
        <v>#N/A</v>
      </c>
      <c r="AL452" s="55" t="e">
        <f t="shared" ca="1" si="140"/>
        <v>#N/A</v>
      </c>
      <c r="AM452" s="55" t="e">
        <f t="shared" ca="1" si="141"/>
        <v>#N/A</v>
      </c>
    </row>
    <row r="453" spans="18:39">
      <c r="R453" s="55" t="e">
        <f ca="1"/>
        <v>#N/A</v>
      </c>
      <c r="S453" s="55" t="e">
        <f t="shared" ca="1" si="123"/>
        <v>#N/A</v>
      </c>
      <c r="T453" s="55" t="e">
        <f t="shared" ca="1" si="124"/>
        <v>#N/A</v>
      </c>
      <c r="U453" s="55" t="e">
        <f t="shared" ca="1" si="125"/>
        <v>#N/A</v>
      </c>
      <c r="V453" s="55" t="e">
        <f t="shared" ca="1" si="126"/>
        <v>#N/A</v>
      </c>
      <c r="W453" s="55" t="e">
        <f t="shared" ca="1" si="135"/>
        <v>#N/A</v>
      </c>
      <c r="X453" s="55" t="e">
        <f t="shared" ca="1" si="136"/>
        <v>#N/A</v>
      </c>
      <c r="Y453" s="55" t="e">
        <f t="shared" ca="1" si="137"/>
        <v>#N/A</v>
      </c>
      <c r="Z453" s="55" t="e">
        <f t="shared" ca="1" si="138"/>
        <v>#N/A</v>
      </c>
      <c r="AB453" t="e">
        <f t="shared" ca="1" si="134"/>
        <v>#N/A</v>
      </c>
      <c r="AC453" t="e">
        <f t="shared" ca="1" si="127"/>
        <v>#N/A</v>
      </c>
      <c r="AD453" t="e">
        <f t="shared" ca="1" si="128"/>
        <v>#N/A</v>
      </c>
      <c r="AE453" t="e">
        <f t="shared" ca="1" si="129"/>
        <v>#N/A</v>
      </c>
      <c r="AF453" s="83" t="e">
        <f ca="1"/>
        <v>#N/A</v>
      </c>
      <c r="AG453" s="55" t="e">
        <f t="shared" ca="1" si="130"/>
        <v>#N/A</v>
      </c>
      <c r="AH453" s="55" t="e">
        <f t="shared" ca="1" si="131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9"/>
        <v>#N/A</v>
      </c>
      <c r="AL453" s="55" t="e">
        <f t="shared" ca="1" si="140"/>
        <v>#N/A</v>
      </c>
      <c r="AM453" s="55" t="e">
        <f t="shared" ca="1" si="141"/>
        <v>#N/A</v>
      </c>
    </row>
    <row r="454" spans="18:39">
      <c r="R454" s="55" t="e">
        <f ca="1"/>
        <v>#N/A</v>
      </c>
      <c r="S454" s="55" t="e">
        <f t="shared" ca="1" si="123"/>
        <v>#N/A</v>
      </c>
      <c r="T454" s="55" t="e">
        <f t="shared" ca="1" si="124"/>
        <v>#N/A</v>
      </c>
      <c r="U454" s="55" t="e">
        <f t="shared" ca="1" si="125"/>
        <v>#N/A</v>
      </c>
      <c r="V454" s="55" t="e">
        <f t="shared" ca="1" si="126"/>
        <v>#N/A</v>
      </c>
      <c r="W454" s="55" t="e">
        <f t="shared" ca="1" si="135"/>
        <v>#N/A</v>
      </c>
      <c r="X454" s="55" t="e">
        <f t="shared" ca="1" si="136"/>
        <v>#N/A</v>
      </c>
      <c r="Y454" s="55" t="e">
        <f t="shared" ca="1" si="137"/>
        <v>#N/A</v>
      </c>
      <c r="Z454" s="55" t="e">
        <f t="shared" ca="1" si="138"/>
        <v>#N/A</v>
      </c>
      <c r="AB454" t="e">
        <f t="shared" ca="1" si="134"/>
        <v>#N/A</v>
      </c>
      <c r="AC454" t="e">
        <f t="shared" ca="1" si="127"/>
        <v>#N/A</v>
      </c>
      <c r="AD454" t="e">
        <f t="shared" ca="1" si="128"/>
        <v>#N/A</v>
      </c>
      <c r="AE454" t="e">
        <f t="shared" ca="1" si="129"/>
        <v>#N/A</v>
      </c>
      <c r="AF454" s="83" t="e">
        <f ca="1"/>
        <v>#N/A</v>
      </c>
      <c r="AG454" s="55" t="e">
        <f t="shared" ca="1" si="130"/>
        <v>#N/A</v>
      </c>
      <c r="AH454" s="55" t="e">
        <f t="shared" ca="1" si="131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9"/>
        <v>#N/A</v>
      </c>
      <c r="AL454" s="55" t="e">
        <f t="shared" ca="1" si="140"/>
        <v>#N/A</v>
      </c>
      <c r="AM454" s="55" t="e">
        <f t="shared" ca="1" si="141"/>
        <v>#N/A</v>
      </c>
    </row>
    <row r="455" spans="18:39">
      <c r="R455" s="55" t="e">
        <f ca="1"/>
        <v>#N/A</v>
      </c>
      <c r="S455" s="55" t="e">
        <f t="shared" ca="1" si="123"/>
        <v>#N/A</v>
      </c>
      <c r="T455" s="55" t="e">
        <f t="shared" ca="1" si="124"/>
        <v>#N/A</v>
      </c>
      <c r="U455" s="55" t="e">
        <f t="shared" ca="1" si="125"/>
        <v>#N/A</v>
      </c>
      <c r="V455" s="55" t="e">
        <f t="shared" ca="1" si="126"/>
        <v>#N/A</v>
      </c>
      <c r="W455" s="55" t="e">
        <f t="shared" ca="1" si="135"/>
        <v>#N/A</v>
      </c>
      <c r="X455" s="55" t="e">
        <f t="shared" ca="1" si="136"/>
        <v>#N/A</v>
      </c>
      <c r="Y455" s="55" t="e">
        <f t="shared" ca="1" si="137"/>
        <v>#N/A</v>
      </c>
      <c r="Z455" s="55" t="e">
        <f t="shared" ca="1" si="138"/>
        <v>#N/A</v>
      </c>
      <c r="AB455" t="e">
        <f t="shared" ca="1" si="134"/>
        <v>#N/A</v>
      </c>
      <c r="AC455" t="e">
        <f t="shared" ca="1" si="127"/>
        <v>#N/A</v>
      </c>
      <c r="AD455" t="e">
        <f t="shared" ca="1" si="128"/>
        <v>#N/A</v>
      </c>
      <c r="AE455" t="e">
        <f t="shared" ca="1" si="129"/>
        <v>#N/A</v>
      </c>
      <c r="AF455" s="83" t="e">
        <f ca="1"/>
        <v>#N/A</v>
      </c>
      <c r="AG455" s="55" t="e">
        <f t="shared" ca="1" si="130"/>
        <v>#N/A</v>
      </c>
      <c r="AH455" s="55" t="e">
        <f t="shared" ca="1" si="131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9"/>
        <v>#N/A</v>
      </c>
      <c r="AL455" s="55" t="e">
        <f t="shared" ca="1" si="140"/>
        <v>#N/A</v>
      </c>
      <c r="AM455" s="55" t="e">
        <f t="shared" ca="1" si="141"/>
        <v>#N/A</v>
      </c>
    </row>
    <row r="456" spans="18:39">
      <c r="R456" s="55" t="e">
        <f ca="1"/>
        <v>#N/A</v>
      </c>
      <c r="S456" s="55" t="e">
        <f t="shared" ca="1" si="123"/>
        <v>#N/A</v>
      </c>
      <c r="T456" s="55" t="e">
        <f t="shared" ca="1" si="124"/>
        <v>#N/A</v>
      </c>
      <c r="U456" s="55" t="e">
        <f t="shared" ca="1" si="125"/>
        <v>#N/A</v>
      </c>
      <c r="V456" s="55" t="e">
        <f t="shared" ca="1" si="126"/>
        <v>#N/A</v>
      </c>
      <c r="W456" s="55" t="e">
        <f t="shared" ca="1" si="135"/>
        <v>#N/A</v>
      </c>
      <c r="X456" s="55" t="e">
        <f t="shared" ca="1" si="136"/>
        <v>#N/A</v>
      </c>
      <c r="Y456" s="55" t="e">
        <f t="shared" ca="1" si="137"/>
        <v>#N/A</v>
      </c>
      <c r="Z456" s="55" t="e">
        <f t="shared" ca="1" si="138"/>
        <v>#N/A</v>
      </c>
      <c r="AB456" t="e">
        <f t="shared" ca="1" si="134"/>
        <v>#N/A</v>
      </c>
      <c r="AC456" t="e">
        <f t="shared" ca="1" si="127"/>
        <v>#N/A</v>
      </c>
      <c r="AD456" t="e">
        <f t="shared" ca="1" si="128"/>
        <v>#N/A</v>
      </c>
      <c r="AE456" t="e">
        <f t="shared" ca="1" si="129"/>
        <v>#N/A</v>
      </c>
      <c r="AF456" s="83" t="e">
        <f ca="1"/>
        <v>#N/A</v>
      </c>
      <c r="AG456" s="55" t="e">
        <f t="shared" ca="1" si="130"/>
        <v>#N/A</v>
      </c>
      <c r="AH456" s="55" t="e">
        <f t="shared" ca="1" si="131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9"/>
        <v>#N/A</v>
      </c>
      <c r="AL456" s="55" t="e">
        <f t="shared" ca="1" si="140"/>
        <v>#N/A</v>
      </c>
      <c r="AM456" s="55" t="e">
        <f t="shared" ca="1" si="141"/>
        <v>#N/A</v>
      </c>
    </row>
    <row r="457" spans="18:39">
      <c r="R457" s="55" t="e">
        <f ca="1"/>
        <v>#N/A</v>
      </c>
      <c r="S457" s="55" t="e">
        <f t="shared" ca="1" si="123"/>
        <v>#N/A</v>
      </c>
      <c r="T457" s="55" t="e">
        <f t="shared" ca="1" si="124"/>
        <v>#N/A</v>
      </c>
      <c r="U457" s="55" t="e">
        <f t="shared" ca="1" si="125"/>
        <v>#N/A</v>
      </c>
      <c r="V457" s="55" t="e">
        <f t="shared" ca="1" si="126"/>
        <v>#N/A</v>
      </c>
      <c r="W457" s="55" t="e">
        <f t="shared" ca="1" si="135"/>
        <v>#N/A</v>
      </c>
      <c r="X457" s="55" t="e">
        <f t="shared" ca="1" si="136"/>
        <v>#N/A</v>
      </c>
      <c r="Y457" s="55" t="e">
        <f t="shared" ca="1" si="137"/>
        <v>#N/A</v>
      </c>
      <c r="Z457" s="55" t="e">
        <f t="shared" ca="1" si="138"/>
        <v>#N/A</v>
      </c>
      <c r="AB457" t="e">
        <f t="shared" ca="1" si="134"/>
        <v>#N/A</v>
      </c>
      <c r="AC457" t="e">
        <f t="shared" ca="1" si="127"/>
        <v>#N/A</v>
      </c>
      <c r="AD457" t="e">
        <f t="shared" ca="1" si="128"/>
        <v>#N/A</v>
      </c>
      <c r="AE457" t="e">
        <f t="shared" ca="1" si="129"/>
        <v>#N/A</v>
      </c>
      <c r="AF457" s="83" t="e">
        <f ca="1"/>
        <v>#N/A</v>
      </c>
      <c r="AG457" s="55" t="e">
        <f t="shared" ca="1" si="130"/>
        <v>#N/A</v>
      </c>
      <c r="AH457" s="55" t="e">
        <f t="shared" ca="1" si="131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9"/>
        <v>#N/A</v>
      </c>
      <c r="AL457" s="55" t="e">
        <f t="shared" ca="1" si="140"/>
        <v>#N/A</v>
      </c>
      <c r="AM457" s="55" t="e">
        <f t="shared" ca="1" si="141"/>
        <v>#N/A</v>
      </c>
    </row>
    <row r="458" spans="18:39">
      <c r="R458" s="55" t="e">
        <f ca="1"/>
        <v>#N/A</v>
      </c>
      <c r="S458" s="55" t="e">
        <f t="shared" ca="1" si="123"/>
        <v>#N/A</v>
      </c>
      <c r="T458" s="55" t="e">
        <f t="shared" ca="1" si="124"/>
        <v>#N/A</v>
      </c>
      <c r="U458" s="55" t="e">
        <f t="shared" ca="1" si="125"/>
        <v>#N/A</v>
      </c>
      <c r="V458" s="55" t="e">
        <f t="shared" ca="1" si="126"/>
        <v>#N/A</v>
      </c>
      <c r="W458" s="55" t="e">
        <f t="shared" ca="1" si="135"/>
        <v>#N/A</v>
      </c>
      <c r="X458" s="55" t="e">
        <f t="shared" ca="1" si="136"/>
        <v>#N/A</v>
      </c>
      <c r="Y458" s="55" t="e">
        <f t="shared" ca="1" si="137"/>
        <v>#N/A</v>
      </c>
      <c r="Z458" s="55" t="e">
        <f t="shared" ca="1" si="138"/>
        <v>#N/A</v>
      </c>
      <c r="AB458" t="e">
        <f t="shared" ca="1" si="134"/>
        <v>#N/A</v>
      </c>
      <c r="AC458" t="e">
        <f t="shared" ca="1" si="127"/>
        <v>#N/A</v>
      </c>
      <c r="AD458" t="e">
        <f t="shared" ca="1" si="128"/>
        <v>#N/A</v>
      </c>
      <c r="AE458" t="e">
        <f t="shared" ca="1" si="129"/>
        <v>#N/A</v>
      </c>
      <c r="AF458" s="83" t="e">
        <f ca="1"/>
        <v>#N/A</v>
      </c>
      <c r="AG458" s="55" t="e">
        <f t="shared" ca="1" si="130"/>
        <v>#N/A</v>
      </c>
      <c r="AH458" s="55" t="e">
        <f t="shared" ca="1" si="131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9"/>
        <v>#N/A</v>
      </c>
      <c r="AL458" s="55" t="e">
        <f t="shared" ca="1" si="140"/>
        <v>#N/A</v>
      </c>
      <c r="AM458" s="55" t="e">
        <f t="shared" ca="1" si="141"/>
        <v>#N/A</v>
      </c>
    </row>
    <row r="459" spans="18:39">
      <c r="R459" s="55" t="e">
        <f ca="1"/>
        <v>#N/A</v>
      </c>
      <c r="S459" s="55" t="e">
        <f t="shared" ca="1" si="123"/>
        <v>#N/A</v>
      </c>
      <c r="T459" s="55" t="e">
        <f t="shared" ca="1" si="124"/>
        <v>#N/A</v>
      </c>
      <c r="U459" s="55" t="e">
        <f t="shared" ca="1" si="125"/>
        <v>#N/A</v>
      </c>
      <c r="V459" s="55" t="e">
        <f t="shared" ca="1" si="126"/>
        <v>#N/A</v>
      </c>
      <c r="W459" s="55" t="e">
        <f t="shared" ca="1" si="135"/>
        <v>#N/A</v>
      </c>
      <c r="X459" s="55" t="e">
        <f t="shared" ca="1" si="136"/>
        <v>#N/A</v>
      </c>
      <c r="Y459" s="55" t="e">
        <f t="shared" ca="1" si="137"/>
        <v>#N/A</v>
      </c>
      <c r="Z459" s="55" t="e">
        <f t="shared" ca="1" si="138"/>
        <v>#N/A</v>
      </c>
      <c r="AB459" t="e">
        <f t="shared" ca="1" si="134"/>
        <v>#N/A</v>
      </c>
      <c r="AC459" t="e">
        <f t="shared" ca="1" si="127"/>
        <v>#N/A</v>
      </c>
      <c r="AD459" t="e">
        <f t="shared" ca="1" si="128"/>
        <v>#N/A</v>
      </c>
      <c r="AE459" t="e">
        <f t="shared" ca="1" si="129"/>
        <v>#N/A</v>
      </c>
      <c r="AF459" s="83" t="e">
        <f ca="1"/>
        <v>#N/A</v>
      </c>
      <c r="AG459" s="55" t="e">
        <f t="shared" ca="1" si="130"/>
        <v>#N/A</v>
      </c>
      <c r="AH459" s="55" t="e">
        <f t="shared" ca="1" si="131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9"/>
        <v>#N/A</v>
      </c>
      <c r="AL459" s="55" t="e">
        <f t="shared" ca="1" si="140"/>
        <v>#N/A</v>
      </c>
      <c r="AM459" s="55" t="e">
        <f t="shared" ca="1" si="141"/>
        <v>#N/A</v>
      </c>
    </row>
    <row r="460" spans="18:39">
      <c r="R460" s="55" t="e">
        <f ca="1"/>
        <v>#N/A</v>
      </c>
      <c r="S460" s="55" t="e">
        <f t="shared" ref="S460:S523" ca="1" si="142">IF(R460&gt;1,R460,"")</f>
        <v>#N/A</v>
      </c>
      <c r="T460" s="55" t="e">
        <f t="shared" ref="T460:T523" ca="1" si="143">VLOOKUP(S460,ModelOutputs,2,FALSE)</f>
        <v>#N/A</v>
      </c>
      <c r="U460" s="55" t="e">
        <f t="shared" ref="U460:U523" ca="1" si="144">VLOOKUP(S460,ModelOutputs,7,FALSE)</f>
        <v>#N/A</v>
      </c>
      <c r="V460" s="55" t="e">
        <f t="shared" ref="V460:V523" ca="1" si="145">VLOOKUP(S460,ModelOutputs,6,FALSE)</f>
        <v>#N/A</v>
      </c>
      <c r="W460" s="55" t="e">
        <f t="shared" ca="1" si="135"/>
        <v>#N/A</v>
      </c>
      <c r="X460" s="55" t="e">
        <f t="shared" ca="1" si="136"/>
        <v>#N/A</v>
      </c>
      <c r="Y460" s="55" t="e">
        <f t="shared" ca="1" si="137"/>
        <v>#N/A</v>
      </c>
      <c r="Z460" s="55" t="e">
        <f t="shared" ca="1" si="138"/>
        <v>#N/A</v>
      </c>
      <c r="AB460" t="e">
        <f t="shared" ca="1" si="134"/>
        <v>#N/A</v>
      </c>
      <c r="AC460" t="e">
        <f t="shared" ref="AC460:AC523" ca="1" si="146">VLOOKUP(S460,ModelOutputs,11,FALSE)+AC459</f>
        <v>#N/A</v>
      </c>
      <c r="AD460" t="e">
        <f t="shared" ref="AD460:AD523" ca="1" si="147">VLOOKUP(S460,ModelOutputs,12,FALSE)</f>
        <v>#N/A</v>
      </c>
      <c r="AE460" t="e">
        <f t="shared" ref="AE460:AE523" ca="1" si="148">VLOOKUP(S460,ModelOutputs,13,FALSE)</f>
        <v>#N/A</v>
      </c>
      <c r="AF460" s="83" t="e">
        <f ca="1"/>
        <v>#N/A</v>
      </c>
      <c r="AG460" s="55" t="e">
        <f t="shared" ref="AG460:AG523" ca="1" si="149">IF(AF460&gt;1,AF460,"")</f>
        <v>#N/A</v>
      </c>
      <c r="AH460" s="55" t="e">
        <f t="shared" ref="AH460:AH523" ca="1" si="150">VLOOKUP(AG460,ModelOutputs,2,FALSE)</f>
        <v>#N/A</v>
      </c>
      <c r="AI460" s="55" t="e">
        <f t="shared" ref="AI460:AI523" ca="1" si="151">VLOOKUP(AG460,ModelOutputs,7,FALSE)</f>
        <v>#N/A</v>
      </c>
      <c r="AJ460" s="55" t="e">
        <f t="shared" ref="AJ460:AJ523" ca="1" si="152">VLOOKUP(AG460,ModelOutputs,6,FALSE)</f>
        <v>#N/A</v>
      </c>
      <c r="AK460" s="55" t="e">
        <f t="shared" ca="1" si="139"/>
        <v>#N/A</v>
      </c>
      <c r="AL460" s="55" t="e">
        <f t="shared" ca="1" si="140"/>
        <v>#N/A</v>
      </c>
      <c r="AM460" s="55" t="e">
        <f t="shared" ca="1" si="141"/>
        <v>#N/A</v>
      </c>
    </row>
    <row r="461" spans="18:39">
      <c r="R461" s="55" t="e">
        <f ca="1"/>
        <v>#N/A</v>
      </c>
      <c r="S461" s="55" t="e">
        <f t="shared" ca="1" si="142"/>
        <v>#N/A</v>
      </c>
      <c r="T461" s="55" t="e">
        <f t="shared" ca="1" si="143"/>
        <v>#N/A</v>
      </c>
      <c r="U461" s="55" t="e">
        <f t="shared" ca="1" si="144"/>
        <v>#N/A</v>
      </c>
      <c r="V461" s="55" t="e">
        <f t="shared" ca="1" si="145"/>
        <v>#N/A</v>
      </c>
      <c r="W461" s="55" t="e">
        <f t="shared" ca="1" si="135"/>
        <v>#N/A</v>
      </c>
      <c r="X461" s="55" t="e">
        <f t="shared" ca="1" si="136"/>
        <v>#N/A</v>
      </c>
      <c r="Y461" s="55" t="e">
        <f t="shared" ca="1" si="137"/>
        <v>#N/A</v>
      </c>
      <c r="Z461" s="55" t="e">
        <f t="shared" ca="1" si="138"/>
        <v>#N/A</v>
      </c>
      <c r="AB461" t="e">
        <f t="shared" ca="1" si="134"/>
        <v>#N/A</v>
      </c>
      <c r="AC461" t="e">
        <f t="shared" ca="1" si="146"/>
        <v>#N/A</v>
      </c>
      <c r="AD461" t="e">
        <f t="shared" ca="1" si="147"/>
        <v>#N/A</v>
      </c>
      <c r="AE461" t="e">
        <f t="shared" ca="1" si="148"/>
        <v>#N/A</v>
      </c>
      <c r="AF461" s="83" t="e">
        <f ca="1"/>
        <v>#N/A</v>
      </c>
      <c r="AG461" s="55" t="e">
        <f t="shared" ca="1" si="149"/>
        <v>#N/A</v>
      </c>
      <c r="AH461" s="55" t="e">
        <f t="shared" ca="1" si="150"/>
        <v>#N/A</v>
      </c>
      <c r="AI461" s="55" t="e">
        <f t="shared" ca="1" si="151"/>
        <v>#N/A</v>
      </c>
      <c r="AJ461" s="55" t="e">
        <f t="shared" ca="1" si="152"/>
        <v>#N/A</v>
      </c>
      <c r="AK461" s="55" t="e">
        <f t="shared" ca="1" si="139"/>
        <v>#N/A</v>
      </c>
      <c r="AL461" s="55" t="e">
        <f t="shared" ca="1" si="140"/>
        <v>#N/A</v>
      </c>
      <c r="AM461" s="55" t="e">
        <f t="shared" ca="1" si="141"/>
        <v>#N/A</v>
      </c>
    </row>
    <row r="462" spans="18:39">
      <c r="R462" s="55" t="e">
        <f ca="1"/>
        <v>#N/A</v>
      </c>
      <c r="S462" s="55" t="e">
        <f t="shared" ca="1" si="142"/>
        <v>#N/A</v>
      </c>
      <c r="T462" s="55" t="e">
        <f t="shared" ca="1" si="143"/>
        <v>#N/A</v>
      </c>
      <c r="U462" s="55" t="e">
        <f t="shared" ca="1" si="144"/>
        <v>#N/A</v>
      </c>
      <c r="V462" s="55" t="e">
        <f t="shared" ca="1" si="145"/>
        <v>#N/A</v>
      </c>
      <c r="W462" s="55" t="e">
        <f t="shared" ca="1" si="135"/>
        <v>#N/A</v>
      </c>
      <c r="X462" s="55" t="e">
        <f t="shared" ca="1" si="136"/>
        <v>#N/A</v>
      </c>
      <c r="Y462" s="55" t="e">
        <f t="shared" ca="1" si="137"/>
        <v>#N/A</v>
      </c>
      <c r="Z462" s="55" t="e">
        <f t="shared" ca="1" si="138"/>
        <v>#N/A</v>
      </c>
      <c r="AB462" t="e">
        <f t="shared" ca="1" si="134"/>
        <v>#N/A</v>
      </c>
      <c r="AC462" t="e">
        <f t="shared" ca="1" si="146"/>
        <v>#N/A</v>
      </c>
      <c r="AD462" t="e">
        <f t="shared" ca="1" si="147"/>
        <v>#N/A</v>
      </c>
      <c r="AE462" t="e">
        <f t="shared" ca="1" si="148"/>
        <v>#N/A</v>
      </c>
      <c r="AF462" s="83" t="e">
        <f ca="1"/>
        <v>#N/A</v>
      </c>
      <c r="AG462" s="55" t="e">
        <f t="shared" ca="1" si="149"/>
        <v>#N/A</v>
      </c>
      <c r="AH462" s="55" t="e">
        <f t="shared" ca="1" si="150"/>
        <v>#N/A</v>
      </c>
      <c r="AI462" s="55" t="e">
        <f t="shared" ca="1" si="151"/>
        <v>#N/A</v>
      </c>
      <c r="AJ462" s="55" t="e">
        <f t="shared" ca="1" si="152"/>
        <v>#N/A</v>
      </c>
      <c r="AK462" s="55" t="e">
        <f t="shared" ca="1" si="139"/>
        <v>#N/A</v>
      </c>
      <c r="AL462" s="55" t="e">
        <f t="shared" ca="1" si="140"/>
        <v>#N/A</v>
      </c>
      <c r="AM462" s="55" t="e">
        <f t="shared" ca="1" si="141"/>
        <v>#N/A</v>
      </c>
    </row>
    <row r="463" spans="18:39">
      <c r="R463" s="55" t="e">
        <f ca="1"/>
        <v>#N/A</v>
      </c>
      <c r="S463" s="55" t="e">
        <f t="shared" ca="1" si="142"/>
        <v>#N/A</v>
      </c>
      <c r="T463" s="55" t="e">
        <f t="shared" ca="1" si="143"/>
        <v>#N/A</v>
      </c>
      <c r="U463" s="55" t="e">
        <f t="shared" ca="1" si="144"/>
        <v>#N/A</v>
      </c>
      <c r="V463" s="55" t="e">
        <f t="shared" ca="1" si="145"/>
        <v>#N/A</v>
      </c>
      <c r="W463" s="55" t="e">
        <f t="shared" ca="1" si="135"/>
        <v>#N/A</v>
      </c>
      <c r="X463" s="55" t="e">
        <f t="shared" ca="1" si="136"/>
        <v>#N/A</v>
      </c>
      <c r="Y463" s="55" t="e">
        <f t="shared" ca="1" si="137"/>
        <v>#N/A</v>
      </c>
      <c r="Z463" s="55" t="e">
        <f t="shared" ca="1" si="138"/>
        <v>#N/A</v>
      </c>
      <c r="AB463" t="e">
        <f t="shared" ca="1" si="134"/>
        <v>#N/A</v>
      </c>
      <c r="AC463" t="e">
        <f t="shared" ca="1" si="146"/>
        <v>#N/A</v>
      </c>
      <c r="AD463" t="e">
        <f t="shared" ca="1" si="147"/>
        <v>#N/A</v>
      </c>
      <c r="AE463" t="e">
        <f t="shared" ca="1" si="148"/>
        <v>#N/A</v>
      </c>
      <c r="AF463" s="83" t="e">
        <f ca="1"/>
        <v>#N/A</v>
      </c>
      <c r="AG463" s="55" t="e">
        <f t="shared" ca="1" si="149"/>
        <v>#N/A</v>
      </c>
      <c r="AH463" s="55" t="e">
        <f t="shared" ca="1" si="150"/>
        <v>#N/A</v>
      </c>
      <c r="AI463" s="55" t="e">
        <f t="shared" ca="1" si="151"/>
        <v>#N/A</v>
      </c>
      <c r="AJ463" s="55" t="e">
        <f t="shared" ca="1" si="152"/>
        <v>#N/A</v>
      </c>
      <c r="AK463" s="55" t="e">
        <f t="shared" ca="1" si="139"/>
        <v>#N/A</v>
      </c>
      <c r="AL463" s="55" t="e">
        <f t="shared" ca="1" si="140"/>
        <v>#N/A</v>
      </c>
      <c r="AM463" s="55" t="e">
        <f t="shared" ca="1" si="141"/>
        <v>#N/A</v>
      </c>
    </row>
    <row r="464" spans="18:39">
      <c r="R464" s="55" t="e">
        <f ca="1"/>
        <v>#N/A</v>
      </c>
      <c r="S464" s="55" t="e">
        <f t="shared" ca="1" si="142"/>
        <v>#N/A</v>
      </c>
      <c r="T464" s="55" t="e">
        <f t="shared" ca="1" si="143"/>
        <v>#N/A</v>
      </c>
      <c r="U464" s="55" t="e">
        <f t="shared" ca="1" si="144"/>
        <v>#N/A</v>
      </c>
      <c r="V464" s="55" t="e">
        <f t="shared" ca="1" si="145"/>
        <v>#N/A</v>
      </c>
      <c r="W464" s="55" t="e">
        <f t="shared" ca="1" si="135"/>
        <v>#N/A</v>
      </c>
      <c r="X464" s="55" t="e">
        <f t="shared" ca="1" si="136"/>
        <v>#N/A</v>
      </c>
      <c r="Y464" s="55" t="e">
        <f t="shared" ca="1" si="137"/>
        <v>#N/A</v>
      </c>
      <c r="Z464" s="55" t="e">
        <f t="shared" ca="1" si="138"/>
        <v>#N/A</v>
      </c>
      <c r="AB464" t="e">
        <f t="shared" ca="1" si="134"/>
        <v>#N/A</v>
      </c>
      <c r="AC464" t="e">
        <f t="shared" ca="1" si="146"/>
        <v>#N/A</v>
      </c>
      <c r="AD464" t="e">
        <f t="shared" ca="1" si="147"/>
        <v>#N/A</v>
      </c>
      <c r="AE464" t="e">
        <f t="shared" ca="1" si="148"/>
        <v>#N/A</v>
      </c>
      <c r="AF464" s="83" t="e">
        <f ca="1"/>
        <v>#N/A</v>
      </c>
      <c r="AG464" s="55" t="e">
        <f t="shared" ca="1" si="149"/>
        <v>#N/A</v>
      </c>
      <c r="AH464" s="55" t="e">
        <f t="shared" ca="1" si="150"/>
        <v>#N/A</v>
      </c>
      <c r="AI464" s="55" t="e">
        <f t="shared" ca="1" si="151"/>
        <v>#N/A</v>
      </c>
      <c r="AJ464" s="55" t="e">
        <f t="shared" ca="1" si="152"/>
        <v>#N/A</v>
      </c>
      <c r="AK464" s="55" t="e">
        <f t="shared" ca="1" si="139"/>
        <v>#N/A</v>
      </c>
      <c r="AL464" s="55" t="e">
        <f t="shared" ca="1" si="140"/>
        <v>#N/A</v>
      </c>
      <c r="AM464" s="55" t="e">
        <f t="shared" ca="1" si="141"/>
        <v>#N/A</v>
      </c>
    </row>
    <row r="465" spans="18:39">
      <c r="R465" s="55" t="e">
        <f ca="1"/>
        <v>#N/A</v>
      </c>
      <c r="S465" s="55" t="e">
        <f t="shared" ca="1" si="142"/>
        <v>#N/A</v>
      </c>
      <c r="T465" s="55" t="e">
        <f t="shared" ca="1" si="143"/>
        <v>#N/A</v>
      </c>
      <c r="U465" s="55" t="e">
        <f t="shared" ca="1" si="144"/>
        <v>#N/A</v>
      </c>
      <c r="V465" s="55" t="e">
        <f t="shared" ca="1" si="145"/>
        <v>#N/A</v>
      </c>
      <c r="W465" s="55" t="e">
        <f t="shared" ca="1" si="135"/>
        <v>#N/A</v>
      </c>
      <c r="X465" s="55" t="e">
        <f t="shared" ca="1" si="136"/>
        <v>#N/A</v>
      </c>
      <c r="Y465" s="55" t="e">
        <f t="shared" ca="1" si="137"/>
        <v>#N/A</v>
      </c>
      <c r="Z465" s="55" t="e">
        <f t="shared" ca="1" si="138"/>
        <v>#N/A</v>
      </c>
      <c r="AB465" t="e">
        <f t="shared" ca="1" si="134"/>
        <v>#N/A</v>
      </c>
      <c r="AC465" t="e">
        <f t="shared" ca="1" si="146"/>
        <v>#N/A</v>
      </c>
      <c r="AD465" t="e">
        <f t="shared" ca="1" si="147"/>
        <v>#N/A</v>
      </c>
      <c r="AE465" t="e">
        <f t="shared" ca="1" si="148"/>
        <v>#N/A</v>
      </c>
      <c r="AF465" s="83" t="e">
        <f ca="1"/>
        <v>#N/A</v>
      </c>
      <c r="AG465" s="55" t="e">
        <f t="shared" ca="1" si="149"/>
        <v>#N/A</v>
      </c>
      <c r="AH465" s="55" t="e">
        <f t="shared" ca="1" si="150"/>
        <v>#N/A</v>
      </c>
      <c r="AI465" s="55" t="e">
        <f t="shared" ca="1" si="151"/>
        <v>#N/A</v>
      </c>
      <c r="AJ465" s="55" t="e">
        <f t="shared" ca="1" si="152"/>
        <v>#N/A</v>
      </c>
      <c r="AK465" s="55" t="e">
        <f t="shared" ca="1" si="139"/>
        <v>#N/A</v>
      </c>
      <c r="AL465" s="55" t="e">
        <f t="shared" ca="1" si="140"/>
        <v>#N/A</v>
      </c>
      <c r="AM465" s="55" t="e">
        <f t="shared" ca="1" si="141"/>
        <v>#N/A</v>
      </c>
    </row>
    <row r="466" spans="18:39">
      <c r="R466" s="55" t="e">
        <f ca="1"/>
        <v>#N/A</v>
      </c>
      <c r="S466" s="55" t="e">
        <f t="shared" ca="1" si="142"/>
        <v>#N/A</v>
      </c>
      <c r="T466" s="55" t="e">
        <f t="shared" ca="1" si="143"/>
        <v>#N/A</v>
      </c>
      <c r="U466" s="55" t="e">
        <f t="shared" ca="1" si="144"/>
        <v>#N/A</v>
      </c>
      <c r="V466" s="55" t="e">
        <f t="shared" ca="1" si="145"/>
        <v>#N/A</v>
      </c>
      <c r="W466" s="55" t="e">
        <f t="shared" ca="1" si="135"/>
        <v>#N/A</v>
      </c>
      <c r="X466" s="55" t="e">
        <f t="shared" ca="1" si="136"/>
        <v>#N/A</v>
      </c>
      <c r="Y466" s="55" t="e">
        <f t="shared" ca="1" si="137"/>
        <v>#N/A</v>
      </c>
      <c r="Z466" s="55" t="e">
        <f t="shared" ca="1" si="138"/>
        <v>#N/A</v>
      </c>
      <c r="AB466" t="e">
        <f t="shared" ref="AB466:AB529" ca="1" si="153">VLOOKUP(S466,ModelOutputs,10,FALSE)*AWC</f>
        <v>#N/A</v>
      </c>
      <c r="AC466" t="e">
        <f t="shared" ca="1" si="146"/>
        <v>#N/A</v>
      </c>
      <c r="AD466" t="e">
        <f t="shared" ca="1" si="147"/>
        <v>#N/A</v>
      </c>
      <c r="AE466" t="e">
        <f t="shared" ca="1" si="148"/>
        <v>#N/A</v>
      </c>
      <c r="AF466" s="83" t="e">
        <f ca="1"/>
        <v>#N/A</v>
      </c>
      <c r="AG466" s="55" t="e">
        <f t="shared" ca="1" si="149"/>
        <v>#N/A</v>
      </c>
      <c r="AH466" s="55" t="e">
        <f t="shared" ca="1" si="150"/>
        <v>#N/A</v>
      </c>
      <c r="AI466" s="55" t="e">
        <f t="shared" ca="1" si="151"/>
        <v>#N/A</v>
      </c>
      <c r="AJ466" s="55" t="e">
        <f t="shared" ca="1" si="152"/>
        <v>#N/A</v>
      </c>
      <c r="AK466" s="55" t="e">
        <f t="shared" ca="1" si="139"/>
        <v>#N/A</v>
      </c>
      <c r="AL466" s="55" t="e">
        <f t="shared" ca="1" si="140"/>
        <v>#N/A</v>
      </c>
      <c r="AM466" s="55" t="e">
        <f t="shared" ca="1" si="141"/>
        <v>#N/A</v>
      </c>
    </row>
    <row r="467" spans="18:39">
      <c r="R467" s="55" t="e">
        <f ca="1"/>
        <v>#N/A</v>
      </c>
      <c r="S467" s="55" t="e">
        <f t="shared" ca="1" si="142"/>
        <v>#N/A</v>
      </c>
      <c r="T467" s="55" t="e">
        <f t="shared" ca="1" si="143"/>
        <v>#N/A</v>
      </c>
      <c r="U467" s="55" t="e">
        <f t="shared" ca="1" si="144"/>
        <v>#N/A</v>
      </c>
      <c r="V467" s="55" t="e">
        <f t="shared" ca="1" si="145"/>
        <v>#N/A</v>
      </c>
      <c r="W467" s="55" t="e">
        <f t="shared" ref="W467:W530" ca="1" si="154">-VLOOKUP(S467,ModelOutputs,9,FALSE)+W466</f>
        <v>#N/A</v>
      </c>
      <c r="X467" s="55" t="e">
        <f t="shared" ref="X467:X530" ca="1" si="155">VLOOKUP(S467,ModelOutputs,5,FALSE)+X466</f>
        <v>#N/A</v>
      </c>
      <c r="Y467" s="55" t="e">
        <f t="shared" ref="Y467:Y530" ca="1" si="156">VLOOKUP(S467,ModelOutputs,4,FALSE)+Y466</f>
        <v>#N/A</v>
      </c>
      <c r="Z467" s="55" t="e">
        <f t="shared" ref="Z467:Z530" ca="1" si="157">VLOOKUP(S467,ModelOutputs,3,FALSE)*10</f>
        <v>#N/A</v>
      </c>
      <c r="AB467" t="e">
        <f t="shared" ca="1" si="153"/>
        <v>#N/A</v>
      </c>
      <c r="AC467" t="e">
        <f t="shared" ca="1" si="146"/>
        <v>#N/A</v>
      </c>
      <c r="AD467" t="e">
        <f t="shared" ca="1" si="147"/>
        <v>#N/A</v>
      </c>
      <c r="AE467" t="e">
        <f t="shared" ca="1" si="148"/>
        <v>#N/A</v>
      </c>
      <c r="AF467" s="83" t="e">
        <f ca="1"/>
        <v>#N/A</v>
      </c>
      <c r="AG467" s="55" t="e">
        <f t="shared" ca="1" si="149"/>
        <v>#N/A</v>
      </c>
      <c r="AH467" s="55" t="e">
        <f t="shared" ca="1" si="150"/>
        <v>#N/A</v>
      </c>
      <c r="AI467" s="55" t="e">
        <f t="shared" ca="1" si="151"/>
        <v>#N/A</v>
      </c>
      <c r="AJ467" s="55" t="e">
        <f t="shared" ca="1" si="152"/>
        <v>#N/A</v>
      </c>
      <c r="AK467" s="55" t="e">
        <f t="shared" ref="AK467:AK530" ca="1" si="158">-VLOOKUP(AG467,ModelOutputs,9,FALSE)+AK466</f>
        <v>#N/A</v>
      </c>
      <c r="AL467" s="55" t="e">
        <f t="shared" ref="AL467:AL530" ca="1" si="159">VLOOKUP(AG467,ModelOutputs,5,FALSE)+AL466</f>
        <v>#N/A</v>
      </c>
      <c r="AM467" s="55" t="e">
        <f t="shared" ref="AM467:AM530" ca="1" si="160">VLOOKUP(AG467,ModelOutputs,4,FALSE)+AM466</f>
        <v>#N/A</v>
      </c>
    </row>
    <row r="468" spans="18:39">
      <c r="R468" s="55" t="e">
        <f ca="1"/>
        <v>#N/A</v>
      </c>
      <c r="S468" s="55" t="e">
        <f t="shared" ca="1" si="142"/>
        <v>#N/A</v>
      </c>
      <c r="T468" s="55" t="e">
        <f t="shared" ca="1" si="143"/>
        <v>#N/A</v>
      </c>
      <c r="U468" s="55" t="e">
        <f t="shared" ca="1" si="144"/>
        <v>#N/A</v>
      </c>
      <c r="V468" s="55" t="e">
        <f t="shared" ca="1" si="145"/>
        <v>#N/A</v>
      </c>
      <c r="W468" s="55" t="e">
        <f t="shared" ca="1" si="154"/>
        <v>#N/A</v>
      </c>
      <c r="X468" s="55" t="e">
        <f t="shared" ca="1" si="155"/>
        <v>#N/A</v>
      </c>
      <c r="Y468" s="55" t="e">
        <f t="shared" ca="1" si="156"/>
        <v>#N/A</v>
      </c>
      <c r="Z468" s="55" t="e">
        <f t="shared" ca="1" si="157"/>
        <v>#N/A</v>
      </c>
      <c r="AB468" t="e">
        <f t="shared" ca="1" si="153"/>
        <v>#N/A</v>
      </c>
      <c r="AC468" t="e">
        <f t="shared" ca="1" si="146"/>
        <v>#N/A</v>
      </c>
      <c r="AD468" t="e">
        <f t="shared" ca="1" si="147"/>
        <v>#N/A</v>
      </c>
      <c r="AE468" t="e">
        <f t="shared" ca="1" si="148"/>
        <v>#N/A</v>
      </c>
      <c r="AF468" s="83" t="e">
        <f ca="1"/>
        <v>#N/A</v>
      </c>
      <c r="AG468" s="55" t="e">
        <f t="shared" ca="1" si="149"/>
        <v>#N/A</v>
      </c>
      <c r="AH468" s="55" t="e">
        <f t="shared" ca="1" si="150"/>
        <v>#N/A</v>
      </c>
      <c r="AI468" s="55" t="e">
        <f t="shared" ca="1" si="151"/>
        <v>#N/A</v>
      </c>
      <c r="AJ468" s="55" t="e">
        <f t="shared" ca="1" si="152"/>
        <v>#N/A</v>
      </c>
      <c r="AK468" s="55" t="e">
        <f t="shared" ca="1" si="158"/>
        <v>#N/A</v>
      </c>
      <c r="AL468" s="55" t="e">
        <f t="shared" ca="1" si="159"/>
        <v>#N/A</v>
      </c>
      <c r="AM468" s="55" t="e">
        <f t="shared" ca="1" si="160"/>
        <v>#N/A</v>
      </c>
    </row>
    <row r="469" spans="18:39">
      <c r="R469" s="55" t="e">
        <f ca="1"/>
        <v>#N/A</v>
      </c>
      <c r="S469" s="55" t="e">
        <f t="shared" ca="1" si="142"/>
        <v>#N/A</v>
      </c>
      <c r="T469" s="55" t="e">
        <f t="shared" ca="1" si="143"/>
        <v>#N/A</v>
      </c>
      <c r="U469" s="55" t="e">
        <f t="shared" ca="1" si="144"/>
        <v>#N/A</v>
      </c>
      <c r="V469" s="55" t="e">
        <f t="shared" ca="1" si="145"/>
        <v>#N/A</v>
      </c>
      <c r="W469" s="55" t="e">
        <f t="shared" ca="1" si="154"/>
        <v>#N/A</v>
      </c>
      <c r="X469" s="55" t="e">
        <f t="shared" ca="1" si="155"/>
        <v>#N/A</v>
      </c>
      <c r="Y469" s="55" t="e">
        <f t="shared" ca="1" si="156"/>
        <v>#N/A</v>
      </c>
      <c r="Z469" s="55" t="e">
        <f t="shared" ca="1" si="157"/>
        <v>#N/A</v>
      </c>
      <c r="AB469" t="e">
        <f t="shared" ca="1" si="153"/>
        <v>#N/A</v>
      </c>
      <c r="AC469" t="e">
        <f t="shared" ca="1" si="146"/>
        <v>#N/A</v>
      </c>
      <c r="AD469" t="e">
        <f t="shared" ca="1" si="147"/>
        <v>#N/A</v>
      </c>
      <c r="AE469" t="e">
        <f t="shared" ca="1" si="148"/>
        <v>#N/A</v>
      </c>
      <c r="AF469" s="83" t="e">
        <f ca="1"/>
        <v>#N/A</v>
      </c>
      <c r="AG469" s="55" t="e">
        <f t="shared" ca="1" si="149"/>
        <v>#N/A</v>
      </c>
      <c r="AH469" s="55" t="e">
        <f t="shared" ca="1" si="150"/>
        <v>#N/A</v>
      </c>
      <c r="AI469" s="55" t="e">
        <f t="shared" ca="1" si="151"/>
        <v>#N/A</v>
      </c>
      <c r="AJ469" s="55" t="e">
        <f t="shared" ca="1" si="152"/>
        <v>#N/A</v>
      </c>
      <c r="AK469" s="55" t="e">
        <f t="shared" ca="1" si="158"/>
        <v>#N/A</v>
      </c>
      <c r="AL469" s="55" t="e">
        <f t="shared" ca="1" si="159"/>
        <v>#N/A</v>
      </c>
      <c r="AM469" s="55" t="e">
        <f t="shared" ca="1" si="160"/>
        <v>#N/A</v>
      </c>
    </row>
    <row r="470" spans="18:39">
      <c r="R470" s="55" t="e">
        <f ca="1"/>
        <v>#N/A</v>
      </c>
      <c r="S470" s="55" t="e">
        <f t="shared" ca="1" si="142"/>
        <v>#N/A</v>
      </c>
      <c r="T470" s="55" t="e">
        <f t="shared" ca="1" si="143"/>
        <v>#N/A</v>
      </c>
      <c r="U470" s="55" t="e">
        <f t="shared" ca="1" si="144"/>
        <v>#N/A</v>
      </c>
      <c r="V470" s="55" t="e">
        <f t="shared" ca="1" si="145"/>
        <v>#N/A</v>
      </c>
      <c r="W470" s="55" t="e">
        <f t="shared" ca="1" si="154"/>
        <v>#N/A</v>
      </c>
      <c r="X470" s="55" t="e">
        <f t="shared" ca="1" si="155"/>
        <v>#N/A</v>
      </c>
      <c r="Y470" s="55" t="e">
        <f t="shared" ca="1" si="156"/>
        <v>#N/A</v>
      </c>
      <c r="Z470" s="55" t="e">
        <f t="shared" ca="1" si="157"/>
        <v>#N/A</v>
      </c>
      <c r="AB470" t="e">
        <f t="shared" ca="1" si="153"/>
        <v>#N/A</v>
      </c>
      <c r="AC470" t="e">
        <f t="shared" ca="1" si="146"/>
        <v>#N/A</v>
      </c>
      <c r="AD470" t="e">
        <f t="shared" ca="1" si="147"/>
        <v>#N/A</v>
      </c>
      <c r="AE470" t="e">
        <f t="shared" ca="1" si="148"/>
        <v>#N/A</v>
      </c>
      <c r="AF470" s="83" t="e">
        <f ca="1"/>
        <v>#N/A</v>
      </c>
      <c r="AG470" s="55" t="e">
        <f t="shared" ca="1" si="149"/>
        <v>#N/A</v>
      </c>
      <c r="AH470" s="55" t="e">
        <f t="shared" ca="1" si="150"/>
        <v>#N/A</v>
      </c>
      <c r="AI470" s="55" t="e">
        <f t="shared" ca="1" si="151"/>
        <v>#N/A</v>
      </c>
      <c r="AJ470" s="55" t="e">
        <f t="shared" ca="1" si="152"/>
        <v>#N/A</v>
      </c>
      <c r="AK470" s="55" t="e">
        <f t="shared" ca="1" si="158"/>
        <v>#N/A</v>
      </c>
      <c r="AL470" s="55" t="e">
        <f t="shared" ca="1" si="159"/>
        <v>#N/A</v>
      </c>
      <c r="AM470" s="55" t="e">
        <f t="shared" ca="1" si="160"/>
        <v>#N/A</v>
      </c>
    </row>
    <row r="471" spans="18:39">
      <c r="R471" s="55" t="e">
        <f ca="1"/>
        <v>#N/A</v>
      </c>
      <c r="S471" s="55" t="e">
        <f t="shared" ca="1" si="142"/>
        <v>#N/A</v>
      </c>
      <c r="T471" s="55" t="e">
        <f t="shared" ca="1" si="143"/>
        <v>#N/A</v>
      </c>
      <c r="U471" s="55" t="e">
        <f t="shared" ca="1" si="144"/>
        <v>#N/A</v>
      </c>
      <c r="V471" s="55" t="e">
        <f t="shared" ca="1" si="145"/>
        <v>#N/A</v>
      </c>
      <c r="W471" s="55" t="e">
        <f t="shared" ca="1" si="154"/>
        <v>#N/A</v>
      </c>
      <c r="X471" s="55" t="e">
        <f t="shared" ca="1" si="155"/>
        <v>#N/A</v>
      </c>
      <c r="Y471" s="55" t="e">
        <f t="shared" ca="1" si="156"/>
        <v>#N/A</v>
      </c>
      <c r="Z471" s="55" t="e">
        <f t="shared" ca="1" si="157"/>
        <v>#N/A</v>
      </c>
      <c r="AB471" t="e">
        <f t="shared" ca="1" si="153"/>
        <v>#N/A</v>
      </c>
      <c r="AC471" t="e">
        <f t="shared" ca="1" si="146"/>
        <v>#N/A</v>
      </c>
      <c r="AD471" t="e">
        <f t="shared" ca="1" si="147"/>
        <v>#N/A</v>
      </c>
      <c r="AE471" t="e">
        <f t="shared" ca="1" si="148"/>
        <v>#N/A</v>
      </c>
      <c r="AF471" s="83" t="e">
        <f ca="1"/>
        <v>#N/A</v>
      </c>
      <c r="AG471" s="55" t="e">
        <f t="shared" ca="1" si="149"/>
        <v>#N/A</v>
      </c>
      <c r="AH471" s="55" t="e">
        <f t="shared" ca="1" si="150"/>
        <v>#N/A</v>
      </c>
      <c r="AI471" s="55" t="e">
        <f t="shared" ca="1" si="151"/>
        <v>#N/A</v>
      </c>
      <c r="AJ471" s="55" t="e">
        <f t="shared" ca="1" si="152"/>
        <v>#N/A</v>
      </c>
      <c r="AK471" s="55" t="e">
        <f t="shared" ca="1" si="158"/>
        <v>#N/A</v>
      </c>
      <c r="AL471" s="55" t="e">
        <f t="shared" ca="1" si="159"/>
        <v>#N/A</v>
      </c>
      <c r="AM471" s="55" t="e">
        <f t="shared" ca="1" si="160"/>
        <v>#N/A</v>
      </c>
    </row>
    <row r="472" spans="18:39">
      <c r="R472" s="55" t="e">
        <f ca="1"/>
        <v>#N/A</v>
      </c>
      <c r="S472" s="55" t="e">
        <f t="shared" ca="1" si="142"/>
        <v>#N/A</v>
      </c>
      <c r="T472" s="55" t="e">
        <f t="shared" ca="1" si="143"/>
        <v>#N/A</v>
      </c>
      <c r="U472" s="55" t="e">
        <f t="shared" ca="1" si="144"/>
        <v>#N/A</v>
      </c>
      <c r="V472" s="55" t="e">
        <f t="shared" ca="1" si="145"/>
        <v>#N/A</v>
      </c>
      <c r="W472" s="55" t="e">
        <f t="shared" ca="1" si="154"/>
        <v>#N/A</v>
      </c>
      <c r="X472" s="55" t="e">
        <f t="shared" ca="1" si="155"/>
        <v>#N/A</v>
      </c>
      <c r="Y472" s="55" t="e">
        <f t="shared" ca="1" si="156"/>
        <v>#N/A</v>
      </c>
      <c r="Z472" s="55" t="e">
        <f t="shared" ca="1" si="157"/>
        <v>#N/A</v>
      </c>
      <c r="AB472" t="e">
        <f t="shared" ca="1" si="153"/>
        <v>#N/A</v>
      </c>
      <c r="AC472" t="e">
        <f t="shared" ca="1" si="146"/>
        <v>#N/A</v>
      </c>
      <c r="AD472" t="e">
        <f t="shared" ca="1" si="147"/>
        <v>#N/A</v>
      </c>
      <c r="AE472" t="e">
        <f t="shared" ca="1" si="148"/>
        <v>#N/A</v>
      </c>
      <c r="AF472" s="83" t="e">
        <f ca="1"/>
        <v>#N/A</v>
      </c>
      <c r="AG472" s="55" t="e">
        <f t="shared" ca="1" si="149"/>
        <v>#N/A</v>
      </c>
      <c r="AH472" s="55" t="e">
        <f t="shared" ca="1" si="150"/>
        <v>#N/A</v>
      </c>
      <c r="AI472" s="55" t="e">
        <f t="shared" ca="1" si="151"/>
        <v>#N/A</v>
      </c>
      <c r="AJ472" s="55" t="e">
        <f t="shared" ca="1" si="152"/>
        <v>#N/A</v>
      </c>
      <c r="AK472" s="55" t="e">
        <f t="shared" ca="1" si="158"/>
        <v>#N/A</v>
      </c>
      <c r="AL472" s="55" t="e">
        <f t="shared" ca="1" si="159"/>
        <v>#N/A</v>
      </c>
      <c r="AM472" s="55" t="e">
        <f t="shared" ca="1" si="160"/>
        <v>#N/A</v>
      </c>
    </row>
    <row r="473" spans="18:39">
      <c r="R473" s="55" t="e">
        <f ca="1"/>
        <v>#N/A</v>
      </c>
      <c r="S473" s="55" t="e">
        <f t="shared" ca="1" si="142"/>
        <v>#N/A</v>
      </c>
      <c r="T473" s="55" t="e">
        <f t="shared" ca="1" si="143"/>
        <v>#N/A</v>
      </c>
      <c r="U473" s="55" t="e">
        <f t="shared" ca="1" si="144"/>
        <v>#N/A</v>
      </c>
      <c r="V473" s="55" t="e">
        <f t="shared" ca="1" si="145"/>
        <v>#N/A</v>
      </c>
      <c r="W473" s="55" t="e">
        <f t="shared" ca="1" si="154"/>
        <v>#N/A</v>
      </c>
      <c r="X473" s="55" t="e">
        <f t="shared" ca="1" si="155"/>
        <v>#N/A</v>
      </c>
      <c r="Y473" s="55" t="e">
        <f t="shared" ca="1" si="156"/>
        <v>#N/A</v>
      </c>
      <c r="Z473" s="55" t="e">
        <f t="shared" ca="1" si="157"/>
        <v>#N/A</v>
      </c>
      <c r="AB473" t="e">
        <f t="shared" ca="1" si="153"/>
        <v>#N/A</v>
      </c>
      <c r="AC473" t="e">
        <f t="shared" ca="1" si="146"/>
        <v>#N/A</v>
      </c>
      <c r="AD473" t="e">
        <f t="shared" ca="1" si="147"/>
        <v>#N/A</v>
      </c>
      <c r="AE473" t="e">
        <f t="shared" ca="1" si="148"/>
        <v>#N/A</v>
      </c>
      <c r="AF473" s="83" t="e">
        <f ca="1"/>
        <v>#N/A</v>
      </c>
      <c r="AG473" s="55" t="e">
        <f t="shared" ca="1" si="149"/>
        <v>#N/A</v>
      </c>
      <c r="AH473" s="55" t="e">
        <f t="shared" ca="1" si="150"/>
        <v>#N/A</v>
      </c>
      <c r="AI473" s="55" t="e">
        <f t="shared" ca="1" si="151"/>
        <v>#N/A</v>
      </c>
      <c r="AJ473" s="55" t="e">
        <f t="shared" ca="1" si="152"/>
        <v>#N/A</v>
      </c>
      <c r="AK473" s="55" t="e">
        <f t="shared" ca="1" si="158"/>
        <v>#N/A</v>
      </c>
      <c r="AL473" s="55" t="e">
        <f t="shared" ca="1" si="159"/>
        <v>#N/A</v>
      </c>
      <c r="AM473" s="55" t="e">
        <f t="shared" ca="1" si="160"/>
        <v>#N/A</v>
      </c>
    </row>
    <row r="474" spans="18:39">
      <c r="R474" s="55" t="e">
        <f ca="1"/>
        <v>#N/A</v>
      </c>
      <c r="S474" s="55" t="e">
        <f t="shared" ca="1" si="142"/>
        <v>#N/A</v>
      </c>
      <c r="T474" s="55" t="e">
        <f t="shared" ca="1" si="143"/>
        <v>#N/A</v>
      </c>
      <c r="U474" s="55" t="e">
        <f t="shared" ca="1" si="144"/>
        <v>#N/A</v>
      </c>
      <c r="V474" s="55" t="e">
        <f t="shared" ca="1" si="145"/>
        <v>#N/A</v>
      </c>
      <c r="W474" s="55" t="e">
        <f t="shared" ca="1" si="154"/>
        <v>#N/A</v>
      </c>
      <c r="X474" s="55" t="e">
        <f t="shared" ca="1" si="155"/>
        <v>#N/A</v>
      </c>
      <c r="Y474" s="55" t="e">
        <f t="shared" ca="1" si="156"/>
        <v>#N/A</v>
      </c>
      <c r="Z474" s="55" t="e">
        <f t="shared" ca="1" si="157"/>
        <v>#N/A</v>
      </c>
      <c r="AB474" t="e">
        <f t="shared" ca="1" si="153"/>
        <v>#N/A</v>
      </c>
      <c r="AC474" t="e">
        <f t="shared" ca="1" si="146"/>
        <v>#N/A</v>
      </c>
      <c r="AD474" t="e">
        <f t="shared" ca="1" si="147"/>
        <v>#N/A</v>
      </c>
      <c r="AE474" t="e">
        <f t="shared" ca="1" si="148"/>
        <v>#N/A</v>
      </c>
      <c r="AF474" s="83" t="e">
        <f ca="1"/>
        <v>#N/A</v>
      </c>
      <c r="AG474" s="55" t="e">
        <f t="shared" ca="1" si="149"/>
        <v>#N/A</v>
      </c>
      <c r="AH474" s="55" t="e">
        <f t="shared" ca="1" si="150"/>
        <v>#N/A</v>
      </c>
      <c r="AI474" s="55" t="e">
        <f t="shared" ca="1" si="151"/>
        <v>#N/A</v>
      </c>
      <c r="AJ474" s="55" t="e">
        <f t="shared" ca="1" si="152"/>
        <v>#N/A</v>
      </c>
      <c r="AK474" s="55" t="e">
        <f t="shared" ca="1" si="158"/>
        <v>#N/A</v>
      </c>
      <c r="AL474" s="55" t="e">
        <f t="shared" ca="1" si="159"/>
        <v>#N/A</v>
      </c>
      <c r="AM474" s="55" t="e">
        <f t="shared" ca="1" si="160"/>
        <v>#N/A</v>
      </c>
    </row>
    <row r="475" spans="18:39">
      <c r="R475" s="55" t="e">
        <f ca="1"/>
        <v>#N/A</v>
      </c>
      <c r="S475" s="55" t="e">
        <f t="shared" ca="1" si="142"/>
        <v>#N/A</v>
      </c>
      <c r="T475" s="55" t="e">
        <f t="shared" ca="1" si="143"/>
        <v>#N/A</v>
      </c>
      <c r="U475" s="55" t="e">
        <f t="shared" ca="1" si="144"/>
        <v>#N/A</v>
      </c>
      <c r="V475" s="55" t="e">
        <f t="shared" ca="1" si="145"/>
        <v>#N/A</v>
      </c>
      <c r="W475" s="55" t="e">
        <f t="shared" ca="1" si="154"/>
        <v>#N/A</v>
      </c>
      <c r="X475" s="55" t="e">
        <f t="shared" ca="1" si="155"/>
        <v>#N/A</v>
      </c>
      <c r="Y475" s="55" t="e">
        <f t="shared" ca="1" si="156"/>
        <v>#N/A</v>
      </c>
      <c r="Z475" s="55" t="e">
        <f t="shared" ca="1" si="157"/>
        <v>#N/A</v>
      </c>
      <c r="AB475" t="e">
        <f t="shared" ca="1" si="153"/>
        <v>#N/A</v>
      </c>
      <c r="AC475" t="e">
        <f t="shared" ca="1" si="146"/>
        <v>#N/A</v>
      </c>
      <c r="AD475" t="e">
        <f t="shared" ca="1" si="147"/>
        <v>#N/A</v>
      </c>
      <c r="AE475" t="e">
        <f t="shared" ca="1" si="148"/>
        <v>#N/A</v>
      </c>
      <c r="AF475" s="83" t="e">
        <f ca="1"/>
        <v>#N/A</v>
      </c>
      <c r="AG475" s="55" t="e">
        <f t="shared" ca="1" si="149"/>
        <v>#N/A</v>
      </c>
      <c r="AH475" s="55" t="e">
        <f t="shared" ca="1" si="150"/>
        <v>#N/A</v>
      </c>
      <c r="AI475" s="55" t="e">
        <f t="shared" ca="1" si="151"/>
        <v>#N/A</v>
      </c>
      <c r="AJ475" s="55" t="e">
        <f t="shared" ca="1" si="152"/>
        <v>#N/A</v>
      </c>
      <c r="AK475" s="55" t="e">
        <f t="shared" ca="1" si="158"/>
        <v>#N/A</v>
      </c>
      <c r="AL475" s="55" t="e">
        <f t="shared" ca="1" si="159"/>
        <v>#N/A</v>
      </c>
      <c r="AM475" s="55" t="e">
        <f t="shared" ca="1" si="160"/>
        <v>#N/A</v>
      </c>
    </row>
    <row r="476" spans="18:39">
      <c r="R476" s="55" t="e">
        <f ca="1"/>
        <v>#N/A</v>
      </c>
      <c r="S476" s="55" t="e">
        <f t="shared" ca="1" si="142"/>
        <v>#N/A</v>
      </c>
      <c r="T476" s="55" t="e">
        <f t="shared" ca="1" si="143"/>
        <v>#N/A</v>
      </c>
      <c r="U476" s="55" t="e">
        <f t="shared" ca="1" si="144"/>
        <v>#N/A</v>
      </c>
      <c r="V476" s="55" t="e">
        <f t="shared" ca="1" si="145"/>
        <v>#N/A</v>
      </c>
      <c r="W476" s="55" t="e">
        <f t="shared" ca="1" si="154"/>
        <v>#N/A</v>
      </c>
      <c r="X476" s="55" t="e">
        <f t="shared" ca="1" si="155"/>
        <v>#N/A</v>
      </c>
      <c r="Y476" s="55" t="e">
        <f t="shared" ca="1" si="156"/>
        <v>#N/A</v>
      </c>
      <c r="Z476" s="55" t="e">
        <f t="shared" ca="1" si="157"/>
        <v>#N/A</v>
      </c>
      <c r="AB476" t="e">
        <f t="shared" ca="1" si="153"/>
        <v>#N/A</v>
      </c>
      <c r="AC476" t="e">
        <f t="shared" ca="1" si="146"/>
        <v>#N/A</v>
      </c>
      <c r="AD476" t="e">
        <f t="shared" ca="1" si="147"/>
        <v>#N/A</v>
      </c>
      <c r="AE476" t="e">
        <f t="shared" ca="1" si="148"/>
        <v>#N/A</v>
      </c>
      <c r="AF476" s="83" t="e">
        <f ca="1"/>
        <v>#N/A</v>
      </c>
      <c r="AG476" s="55" t="e">
        <f t="shared" ca="1" si="149"/>
        <v>#N/A</v>
      </c>
      <c r="AH476" s="55" t="e">
        <f t="shared" ca="1" si="150"/>
        <v>#N/A</v>
      </c>
      <c r="AI476" s="55" t="e">
        <f t="shared" ca="1" si="151"/>
        <v>#N/A</v>
      </c>
      <c r="AJ476" s="55" t="e">
        <f t="shared" ca="1" si="152"/>
        <v>#N/A</v>
      </c>
      <c r="AK476" s="55" t="e">
        <f t="shared" ca="1" si="158"/>
        <v>#N/A</v>
      </c>
      <c r="AL476" s="55" t="e">
        <f t="shared" ca="1" si="159"/>
        <v>#N/A</v>
      </c>
      <c r="AM476" s="55" t="e">
        <f t="shared" ca="1" si="160"/>
        <v>#N/A</v>
      </c>
    </row>
    <row r="477" spans="18:39">
      <c r="R477" s="55" t="e">
        <f ca="1"/>
        <v>#N/A</v>
      </c>
      <c r="S477" s="55" t="e">
        <f t="shared" ca="1" si="142"/>
        <v>#N/A</v>
      </c>
      <c r="T477" s="55" t="e">
        <f t="shared" ca="1" si="143"/>
        <v>#N/A</v>
      </c>
      <c r="U477" s="55" t="e">
        <f t="shared" ca="1" si="144"/>
        <v>#N/A</v>
      </c>
      <c r="V477" s="55" t="e">
        <f t="shared" ca="1" si="145"/>
        <v>#N/A</v>
      </c>
      <c r="W477" s="55" t="e">
        <f t="shared" ca="1" si="154"/>
        <v>#N/A</v>
      </c>
      <c r="X477" s="55" t="e">
        <f t="shared" ca="1" si="155"/>
        <v>#N/A</v>
      </c>
      <c r="Y477" s="55" t="e">
        <f t="shared" ca="1" si="156"/>
        <v>#N/A</v>
      </c>
      <c r="Z477" s="55" t="e">
        <f t="shared" ca="1" si="157"/>
        <v>#N/A</v>
      </c>
      <c r="AB477" t="e">
        <f t="shared" ca="1" si="153"/>
        <v>#N/A</v>
      </c>
      <c r="AC477" t="e">
        <f t="shared" ca="1" si="146"/>
        <v>#N/A</v>
      </c>
      <c r="AD477" t="e">
        <f t="shared" ca="1" si="147"/>
        <v>#N/A</v>
      </c>
      <c r="AE477" t="e">
        <f t="shared" ca="1" si="148"/>
        <v>#N/A</v>
      </c>
      <c r="AF477" s="83" t="e">
        <f ca="1"/>
        <v>#N/A</v>
      </c>
      <c r="AG477" s="55" t="e">
        <f t="shared" ca="1" si="149"/>
        <v>#N/A</v>
      </c>
      <c r="AH477" s="55" t="e">
        <f t="shared" ca="1" si="150"/>
        <v>#N/A</v>
      </c>
      <c r="AI477" s="55" t="e">
        <f t="shared" ca="1" si="151"/>
        <v>#N/A</v>
      </c>
      <c r="AJ477" s="55" t="e">
        <f t="shared" ca="1" si="152"/>
        <v>#N/A</v>
      </c>
      <c r="AK477" s="55" t="e">
        <f t="shared" ca="1" si="158"/>
        <v>#N/A</v>
      </c>
      <c r="AL477" s="55" t="e">
        <f t="shared" ca="1" si="159"/>
        <v>#N/A</v>
      </c>
      <c r="AM477" s="55" t="e">
        <f t="shared" ca="1" si="160"/>
        <v>#N/A</v>
      </c>
    </row>
    <row r="478" spans="18:39">
      <c r="R478" s="55" t="e">
        <f ca="1"/>
        <v>#N/A</v>
      </c>
      <c r="S478" s="55" t="e">
        <f t="shared" ca="1" si="142"/>
        <v>#N/A</v>
      </c>
      <c r="T478" s="55" t="e">
        <f t="shared" ca="1" si="143"/>
        <v>#N/A</v>
      </c>
      <c r="U478" s="55" t="e">
        <f t="shared" ca="1" si="144"/>
        <v>#N/A</v>
      </c>
      <c r="V478" s="55" t="e">
        <f t="shared" ca="1" si="145"/>
        <v>#N/A</v>
      </c>
      <c r="W478" s="55" t="e">
        <f t="shared" ca="1" si="154"/>
        <v>#N/A</v>
      </c>
      <c r="X478" s="55" t="e">
        <f t="shared" ca="1" si="155"/>
        <v>#N/A</v>
      </c>
      <c r="Y478" s="55" t="e">
        <f t="shared" ca="1" si="156"/>
        <v>#N/A</v>
      </c>
      <c r="Z478" s="55" t="e">
        <f t="shared" ca="1" si="157"/>
        <v>#N/A</v>
      </c>
      <c r="AB478" t="e">
        <f t="shared" ca="1" si="153"/>
        <v>#N/A</v>
      </c>
      <c r="AC478" t="e">
        <f t="shared" ca="1" si="146"/>
        <v>#N/A</v>
      </c>
      <c r="AD478" t="e">
        <f t="shared" ca="1" si="147"/>
        <v>#N/A</v>
      </c>
      <c r="AE478" t="e">
        <f t="shared" ca="1" si="148"/>
        <v>#N/A</v>
      </c>
      <c r="AF478" s="83" t="e">
        <f ca="1"/>
        <v>#N/A</v>
      </c>
      <c r="AG478" s="55" t="e">
        <f t="shared" ca="1" si="149"/>
        <v>#N/A</v>
      </c>
      <c r="AH478" s="55" t="e">
        <f t="shared" ca="1" si="150"/>
        <v>#N/A</v>
      </c>
      <c r="AI478" s="55" t="e">
        <f t="shared" ca="1" si="151"/>
        <v>#N/A</v>
      </c>
      <c r="AJ478" s="55" t="e">
        <f t="shared" ca="1" si="152"/>
        <v>#N/A</v>
      </c>
      <c r="AK478" s="55" t="e">
        <f t="shared" ca="1" si="158"/>
        <v>#N/A</v>
      </c>
      <c r="AL478" s="55" t="e">
        <f t="shared" ca="1" si="159"/>
        <v>#N/A</v>
      </c>
      <c r="AM478" s="55" t="e">
        <f t="shared" ca="1" si="160"/>
        <v>#N/A</v>
      </c>
    </row>
    <row r="479" spans="18:39">
      <c r="R479" s="55" t="e">
        <f ca="1"/>
        <v>#N/A</v>
      </c>
      <c r="S479" s="55" t="e">
        <f t="shared" ca="1" si="142"/>
        <v>#N/A</v>
      </c>
      <c r="T479" s="55" t="e">
        <f t="shared" ca="1" si="143"/>
        <v>#N/A</v>
      </c>
      <c r="U479" s="55" t="e">
        <f t="shared" ca="1" si="144"/>
        <v>#N/A</v>
      </c>
      <c r="V479" s="55" t="e">
        <f t="shared" ca="1" si="145"/>
        <v>#N/A</v>
      </c>
      <c r="W479" s="55" t="e">
        <f t="shared" ca="1" si="154"/>
        <v>#N/A</v>
      </c>
      <c r="X479" s="55" t="e">
        <f t="shared" ca="1" si="155"/>
        <v>#N/A</v>
      </c>
      <c r="Y479" s="55" t="e">
        <f t="shared" ca="1" si="156"/>
        <v>#N/A</v>
      </c>
      <c r="Z479" s="55" t="e">
        <f t="shared" ca="1" si="157"/>
        <v>#N/A</v>
      </c>
      <c r="AB479" t="e">
        <f t="shared" ca="1" si="153"/>
        <v>#N/A</v>
      </c>
      <c r="AC479" t="e">
        <f t="shared" ca="1" si="146"/>
        <v>#N/A</v>
      </c>
      <c r="AD479" t="e">
        <f t="shared" ca="1" si="147"/>
        <v>#N/A</v>
      </c>
      <c r="AE479" t="e">
        <f t="shared" ca="1" si="148"/>
        <v>#N/A</v>
      </c>
      <c r="AF479" s="83" t="e">
        <f ca="1"/>
        <v>#N/A</v>
      </c>
      <c r="AG479" s="55" t="e">
        <f t="shared" ca="1" si="149"/>
        <v>#N/A</v>
      </c>
      <c r="AH479" s="55" t="e">
        <f t="shared" ca="1" si="150"/>
        <v>#N/A</v>
      </c>
      <c r="AI479" s="55" t="e">
        <f t="shared" ca="1" si="151"/>
        <v>#N/A</v>
      </c>
      <c r="AJ479" s="55" t="e">
        <f t="shared" ca="1" si="152"/>
        <v>#N/A</v>
      </c>
      <c r="AK479" s="55" t="e">
        <f t="shared" ca="1" si="158"/>
        <v>#N/A</v>
      </c>
      <c r="AL479" s="55" t="e">
        <f t="shared" ca="1" si="159"/>
        <v>#N/A</v>
      </c>
      <c r="AM479" s="55" t="e">
        <f t="shared" ca="1" si="160"/>
        <v>#N/A</v>
      </c>
    </row>
    <row r="480" spans="18:39">
      <c r="R480" s="55" t="e">
        <f ca="1"/>
        <v>#N/A</v>
      </c>
      <c r="S480" s="55" t="e">
        <f t="shared" ca="1" si="142"/>
        <v>#N/A</v>
      </c>
      <c r="T480" s="55" t="e">
        <f t="shared" ca="1" si="143"/>
        <v>#N/A</v>
      </c>
      <c r="U480" s="55" t="e">
        <f t="shared" ca="1" si="144"/>
        <v>#N/A</v>
      </c>
      <c r="V480" s="55" t="e">
        <f t="shared" ca="1" si="145"/>
        <v>#N/A</v>
      </c>
      <c r="W480" s="55" t="e">
        <f t="shared" ca="1" si="154"/>
        <v>#N/A</v>
      </c>
      <c r="X480" s="55" t="e">
        <f t="shared" ca="1" si="155"/>
        <v>#N/A</v>
      </c>
      <c r="Y480" s="55" t="e">
        <f t="shared" ca="1" si="156"/>
        <v>#N/A</v>
      </c>
      <c r="Z480" s="55" t="e">
        <f t="shared" ca="1" si="157"/>
        <v>#N/A</v>
      </c>
      <c r="AB480" t="e">
        <f t="shared" ca="1" si="153"/>
        <v>#N/A</v>
      </c>
      <c r="AC480" t="e">
        <f t="shared" ca="1" si="146"/>
        <v>#N/A</v>
      </c>
      <c r="AD480" t="e">
        <f t="shared" ca="1" si="147"/>
        <v>#N/A</v>
      </c>
      <c r="AE480" t="e">
        <f t="shared" ca="1" si="148"/>
        <v>#N/A</v>
      </c>
      <c r="AF480" s="83" t="e">
        <f ca="1"/>
        <v>#N/A</v>
      </c>
      <c r="AG480" s="55" t="e">
        <f t="shared" ca="1" si="149"/>
        <v>#N/A</v>
      </c>
      <c r="AH480" s="55" t="e">
        <f t="shared" ca="1" si="150"/>
        <v>#N/A</v>
      </c>
      <c r="AI480" s="55" t="e">
        <f t="shared" ca="1" si="151"/>
        <v>#N/A</v>
      </c>
      <c r="AJ480" s="55" t="e">
        <f t="shared" ca="1" si="152"/>
        <v>#N/A</v>
      </c>
      <c r="AK480" s="55" t="e">
        <f t="shared" ca="1" si="158"/>
        <v>#N/A</v>
      </c>
      <c r="AL480" s="55" t="e">
        <f t="shared" ca="1" si="159"/>
        <v>#N/A</v>
      </c>
      <c r="AM480" s="55" t="e">
        <f t="shared" ca="1" si="160"/>
        <v>#N/A</v>
      </c>
    </row>
    <row r="481" spans="18:39">
      <c r="R481" s="55" t="e">
        <f ca="1"/>
        <v>#N/A</v>
      </c>
      <c r="S481" s="55" t="e">
        <f t="shared" ca="1" si="142"/>
        <v>#N/A</v>
      </c>
      <c r="T481" s="55" t="e">
        <f t="shared" ca="1" si="143"/>
        <v>#N/A</v>
      </c>
      <c r="U481" s="55" t="e">
        <f t="shared" ca="1" si="144"/>
        <v>#N/A</v>
      </c>
      <c r="V481" s="55" t="e">
        <f t="shared" ca="1" si="145"/>
        <v>#N/A</v>
      </c>
      <c r="W481" s="55" t="e">
        <f t="shared" ca="1" si="154"/>
        <v>#N/A</v>
      </c>
      <c r="X481" s="55" t="e">
        <f t="shared" ca="1" si="155"/>
        <v>#N/A</v>
      </c>
      <c r="Y481" s="55" t="e">
        <f t="shared" ca="1" si="156"/>
        <v>#N/A</v>
      </c>
      <c r="Z481" s="55" t="e">
        <f t="shared" ca="1" si="157"/>
        <v>#N/A</v>
      </c>
      <c r="AB481" t="e">
        <f t="shared" ca="1" si="153"/>
        <v>#N/A</v>
      </c>
      <c r="AC481" t="e">
        <f t="shared" ca="1" si="146"/>
        <v>#N/A</v>
      </c>
      <c r="AD481" t="e">
        <f t="shared" ca="1" si="147"/>
        <v>#N/A</v>
      </c>
      <c r="AE481" t="e">
        <f t="shared" ca="1" si="148"/>
        <v>#N/A</v>
      </c>
      <c r="AF481" s="83" t="e">
        <f ca="1"/>
        <v>#N/A</v>
      </c>
      <c r="AG481" s="55" t="e">
        <f t="shared" ca="1" si="149"/>
        <v>#N/A</v>
      </c>
      <c r="AH481" s="55" t="e">
        <f t="shared" ca="1" si="150"/>
        <v>#N/A</v>
      </c>
      <c r="AI481" s="55" t="e">
        <f t="shared" ca="1" si="151"/>
        <v>#N/A</v>
      </c>
      <c r="AJ481" s="55" t="e">
        <f t="shared" ca="1" si="152"/>
        <v>#N/A</v>
      </c>
      <c r="AK481" s="55" t="e">
        <f t="shared" ca="1" si="158"/>
        <v>#N/A</v>
      </c>
      <c r="AL481" s="55" t="e">
        <f t="shared" ca="1" si="159"/>
        <v>#N/A</v>
      </c>
      <c r="AM481" s="55" t="e">
        <f t="shared" ca="1" si="160"/>
        <v>#N/A</v>
      </c>
    </row>
    <row r="482" spans="18:39">
      <c r="R482" s="55" t="e">
        <f ca="1"/>
        <v>#N/A</v>
      </c>
      <c r="S482" s="55" t="e">
        <f t="shared" ca="1" si="142"/>
        <v>#N/A</v>
      </c>
      <c r="T482" s="55" t="e">
        <f t="shared" ca="1" si="143"/>
        <v>#N/A</v>
      </c>
      <c r="U482" s="55" t="e">
        <f t="shared" ca="1" si="144"/>
        <v>#N/A</v>
      </c>
      <c r="V482" s="55" t="e">
        <f t="shared" ca="1" si="145"/>
        <v>#N/A</v>
      </c>
      <c r="W482" s="55" t="e">
        <f t="shared" ca="1" si="154"/>
        <v>#N/A</v>
      </c>
      <c r="X482" s="55" t="e">
        <f t="shared" ca="1" si="155"/>
        <v>#N/A</v>
      </c>
      <c r="Y482" s="55" t="e">
        <f t="shared" ca="1" si="156"/>
        <v>#N/A</v>
      </c>
      <c r="Z482" s="55" t="e">
        <f t="shared" ca="1" si="157"/>
        <v>#N/A</v>
      </c>
      <c r="AB482" t="e">
        <f t="shared" ca="1" si="153"/>
        <v>#N/A</v>
      </c>
      <c r="AC482" t="e">
        <f t="shared" ca="1" si="146"/>
        <v>#N/A</v>
      </c>
      <c r="AD482" t="e">
        <f t="shared" ca="1" si="147"/>
        <v>#N/A</v>
      </c>
      <c r="AE482" t="e">
        <f t="shared" ca="1" si="148"/>
        <v>#N/A</v>
      </c>
      <c r="AF482" s="83" t="e">
        <f ca="1"/>
        <v>#N/A</v>
      </c>
      <c r="AG482" s="55" t="e">
        <f t="shared" ca="1" si="149"/>
        <v>#N/A</v>
      </c>
      <c r="AH482" s="55" t="e">
        <f t="shared" ca="1" si="150"/>
        <v>#N/A</v>
      </c>
      <c r="AI482" s="55" t="e">
        <f t="shared" ca="1" si="151"/>
        <v>#N/A</v>
      </c>
      <c r="AJ482" s="55" t="e">
        <f t="shared" ca="1" si="152"/>
        <v>#N/A</v>
      </c>
      <c r="AK482" s="55" t="e">
        <f t="shared" ca="1" si="158"/>
        <v>#N/A</v>
      </c>
      <c r="AL482" s="55" t="e">
        <f t="shared" ca="1" si="159"/>
        <v>#N/A</v>
      </c>
      <c r="AM482" s="55" t="e">
        <f t="shared" ca="1" si="160"/>
        <v>#N/A</v>
      </c>
    </row>
    <row r="483" spans="18:39">
      <c r="R483" s="55" t="e">
        <f ca="1"/>
        <v>#N/A</v>
      </c>
      <c r="S483" s="55" t="e">
        <f t="shared" ca="1" si="142"/>
        <v>#N/A</v>
      </c>
      <c r="T483" s="55" t="e">
        <f t="shared" ca="1" si="143"/>
        <v>#N/A</v>
      </c>
      <c r="U483" s="55" t="e">
        <f t="shared" ca="1" si="144"/>
        <v>#N/A</v>
      </c>
      <c r="V483" s="55" t="e">
        <f t="shared" ca="1" si="145"/>
        <v>#N/A</v>
      </c>
      <c r="W483" s="55" t="e">
        <f t="shared" ca="1" si="154"/>
        <v>#N/A</v>
      </c>
      <c r="X483" s="55" t="e">
        <f t="shared" ca="1" si="155"/>
        <v>#N/A</v>
      </c>
      <c r="Y483" s="55" t="e">
        <f t="shared" ca="1" si="156"/>
        <v>#N/A</v>
      </c>
      <c r="Z483" s="55" t="e">
        <f t="shared" ca="1" si="157"/>
        <v>#N/A</v>
      </c>
      <c r="AB483" t="e">
        <f t="shared" ca="1" si="153"/>
        <v>#N/A</v>
      </c>
      <c r="AC483" t="e">
        <f t="shared" ca="1" si="146"/>
        <v>#N/A</v>
      </c>
      <c r="AD483" t="e">
        <f t="shared" ca="1" si="147"/>
        <v>#N/A</v>
      </c>
      <c r="AE483" t="e">
        <f t="shared" ca="1" si="148"/>
        <v>#N/A</v>
      </c>
      <c r="AF483" s="83" t="e">
        <f ca="1"/>
        <v>#N/A</v>
      </c>
      <c r="AG483" s="55" t="e">
        <f t="shared" ca="1" si="149"/>
        <v>#N/A</v>
      </c>
      <c r="AH483" s="55" t="e">
        <f t="shared" ca="1" si="150"/>
        <v>#N/A</v>
      </c>
      <c r="AI483" s="55" t="e">
        <f t="shared" ca="1" si="151"/>
        <v>#N/A</v>
      </c>
      <c r="AJ483" s="55" t="e">
        <f t="shared" ca="1" si="152"/>
        <v>#N/A</v>
      </c>
      <c r="AK483" s="55" t="e">
        <f t="shared" ca="1" si="158"/>
        <v>#N/A</v>
      </c>
      <c r="AL483" s="55" t="e">
        <f t="shared" ca="1" si="159"/>
        <v>#N/A</v>
      </c>
      <c r="AM483" s="55" t="e">
        <f t="shared" ca="1" si="160"/>
        <v>#N/A</v>
      </c>
    </row>
    <row r="484" spans="18:39">
      <c r="R484" s="55" t="e">
        <f ca="1"/>
        <v>#N/A</v>
      </c>
      <c r="S484" s="55" t="e">
        <f t="shared" ca="1" si="142"/>
        <v>#N/A</v>
      </c>
      <c r="T484" s="55" t="e">
        <f t="shared" ca="1" si="143"/>
        <v>#N/A</v>
      </c>
      <c r="U484" s="55" t="e">
        <f t="shared" ca="1" si="144"/>
        <v>#N/A</v>
      </c>
      <c r="V484" s="55" t="e">
        <f t="shared" ca="1" si="145"/>
        <v>#N/A</v>
      </c>
      <c r="W484" s="55" t="e">
        <f t="shared" ca="1" si="154"/>
        <v>#N/A</v>
      </c>
      <c r="X484" s="55" t="e">
        <f t="shared" ca="1" si="155"/>
        <v>#N/A</v>
      </c>
      <c r="Y484" s="55" t="e">
        <f t="shared" ca="1" si="156"/>
        <v>#N/A</v>
      </c>
      <c r="Z484" s="55" t="e">
        <f t="shared" ca="1" si="157"/>
        <v>#N/A</v>
      </c>
      <c r="AB484" t="e">
        <f t="shared" ca="1" si="153"/>
        <v>#N/A</v>
      </c>
      <c r="AC484" t="e">
        <f t="shared" ca="1" si="146"/>
        <v>#N/A</v>
      </c>
      <c r="AD484" t="e">
        <f t="shared" ca="1" si="147"/>
        <v>#N/A</v>
      </c>
      <c r="AE484" t="e">
        <f t="shared" ca="1" si="148"/>
        <v>#N/A</v>
      </c>
      <c r="AF484" s="83" t="e">
        <f ca="1"/>
        <v>#N/A</v>
      </c>
      <c r="AG484" s="55" t="e">
        <f t="shared" ca="1" si="149"/>
        <v>#N/A</v>
      </c>
      <c r="AH484" s="55" t="e">
        <f t="shared" ca="1" si="150"/>
        <v>#N/A</v>
      </c>
      <c r="AI484" s="55" t="e">
        <f t="shared" ca="1" si="151"/>
        <v>#N/A</v>
      </c>
      <c r="AJ484" s="55" t="e">
        <f t="shared" ca="1" si="152"/>
        <v>#N/A</v>
      </c>
      <c r="AK484" s="55" t="e">
        <f t="shared" ca="1" si="158"/>
        <v>#N/A</v>
      </c>
      <c r="AL484" s="55" t="e">
        <f t="shared" ca="1" si="159"/>
        <v>#N/A</v>
      </c>
      <c r="AM484" s="55" t="e">
        <f t="shared" ca="1" si="160"/>
        <v>#N/A</v>
      </c>
    </row>
    <row r="485" spans="18:39">
      <c r="R485" s="55" t="e">
        <f ca="1"/>
        <v>#N/A</v>
      </c>
      <c r="S485" s="55" t="e">
        <f t="shared" ca="1" si="142"/>
        <v>#N/A</v>
      </c>
      <c r="T485" s="55" t="e">
        <f t="shared" ca="1" si="143"/>
        <v>#N/A</v>
      </c>
      <c r="U485" s="55" t="e">
        <f t="shared" ca="1" si="144"/>
        <v>#N/A</v>
      </c>
      <c r="V485" s="55" t="e">
        <f t="shared" ca="1" si="145"/>
        <v>#N/A</v>
      </c>
      <c r="W485" s="55" t="e">
        <f t="shared" ca="1" si="154"/>
        <v>#N/A</v>
      </c>
      <c r="X485" s="55" t="e">
        <f t="shared" ca="1" si="155"/>
        <v>#N/A</v>
      </c>
      <c r="Y485" s="55" t="e">
        <f t="shared" ca="1" si="156"/>
        <v>#N/A</v>
      </c>
      <c r="Z485" s="55" t="e">
        <f t="shared" ca="1" si="157"/>
        <v>#N/A</v>
      </c>
      <c r="AB485" t="e">
        <f t="shared" ca="1" si="153"/>
        <v>#N/A</v>
      </c>
      <c r="AC485" t="e">
        <f t="shared" ca="1" si="146"/>
        <v>#N/A</v>
      </c>
      <c r="AD485" t="e">
        <f t="shared" ca="1" si="147"/>
        <v>#N/A</v>
      </c>
      <c r="AE485" t="e">
        <f t="shared" ca="1" si="148"/>
        <v>#N/A</v>
      </c>
      <c r="AF485" s="83" t="e">
        <f ca="1"/>
        <v>#N/A</v>
      </c>
      <c r="AG485" s="55" t="e">
        <f t="shared" ca="1" si="149"/>
        <v>#N/A</v>
      </c>
      <c r="AH485" s="55" t="e">
        <f t="shared" ca="1" si="150"/>
        <v>#N/A</v>
      </c>
      <c r="AI485" s="55" t="e">
        <f t="shared" ca="1" si="151"/>
        <v>#N/A</v>
      </c>
      <c r="AJ485" s="55" t="e">
        <f t="shared" ca="1" si="152"/>
        <v>#N/A</v>
      </c>
      <c r="AK485" s="55" t="e">
        <f t="shared" ca="1" si="158"/>
        <v>#N/A</v>
      </c>
      <c r="AL485" s="55" t="e">
        <f t="shared" ca="1" si="159"/>
        <v>#N/A</v>
      </c>
      <c r="AM485" s="55" t="e">
        <f t="shared" ca="1" si="160"/>
        <v>#N/A</v>
      </c>
    </row>
    <row r="486" spans="18:39">
      <c r="R486" s="55" t="e">
        <f ca="1"/>
        <v>#N/A</v>
      </c>
      <c r="S486" s="55" t="e">
        <f t="shared" ca="1" si="142"/>
        <v>#N/A</v>
      </c>
      <c r="T486" s="55" t="e">
        <f t="shared" ca="1" si="143"/>
        <v>#N/A</v>
      </c>
      <c r="U486" s="55" t="e">
        <f t="shared" ca="1" si="144"/>
        <v>#N/A</v>
      </c>
      <c r="V486" s="55" t="e">
        <f t="shared" ca="1" si="145"/>
        <v>#N/A</v>
      </c>
      <c r="W486" s="55" t="e">
        <f t="shared" ca="1" si="154"/>
        <v>#N/A</v>
      </c>
      <c r="X486" s="55" t="e">
        <f t="shared" ca="1" si="155"/>
        <v>#N/A</v>
      </c>
      <c r="Y486" s="55" t="e">
        <f t="shared" ca="1" si="156"/>
        <v>#N/A</v>
      </c>
      <c r="Z486" s="55" t="e">
        <f t="shared" ca="1" si="157"/>
        <v>#N/A</v>
      </c>
      <c r="AB486" t="e">
        <f t="shared" ca="1" si="153"/>
        <v>#N/A</v>
      </c>
      <c r="AC486" t="e">
        <f t="shared" ca="1" si="146"/>
        <v>#N/A</v>
      </c>
      <c r="AD486" t="e">
        <f t="shared" ca="1" si="147"/>
        <v>#N/A</v>
      </c>
      <c r="AE486" t="e">
        <f t="shared" ca="1" si="148"/>
        <v>#N/A</v>
      </c>
      <c r="AF486" s="83" t="e">
        <f ca="1"/>
        <v>#N/A</v>
      </c>
      <c r="AG486" s="55" t="e">
        <f t="shared" ca="1" si="149"/>
        <v>#N/A</v>
      </c>
      <c r="AH486" s="55" t="e">
        <f t="shared" ca="1" si="150"/>
        <v>#N/A</v>
      </c>
      <c r="AI486" s="55" t="e">
        <f t="shared" ca="1" si="151"/>
        <v>#N/A</v>
      </c>
      <c r="AJ486" s="55" t="e">
        <f t="shared" ca="1" si="152"/>
        <v>#N/A</v>
      </c>
      <c r="AK486" s="55" t="e">
        <f t="shared" ca="1" si="158"/>
        <v>#N/A</v>
      </c>
      <c r="AL486" s="55" t="e">
        <f t="shared" ca="1" si="159"/>
        <v>#N/A</v>
      </c>
      <c r="AM486" s="55" t="e">
        <f t="shared" ca="1" si="160"/>
        <v>#N/A</v>
      </c>
    </row>
    <row r="487" spans="18:39">
      <c r="R487" s="55" t="e">
        <f ca="1"/>
        <v>#N/A</v>
      </c>
      <c r="S487" s="55" t="e">
        <f t="shared" ca="1" si="142"/>
        <v>#N/A</v>
      </c>
      <c r="T487" s="55" t="e">
        <f t="shared" ca="1" si="143"/>
        <v>#N/A</v>
      </c>
      <c r="U487" s="55" t="e">
        <f t="shared" ca="1" si="144"/>
        <v>#N/A</v>
      </c>
      <c r="V487" s="55" t="e">
        <f t="shared" ca="1" si="145"/>
        <v>#N/A</v>
      </c>
      <c r="W487" s="55" t="e">
        <f t="shared" ca="1" si="154"/>
        <v>#N/A</v>
      </c>
      <c r="X487" s="55" t="e">
        <f t="shared" ca="1" si="155"/>
        <v>#N/A</v>
      </c>
      <c r="Y487" s="55" t="e">
        <f t="shared" ca="1" si="156"/>
        <v>#N/A</v>
      </c>
      <c r="Z487" s="55" t="e">
        <f t="shared" ca="1" si="157"/>
        <v>#N/A</v>
      </c>
      <c r="AB487" t="e">
        <f t="shared" ca="1" si="153"/>
        <v>#N/A</v>
      </c>
      <c r="AC487" t="e">
        <f t="shared" ca="1" si="146"/>
        <v>#N/A</v>
      </c>
      <c r="AD487" t="e">
        <f t="shared" ca="1" si="147"/>
        <v>#N/A</v>
      </c>
      <c r="AE487" t="e">
        <f t="shared" ca="1" si="148"/>
        <v>#N/A</v>
      </c>
      <c r="AF487" s="83" t="e">
        <f ca="1"/>
        <v>#N/A</v>
      </c>
      <c r="AG487" s="55" t="e">
        <f t="shared" ca="1" si="149"/>
        <v>#N/A</v>
      </c>
      <c r="AH487" s="55" t="e">
        <f t="shared" ca="1" si="150"/>
        <v>#N/A</v>
      </c>
      <c r="AI487" s="55" t="e">
        <f t="shared" ca="1" si="151"/>
        <v>#N/A</v>
      </c>
      <c r="AJ487" s="55" t="e">
        <f t="shared" ca="1" si="152"/>
        <v>#N/A</v>
      </c>
      <c r="AK487" s="55" t="e">
        <f t="shared" ca="1" si="158"/>
        <v>#N/A</v>
      </c>
      <c r="AL487" s="55" t="e">
        <f t="shared" ca="1" si="159"/>
        <v>#N/A</v>
      </c>
      <c r="AM487" s="55" t="e">
        <f t="shared" ca="1" si="160"/>
        <v>#N/A</v>
      </c>
    </row>
    <row r="488" spans="18:39">
      <c r="R488" s="55" t="e">
        <f ca="1"/>
        <v>#N/A</v>
      </c>
      <c r="S488" s="55" t="e">
        <f t="shared" ca="1" si="142"/>
        <v>#N/A</v>
      </c>
      <c r="T488" s="55" t="e">
        <f t="shared" ca="1" si="143"/>
        <v>#N/A</v>
      </c>
      <c r="U488" s="55" t="e">
        <f t="shared" ca="1" si="144"/>
        <v>#N/A</v>
      </c>
      <c r="V488" s="55" t="e">
        <f t="shared" ca="1" si="145"/>
        <v>#N/A</v>
      </c>
      <c r="W488" s="55" t="e">
        <f t="shared" ca="1" si="154"/>
        <v>#N/A</v>
      </c>
      <c r="X488" s="55" t="e">
        <f t="shared" ca="1" si="155"/>
        <v>#N/A</v>
      </c>
      <c r="Y488" s="55" t="e">
        <f t="shared" ca="1" si="156"/>
        <v>#N/A</v>
      </c>
      <c r="Z488" s="55" t="e">
        <f t="shared" ca="1" si="157"/>
        <v>#N/A</v>
      </c>
      <c r="AB488" t="e">
        <f t="shared" ca="1" si="153"/>
        <v>#N/A</v>
      </c>
      <c r="AC488" t="e">
        <f t="shared" ca="1" si="146"/>
        <v>#N/A</v>
      </c>
      <c r="AD488" t="e">
        <f t="shared" ca="1" si="147"/>
        <v>#N/A</v>
      </c>
      <c r="AE488" t="e">
        <f t="shared" ca="1" si="148"/>
        <v>#N/A</v>
      </c>
      <c r="AF488" s="83" t="e">
        <f ca="1"/>
        <v>#N/A</v>
      </c>
      <c r="AG488" s="55" t="e">
        <f t="shared" ca="1" si="149"/>
        <v>#N/A</v>
      </c>
      <c r="AH488" s="55" t="e">
        <f t="shared" ca="1" si="150"/>
        <v>#N/A</v>
      </c>
      <c r="AI488" s="55" t="e">
        <f t="shared" ca="1" si="151"/>
        <v>#N/A</v>
      </c>
      <c r="AJ488" s="55" t="e">
        <f t="shared" ca="1" si="152"/>
        <v>#N/A</v>
      </c>
      <c r="AK488" s="55" t="e">
        <f t="shared" ca="1" si="158"/>
        <v>#N/A</v>
      </c>
      <c r="AL488" s="55" t="e">
        <f t="shared" ca="1" si="159"/>
        <v>#N/A</v>
      </c>
      <c r="AM488" s="55" t="e">
        <f t="shared" ca="1" si="160"/>
        <v>#N/A</v>
      </c>
    </row>
    <row r="489" spans="18:39">
      <c r="R489" s="55" t="e">
        <f ca="1"/>
        <v>#N/A</v>
      </c>
      <c r="S489" s="55" t="e">
        <f t="shared" ca="1" si="142"/>
        <v>#N/A</v>
      </c>
      <c r="T489" s="55" t="e">
        <f t="shared" ca="1" si="143"/>
        <v>#N/A</v>
      </c>
      <c r="U489" s="55" t="e">
        <f t="shared" ca="1" si="144"/>
        <v>#N/A</v>
      </c>
      <c r="V489" s="55" t="e">
        <f t="shared" ca="1" si="145"/>
        <v>#N/A</v>
      </c>
      <c r="W489" s="55" t="e">
        <f t="shared" ca="1" si="154"/>
        <v>#N/A</v>
      </c>
      <c r="X489" s="55" t="e">
        <f t="shared" ca="1" si="155"/>
        <v>#N/A</v>
      </c>
      <c r="Y489" s="55" t="e">
        <f t="shared" ca="1" si="156"/>
        <v>#N/A</v>
      </c>
      <c r="Z489" s="55" t="e">
        <f t="shared" ca="1" si="157"/>
        <v>#N/A</v>
      </c>
      <c r="AB489" t="e">
        <f t="shared" ca="1" si="153"/>
        <v>#N/A</v>
      </c>
      <c r="AC489" t="e">
        <f t="shared" ca="1" si="146"/>
        <v>#N/A</v>
      </c>
      <c r="AD489" t="e">
        <f t="shared" ca="1" si="147"/>
        <v>#N/A</v>
      </c>
      <c r="AE489" t="e">
        <f t="shared" ca="1" si="148"/>
        <v>#N/A</v>
      </c>
      <c r="AF489" s="83" t="e">
        <f ca="1"/>
        <v>#N/A</v>
      </c>
      <c r="AG489" s="55" t="e">
        <f t="shared" ca="1" si="149"/>
        <v>#N/A</v>
      </c>
      <c r="AH489" s="55" t="e">
        <f t="shared" ca="1" si="150"/>
        <v>#N/A</v>
      </c>
      <c r="AI489" s="55" t="e">
        <f t="shared" ca="1" si="151"/>
        <v>#N/A</v>
      </c>
      <c r="AJ489" s="55" t="e">
        <f t="shared" ca="1" si="152"/>
        <v>#N/A</v>
      </c>
      <c r="AK489" s="55" t="e">
        <f t="shared" ca="1" si="158"/>
        <v>#N/A</v>
      </c>
      <c r="AL489" s="55" t="e">
        <f t="shared" ca="1" si="159"/>
        <v>#N/A</v>
      </c>
      <c r="AM489" s="55" t="e">
        <f t="shared" ca="1" si="160"/>
        <v>#N/A</v>
      </c>
    </row>
    <row r="490" spans="18:39">
      <c r="R490" s="55" t="e">
        <f ca="1"/>
        <v>#N/A</v>
      </c>
      <c r="S490" s="55" t="e">
        <f t="shared" ca="1" si="142"/>
        <v>#N/A</v>
      </c>
      <c r="T490" s="55" t="e">
        <f t="shared" ca="1" si="143"/>
        <v>#N/A</v>
      </c>
      <c r="U490" s="55" t="e">
        <f t="shared" ca="1" si="144"/>
        <v>#N/A</v>
      </c>
      <c r="V490" s="55" t="e">
        <f t="shared" ca="1" si="145"/>
        <v>#N/A</v>
      </c>
      <c r="W490" s="55" t="e">
        <f t="shared" ca="1" si="154"/>
        <v>#N/A</v>
      </c>
      <c r="X490" s="55" t="e">
        <f t="shared" ca="1" si="155"/>
        <v>#N/A</v>
      </c>
      <c r="Y490" s="55" t="e">
        <f t="shared" ca="1" si="156"/>
        <v>#N/A</v>
      </c>
      <c r="Z490" s="55" t="e">
        <f t="shared" ca="1" si="157"/>
        <v>#N/A</v>
      </c>
      <c r="AB490" t="e">
        <f t="shared" ca="1" si="153"/>
        <v>#N/A</v>
      </c>
      <c r="AC490" t="e">
        <f t="shared" ca="1" si="146"/>
        <v>#N/A</v>
      </c>
      <c r="AD490" t="e">
        <f t="shared" ca="1" si="147"/>
        <v>#N/A</v>
      </c>
      <c r="AE490" t="e">
        <f t="shared" ca="1" si="148"/>
        <v>#N/A</v>
      </c>
      <c r="AF490" s="83" t="e">
        <f ca="1"/>
        <v>#N/A</v>
      </c>
      <c r="AG490" s="55" t="e">
        <f t="shared" ca="1" si="149"/>
        <v>#N/A</v>
      </c>
      <c r="AH490" s="55" t="e">
        <f t="shared" ca="1" si="150"/>
        <v>#N/A</v>
      </c>
      <c r="AI490" s="55" t="e">
        <f t="shared" ca="1" si="151"/>
        <v>#N/A</v>
      </c>
      <c r="AJ490" s="55" t="e">
        <f t="shared" ca="1" si="152"/>
        <v>#N/A</v>
      </c>
      <c r="AK490" s="55" t="e">
        <f t="shared" ca="1" si="158"/>
        <v>#N/A</v>
      </c>
      <c r="AL490" s="55" t="e">
        <f t="shared" ca="1" si="159"/>
        <v>#N/A</v>
      </c>
      <c r="AM490" s="55" t="e">
        <f t="shared" ca="1" si="160"/>
        <v>#N/A</v>
      </c>
    </row>
    <row r="491" spans="18:39">
      <c r="R491" s="55" t="e">
        <f ca="1"/>
        <v>#N/A</v>
      </c>
      <c r="S491" s="55" t="e">
        <f t="shared" ca="1" si="142"/>
        <v>#N/A</v>
      </c>
      <c r="T491" s="55" t="e">
        <f t="shared" ca="1" si="143"/>
        <v>#N/A</v>
      </c>
      <c r="U491" s="55" t="e">
        <f t="shared" ca="1" si="144"/>
        <v>#N/A</v>
      </c>
      <c r="V491" s="55" t="e">
        <f t="shared" ca="1" si="145"/>
        <v>#N/A</v>
      </c>
      <c r="W491" s="55" t="e">
        <f t="shared" ca="1" si="154"/>
        <v>#N/A</v>
      </c>
      <c r="X491" s="55" t="e">
        <f t="shared" ca="1" si="155"/>
        <v>#N/A</v>
      </c>
      <c r="Y491" s="55" t="e">
        <f t="shared" ca="1" si="156"/>
        <v>#N/A</v>
      </c>
      <c r="Z491" s="55" t="e">
        <f t="shared" ca="1" si="157"/>
        <v>#N/A</v>
      </c>
      <c r="AB491" t="e">
        <f t="shared" ca="1" si="153"/>
        <v>#N/A</v>
      </c>
      <c r="AC491" t="e">
        <f t="shared" ca="1" si="146"/>
        <v>#N/A</v>
      </c>
      <c r="AD491" t="e">
        <f t="shared" ca="1" si="147"/>
        <v>#N/A</v>
      </c>
      <c r="AE491" t="e">
        <f t="shared" ca="1" si="148"/>
        <v>#N/A</v>
      </c>
      <c r="AF491" s="83" t="e">
        <f ca="1"/>
        <v>#N/A</v>
      </c>
      <c r="AG491" s="55" t="e">
        <f t="shared" ca="1" si="149"/>
        <v>#N/A</v>
      </c>
      <c r="AH491" s="55" t="e">
        <f t="shared" ca="1" si="150"/>
        <v>#N/A</v>
      </c>
      <c r="AI491" s="55" t="e">
        <f t="shared" ca="1" si="151"/>
        <v>#N/A</v>
      </c>
      <c r="AJ491" s="55" t="e">
        <f t="shared" ca="1" si="152"/>
        <v>#N/A</v>
      </c>
      <c r="AK491" s="55" t="e">
        <f t="shared" ca="1" si="158"/>
        <v>#N/A</v>
      </c>
      <c r="AL491" s="55" t="e">
        <f t="shared" ca="1" si="159"/>
        <v>#N/A</v>
      </c>
      <c r="AM491" s="55" t="e">
        <f t="shared" ca="1" si="160"/>
        <v>#N/A</v>
      </c>
    </row>
    <row r="492" spans="18:39">
      <c r="R492" s="55" t="e">
        <f ca="1"/>
        <v>#N/A</v>
      </c>
      <c r="S492" s="55" t="e">
        <f t="shared" ca="1" si="142"/>
        <v>#N/A</v>
      </c>
      <c r="T492" s="55" t="e">
        <f t="shared" ca="1" si="143"/>
        <v>#N/A</v>
      </c>
      <c r="U492" s="55" t="e">
        <f t="shared" ca="1" si="144"/>
        <v>#N/A</v>
      </c>
      <c r="V492" s="55" t="e">
        <f t="shared" ca="1" si="145"/>
        <v>#N/A</v>
      </c>
      <c r="W492" s="55" t="e">
        <f t="shared" ca="1" si="154"/>
        <v>#N/A</v>
      </c>
      <c r="X492" s="55" t="e">
        <f t="shared" ca="1" si="155"/>
        <v>#N/A</v>
      </c>
      <c r="Y492" s="55" t="e">
        <f t="shared" ca="1" si="156"/>
        <v>#N/A</v>
      </c>
      <c r="Z492" s="55" t="e">
        <f t="shared" ca="1" si="157"/>
        <v>#N/A</v>
      </c>
      <c r="AB492" t="e">
        <f t="shared" ca="1" si="153"/>
        <v>#N/A</v>
      </c>
      <c r="AC492" t="e">
        <f t="shared" ca="1" si="146"/>
        <v>#N/A</v>
      </c>
      <c r="AD492" t="e">
        <f t="shared" ca="1" si="147"/>
        <v>#N/A</v>
      </c>
      <c r="AE492" t="e">
        <f t="shared" ca="1" si="148"/>
        <v>#N/A</v>
      </c>
      <c r="AF492" s="83" t="e">
        <f ca="1"/>
        <v>#N/A</v>
      </c>
      <c r="AG492" s="55" t="e">
        <f t="shared" ca="1" si="149"/>
        <v>#N/A</v>
      </c>
      <c r="AH492" s="55" t="e">
        <f t="shared" ca="1" si="150"/>
        <v>#N/A</v>
      </c>
      <c r="AI492" s="55" t="e">
        <f t="shared" ca="1" si="151"/>
        <v>#N/A</v>
      </c>
      <c r="AJ492" s="55" t="e">
        <f t="shared" ca="1" si="152"/>
        <v>#N/A</v>
      </c>
      <c r="AK492" s="55" t="e">
        <f t="shared" ca="1" si="158"/>
        <v>#N/A</v>
      </c>
      <c r="AL492" s="55" t="e">
        <f t="shared" ca="1" si="159"/>
        <v>#N/A</v>
      </c>
      <c r="AM492" s="55" t="e">
        <f t="shared" ca="1" si="160"/>
        <v>#N/A</v>
      </c>
    </row>
    <row r="493" spans="18:39">
      <c r="R493" s="55" t="e">
        <f ca="1"/>
        <v>#N/A</v>
      </c>
      <c r="S493" s="55" t="e">
        <f t="shared" ca="1" si="142"/>
        <v>#N/A</v>
      </c>
      <c r="T493" s="55" t="e">
        <f t="shared" ca="1" si="143"/>
        <v>#N/A</v>
      </c>
      <c r="U493" s="55" t="e">
        <f t="shared" ca="1" si="144"/>
        <v>#N/A</v>
      </c>
      <c r="V493" s="55" t="e">
        <f t="shared" ca="1" si="145"/>
        <v>#N/A</v>
      </c>
      <c r="W493" s="55" t="e">
        <f t="shared" ca="1" si="154"/>
        <v>#N/A</v>
      </c>
      <c r="X493" s="55" t="e">
        <f t="shared" ca="1" si="155"/>
        <v>#N/A</v>
      </c>
      <c r="Y493" s="55" t="e">
        <f t="shared" ca="1" si="156"/>
        <v>#N/A</v>
      </c>
      <c r="Z493" s="55" t="e">
        <f t="shared" ca="1" si="157"/>
        <v>#N/A</v>
      </c>
      <c r="AB493" t="e">
        <f t="shared" ca="1" si="153"/>
        <v>#N/A</v>
      </c>
      <c r="AC493" t="e">
        <f t="shared" ca="1" si="146"/>
        <v>#N/A</v>
      </c>
      <c r="AD493" t="e">
        <f t="shared" ca="1" si="147"/>
        <v>#N/A</v>
      </c>
      <c r="AE493" t="e">
        <f t="shared" ca="1" si="148"/>
        <v>#N/A</v>
      </c>
      <c r="AF493" s="83" t="e">
        <f ca="1"/>
        <v>#N/A</v>
      </c>
      <c r="AG493" s="55" t="e">
        <f t="shared" ca="1" si="149"/>
        <v>#N/A</v>
      </c>
      <c r="AH493" s="55" t="e">
        <f t="shared" ca="1" si="150"/>
        <v>#N/A</v>
      </c>
      <c r="AI493" s="55" t="e">
        <f t="shared" ca="1" si="151"/>
        <v>#N/A</v>
      </c>
      <c r="AJ493" s="55" t="e">
        <f t="shared" ca="1" si="152"/>
        <v>#N/A</v>
      </c>
      <c r="AK493" s="55" t="e">
        <f t="shared" ca="1" si="158"/>
        <v>#N/A</v>
      </c>
      <c r="AL493" s="55" t="e">
        <f t="shared" ca="1" si="159"/>
        <v>#N/A</v>
      </c>
      <c r="AM493" s="55" t="e">
        <f t="shared" ca="1" si="160"/>
        <v>#N/A</v>
      </c>
    </row>
    <row r="494" spans="18:39">
      <c r="R494" s="55" t="e">
        <f ca="1"/>
        <v>#N/A</v>
      </c>
      <c r="S494" s="55" t="e">
        <f t="shared" ca="1" si="142"/>
        <v>#N/A</v>
      </c>
      <c r="T494" s="55" t="e">
        <f t="shared" ca="1" si="143"/>
        <v>#N/A</v>
      </c>
      <c r="U494" s="55" t="e">
        <f t="shared" ca="1" si="144"/>
        <v>#N/A</v>
      </c>
      <c r="V494" s="55" t="e">
        <f t="shared" ca="1" si="145"/>
        <v>#N/A</v>
      </c>
      <c r="W494" s="55" t="e">
        <f t="shared" ca="1" si="154"/>
        <v>#N/A</v>
      </c>
      <c r="X494" s="55" t="e">
        <f t="shared" ca="1" si="155"/>
        <v>#N/A</v>
      </c>
      <c r="Y494" s="55" t="e">
        <f t="shared" ca="1" si="156"/>
        <v>#N/A</v>
      </c>
      <c r="Z494" s="55" t="e">
        <f t="shared" ca="1" si="157"/>
        <v>#N/A</v>
      </c>
      <c r="AB494" t="e">
        <f t="shared" ca="1" si="153"/>
        <v>#N/A</v>
      </c>
      <c r="AC494" t="e">
        <f t="shared" ca="1" si="146"/>
        <v>#N/A</v>
      </c>
      <c r="AD494" t="e">
        <f t="shared" ca="1" si="147"/>
        <v>#N/A</v>
      </c>
      <c r="AE494" t="e">
        <f t="shared" ca="1" si="148"/>
        <v>#N/A</v>
      </c>
      <c r="AF494" s="83" t="e">
        <f ca="1"/>
        <v>#N/A</v>
      </c>
      <c r="AG494" s="55" t="e">
        <f t="shared" ca="1" si="149"/>
        <v>#N/A</v>
      </c>
      <c r="AH494" s="55" t="e">
        <f t="shared" ca="1" si="150"/>
        <v>#N/A</v>
      </c>
      <c r="AI494" s="55" t="e">
        <f t="shared" ca="1" si="151"/>
        <v>#N/A</v>
      </c>
      <c r="AJ494" s="55" t="e">
        <f t="shared" ca="1" si="152"/>
        <v>#N/A</v>
      </c>
      <c r="AK494" s="55" t="e">
        <f t="shared" ca="1" si="158"/>
        <v>#N/A</v>
      </c>
      <c r="AL494" s="55" t="e">
        <f t="shared" ca="1" si="159"/>
        <v>#N/A</v>
      </c>
      <c r="AM494" s="55" t="e">
        <f t="shared" ca="1" si="160"/>
        <v>#N/A</v>
      </c>
    </row>
    <row r="495" spans="18:39">
      <c r="R495" s="55" t="e">
        <f ca="1"/>
        <v>#N/A</v>
      </c>
      <c r="S495" s="55" t="e">
        <f t="shared" ca="1" si="142"/>
        <v>#N/A</v>
      </c>
      <c r="T495" s="55" t="e">
        <f t="shared" ca="1" si="143"/>
        <v>#N/A</v>
      </c>
      <c r="U495" s="55" t="e">
        <f t="shared" ca="1" si="144"/>
        <v>#N/A</v>
      </c>
      <c r="V495" s="55" t="e">
        <f t="shared" ca="1" si="145"/>
        <v>#N/A</v>
      </c>
      <c r="W495" s="55" t="e">
        <f t="shared" ca="1" si="154"/>
        <v>#N/A</v>
      </c>
      <c r="X495" s="55" t="e">
        <f t="shared" ca="1" si="155"/>
        <v>#N/A</v>
      </c>
      <c r="Y495" s="55" t="e">
        <f t="shared" ca="1" si="156"/>
        <v>#N/A</v>
      </c>
      <c r="Z495" s="55" t="e">
        <f t="shared" ca="1" si="157"/>
        <v>#N/A</v>
      </c>
      <c r="AB495" t="e">
        <f t="shared" ca="1" si="153"/>
        <v>#N/A</v>
      </c>
      <c r="AC495" t="e">
        <f t="shared" ca="1" si="146"/>
        <v>#N/A</v>
      </c>
      <c r="AD495" t="e">
        <f t="shared" ca="1" si="147"/>
        <v>#N/A</v>
      </c>
      <c r="AE495" t="e">
        <f t="shared" ca="1" si="148"/>
        <v>#N/A</v>
      </c>
      <c r="AF495" s="83" t="e">
        <f ca="1"/>
        <v>#N/A</v>
      </c>
      <c r="AG495" s="55" t="e">
        <f t="shared" ca="1" si="149"/>
        <v>#N/A</v>
      </c>
      <c r="AH495" s="55" t="e">
        <f t="shared" ca="1" si="150"/>
        <v>#N/A</v>
      </c>
      <c r="AI495" s="55" t="e">
        <f t="shared" ca="1" si="151"/>
        <v>#N/A</v>
      </c>
      <c r="AJ495" s="55" t="e">
        <f t="shared" ca="1" si="152"/>
        <v>#N/A</v>
      </c>
      <c r="AK495" s="55" t="e">
        <f t="shared" ca="1" si="158"/>
        <v>#N/A</v>
      </c>
      <c r="AL495" s="55" t="e">
        <f t="shared" ca="1" si="159"/>
        <v>#N/A</v>
      </c>
      <c r="AM495" s="55" t="e">
        <f t="shared" ca="1" si="160"/>
        <v>#N/A</v>
      </c>
    </row>
    <row r="496" spans="18:39">
      <c r="R496" s="55" t="e">
        <f ca="1"/>
        <v>#N/A</v>
      </c>
      <c r="S496" s="55" t="e">
        <f t="shared" ca="1" si="142"/>
        <v>#N/A</v>
      </c>
      <c r="T496" s="55" t="e">
        <f t="shared" ca="1" si="143"/>
        <v>#N/A</v>
      </c>
      <c r="U496" s="55" t="e">
        <f t="shared" ca="1" si="144"/>
        <v>#N/A</v>
      </c>
      <c r="V496" s="55" t="e">
        <f t="shared" ca="1" si="145"/>
        <v>#N/A</v>
      </c>
      <c r="W496" s="55" t="e">
        <f t="shared" ca="1" si="154"/>
        <v>#N/A</v>
      </c>
      <c r="X496" s="55" t="e">
        <f t="shared" ca="1" si="155"/>
        <v>#N/A</v>
      </c>
      <c r="Y496" s="55" t="e">
        <f t="shared" ca="1" si="156"/>
        <v>#N/A</v>
      </c>
      <c r="Z496" s="55" t="e">
        <f t="shared" ca="1" si="157"/>
        <v>#N/A</v>
      </c>
      <c r="AB496" t="e">
        <f t="shared" ca="1" si="153"/>
        <v>#N/A</v>
      </c>
      <c r="AC496" t="e">
        <f t="shared" ca="1" si="146"/>
        <v>#N/A</v>
      </c>
      <c r="AD496" t="e">
        <f t="shared" ca="1" si="147"/>
        <v>#N/A</v>
      </c>
      <c r="AE496" t="e">
        <f t="shared" ca="1" si="148"/>
        <v>#N/A</v>
      </c>
      <c r="AF496" s="83" t="e">
        <f ca="1"/>
        <v>#N/A</v>
      </c>
      <c r="AG496" s="55" t="e">
        <f t="shared" ca="1" si="149"/>
        <v>#N/A</v>
      </c>
      <c r="AH496" s="55" t="e">
        <f t="shared" ca="1" si="150"/>
        <v>#N/A</v>
      </c>
      <c r="AI496" s="55" t="e">
        <f t="shared" ca="1" si="151"/>
        <v>#N/A</v>
      </c>
      <c r="AJ496" s="55" t="e">
        <f t="shared" ca="1" si="152"/>
        <v>#N/A</v>
      </c>
      <c r="AK496" s="55" t="e">
        <f t="shared" ca="1" si="158"/>
        <v>#N/A</v>
      </c>
      <c r="AL496" s="55" t="e">
        <f t="shared" ca="1" si="159"/>
        <v>#N/A</v>
      </c>
      <c r="AM496" s="55" t="e">
        <f t="shared" ca="1" si="160"/>
        <v>#N/A</v>
      </c>
    </row>
    <row r="497" spans="18:39">
      <c r="R497" s="55" t="e">
        <f ca="1"/>
        <v>#N/A</v>
      </c>
      <c r="S497" s="55" t="e">
        <f t="shared" ca="1" si="142"/>
        <v>#N/A</v>
      </c>
      <c r="T497" s="55" t="e">
        <f t="shared" ca="1" si="143"/>
        <v>#N/A</v>
      </c>
      <c r="U497" s="55" t="e">
        <f t="shared" ca="1" si="144"/>
        <v>#N/A</v>
      </c>
      <c r="V497" s="55" t="e">
        <f t="shared" ca="1" si="145"/>
        <v>#N/A</v>
      </c>
      <c r="W497" s="55" t="e">
        <f t="shared" ca="1" si="154"/>
        <v>#N/A</v>
      </c>
      <c r="X497" s="55" t="e">
        <f t="shared" ca="1" si="155"/>
        <v>#N/A</v>
      </c>
      <c r="Y497" s="55" t="e">
        <f t="shared" ca="1" si="156"/>
        <v>#N/A</v>
      </c>
      <c r="Z497" s="55" t="e">
        <f t="shared" ca="1" si="157"/>
        <v>#N/A</v>
      </c>
      <c r="AB497" t="e">
        <f t="shared" ca="1" si="153"/>
        <v>#N/A</v>
      </c>
      <c r="AC497" t="e">
        <f t="shared" ca="1" si="146"/>
        <v>#N/A</v>
      </c>
      <c r="AD497" t="e">
        <f t="shared" ca="1" si="147"/>
        <v>#N/A</v>
      </c>
      <c r="AE497" t="e">
        <f t="shared" ca="1" si="148"/>
        <v>#N/A</v>
      </c>
      <c r="AF497" s="83" t="e">
        <f ca="1"/>
        <v>#N/A</v>
      </c>
      <c r="AG497" s="55" t="e">
        <f t="shared" ca="1" si="149"/>
        <v>#N/A</v>
      </c>
      <c r="AH497" s="55" t="e">
        <f t="shared" ca="1" si="150"/>
        <v>#N/A</v>
      </c>
      <c r="AI497" s="55" t="e">
        <f t="shared" ca="1" si="151"/>
        <v>#N/A</v>
      </c>
      <c r="AJ497" s="55" t="e">
        <f t="shared" ca="1" si="152"/>
        <v>#N/A</v>
      </c>
      <c r="AK497" s="55" t="e">
        <f t="shared" ca="1" si="158"/>
        <v>#N/A</v>
      </c>
      <c r="AL497" s="55" t="e">
        <f t="shared" ca="1" si="159"/>
        <v>#N/A</v>
      </c>
      <c r="AM497" s="55" t="e">
        <f t="shared" ca="1" si="160"/>
        <v>#N/A</v>
      </c>
    </row>
    <row r="498" spans="18:39">
      <c r="R498" s="55" t="e">
        <f ca="1"/>
        <v>#N/A</v>
      </c>
      <c r="S498" s="55" t="e">
        <f t="shared" ca="1" si="142"/>
        <v>#N/A</v>
      </c>
      <c r="T498" s="55" t="e">
        <f t="shared" ca="1" si="143"/>
        <v>#N/A</v>
      </c>
      <c r="U498" s="55" t="e">
        <f t="shared" ca="1" si="144"/>
        <v>#N/A</v>
      </c>
      <c r="V498" s="55" t="e">
        <f t="shared" ca="1" si="145"/>
        <v>#N/A</v>
      </c>
      <c r="W498" s="55" t="e">
        <f t="shared" ca="1" si="154"/>
        <v>#N/A</v>
      </c>
      <c r="X498" s="55" t="e">
        <f t="shared" ca="1" si="155"/>
        <v>#N/A</v>
      </c>
      <c r="Y498" s="55" t="e">
        <f t="shared" ca="1" si="156"/>
        <v>#N/A</v>
      </c>
      <c r="Z498" s="55" t="e">
        <f t="shared" ca="1" si="157"/>
        <v>#N/A</v>
      </c>
      <c r="AB498" t="e">
        <f t="shared" ca="1" si="153"/>
        <v>#N/A</v>
      </c>
      <c r="AC498" t="e">
        <f t="shared" ca="1" si="146"/>
        <v>#N/A</v>
      </c>
      <c r="AD498" t="e">
        <f t="shared" ca="1" si="147"/>
        <v>#N/A</v>
      </c>
      <c r="AE498" t="e">
        <f t="shared" ca="1" si="148"/>
        <v>#N/A</v>
      </c>
      <c r="AF498" s="83" t="e">
        <f ca="1"/>
        <v>#N/A</v>
      </c>
      <c r="AG498" s="55" t="e">
        <f t="shared" ca="1" si="149"/>
        <v>#N/A</v>
      </c>
      <c r="AH498" s="55" t="e">
        <f t="shared" ca="1" si="150"/>
        <v>#N/A</v>
      </c>
      <c r="AI498" s="55" t="e">
        <f t="shared" ca="1" si="151"/>
        <v>#N/A</v>
      </c>
      <c r="AJ498" s="55" t="e">
        <f t="shared" ca="1" si="152"/>
        <v>#N/A</v>
      </c>
      <c r="AK498" s="55" t="e">
        <f t="shared" ca="1" si="158"/>
        <v>#N/A</v>
      </c>
      <c r="AL498" s="55" t="e">
        <f t="shared" ca="1" si="159"/>
        <v>#N/A</v>
      </c>
      <c r="AM498" s="55" t="e">
        <f t="shared" ca="1" si="160"/>
        <v>#N/A</v>
      </c>
    </row>
    <row r="499" spans="18:39">
      <c r="R499" s="55" t="e">
        <f ca="1"/>
        <v>#N/A</v>
      </c>
      <c r="S499" s="55" t="e">
        <f t="shared" ca="1" si="142"/>
        <v>#N/A</v>
      </c>
      <c r="T499" s="55" t="e">
        <f t="shared" ca="1" si="143"/>
        <v>#N/A</v>
      </c>
      <c r="U499" s="55" t="e">
        <f t="shared" ca="1" si="144"/>
        <v>#N/A</v>
      </c>
      <c r="V499" s="55" t="e">
        <f t="shared" ca="1" si="145"/>
        <v>#N/A</v>
      </c>
      <c r="W499" s="55" t="e">
        <f t="shared" ca="1" si="154"/>
        <v>#N/A</v>
      </c>
      <c r="X499" s="55" t="e">
        <f t="shared" ca="1" si="155"/>
        <v>#N/A</v>
      </c>
      <c r="Y499" s="55" t="e">
        <f t="shared" ca="1" si="156"/>
        <v>#N/A</v>
      </c>
      <c r="Z499" s="55" t="e">
        <f t="shared" ca="1" si="157"/>
        <v>#N/A</v>
      </c>
      <c r="AB499" t="e">
        <f t="shared" ca="1" si="153"/>
        <v>#N/A</v>
      </c>
      <c r="AC499" t="e">
        <f t="shared" ca="1" si="146"/>
        <v>#N/A</v>
      </c>
      <c r="AD499" t="e">
        <f t="shared" ca="1" si="147"/>
        <v>#N/A</v>
      </c>
      <c r="AE499" t="e">
        <f t="shared" ca="1" si="148"/>
        <v>#N/A</v>
      </c>
      <c r="AF499" s="83" t="e">
        <f ca="1"/>
        <v>#N/A</v>
      </c>
      <c r="AG499" s="55" t="e">
        <f t="shared" ca="1" si="149"/>
        <v>#N/A</v>
      </c>
      <c r="AH499" s="55" t="e">
        <f t="shared" ca="1" si="150"/>
        <v>#N/A</v>
      </c>
      <c r="AI499" s="55" t="e">
        <f t="shared" ca="1" si="151"/>
        <v>#N/A</v>
      </c>
      <c r="AJ499" s="55" t="e">
        <f t="shared" ca="1" si="152"/>
        <v>#N/A</v>
      </c>
      <c r="AK499" s="55" t="e">
        <f t="shared" ca="1" si="158"/>
        <v>#N/A</v>
      </c>
      <c r="AL499" s="55" t="e">
        <f t="shared" ca="1" si="159"/>
        <v>#N/A</v>
      </c>
      <c r="AM499" s="55" t="e">
        <f t="shared" ca="1" si="160"/>
        <v>#N/A</v>
      </c>
    </row>
    <row r="500" spans="18:39">
      <c r="R500" s="55" t="e">
        <f ca="1"/>
        <v>#N/A</v>
      </c>
      <c r="S500" s="55" t="e">
        <f t="shared" ca="1" si="142"/>
        <v>#N/A</v>
      </c>
      <c r="T500" s="55" t="e">
        <f t="shared" ca="1" si="143"/>
        <v>#N/A</v>
      </c>
      <c r="U500" s="55" t="e">
        <f t="shared" ca="1" si="144"/>
        <v>#N/A</v>
      </c>
      <c r="V500" s="55" t="e">
        <f t="shared" ca="1" si="145"/>
        <v>#N/A</v>
      </c>
      <c r="W500" s="55" t="e">
        <f t="shared" ca="1" si="154"/>
        <v>#N/A</v>
      </c>
      <c r="X500" s="55" t="e">
        <f t="shared" ca="1" si="155"/>
        <v>#N/A</v>
      </c>
      <c r="Y500" s="55" t="e">
        <f t="shared" ca="1" si="156"/>
        <v>#N/A</v>
      </c>
      <c r="Z500" s="55" t="e">
        <f t="shared" ca="1" si="157"/>
        <v>#N/A</v>
      </c>
      <c r="AB500" t="e">
        <f t="shared" ca="1" si="153"/>
        <v>#N/A</v>
      </c>
      <c r="AC500" t="e">
        <f t="shared" ca="1" si="146"/>
        <v>#N/A</v>
      </c>
      <c r="AD500" t="e">
        <f t="shared" ca="1" si="147"/>
        <v>#N/A</v>
      </c>
      <c r="AE500" t="e">
        <f t="shared" ca="1" si="148"/>
        <v>#N/A</v>
      </c>
      <c r="AF500" s="83" t="e">
        <f ca="1"/>
        <v>#N/A</v>
      </c>
      <c r="AG500" s="55" t="e">
        <f t="shared" ca="1" si="149"/>
        <v>#N/A</v>
      </c>
      <c r="AH500" s="55" t="e">
        <f t="shared" ca="1" si="150"/>
        <v>#N/A</v>
      </c>
      <c r="AI500" s="55" t="e">
        <f t="shared" ca="1" si="151"/>
        <v>#N/A</v>
      </c>
      <c r="AJ500" s="55" t="e">
        <f t="shared" ca="1" si="152"/>
        <v>#N/A</v>
      </c>
      <c r="AK500" s="55" t="e">
        <f t="shared" ca="1" si="158"/>
        <v>#N/A</v>
      </c>
      <c r="AL500" s="55" t="e">
        <f t="shared" ca="1" si="159"/>
        <v>#N/A</v>
      </c>
      <c r="AM500" s="55" t="e">
        <f t="shared" ca="1" si="160"/>
        <v>#N/A</v>
      </c>
    </row>
    <row r="501" spans="18:39">
      <c r="R501" s="55" t="e">
        <f ca="1"/>
        <v>#N/A</v>
      </c>
      <c r="S501" s="55" t="e">
        <f t="shared" ca="1" si="142"/>
        <v>#N/A</v>
      </c>
      <c r="T501" s="55" t="e">
        <f t="shared" ca="1" si="143"/>
        <v>#N/A</v>
      </c>
      <c r="U501" s="55" t="e">
        <f t="shared" ca="1" si="144"/>
        <v>#N/A</v>
      </c>
      <c r="V501" s="55" t="e">
        <f t="shared" ca="1" si="145"/>
        <v>#N/A</v>
      </c>
      <c r="W501" s="55" t="e">
        <f t="shared" ca="1" si="154"/>
        <v>#N/A</v>
      </c>
      <c r="X501" s="55" t="e">
        <f t="shared" ca="1" si="155"/>
        <v>#N/A</v>
      </c>
      <c r="Y501" s="55" t="e">
        <f t="shared" ca="1" si="156"/>
        <v>#N/A</v>
      </c>
      <c r="Z501" s="55" t="e">
        <f t="shared" ca="1" si="157"/>
        <v>#N/A</v>
      </c>
      <c r="AB501" t="e">
        <f t="shared" ca="1" si="153"/>
        <v>#N/A</v>
      </c>
      <c r="AC501" t="e">
        <f t="shared" ca="1" si="146"/>
        <v>#N/A</v>
      </c>
      <c r="AD501" t="e">
        <f t="shared" ca="1" si="147"/>
        <v>#N/A</v>
      </c>
      <c r="AE501" t="e">
        <f t="shared" ca="1" si="148"/>
        <v>#N/A</v>
      </c>
      <c r="AF501" s="83" t="e">
        <f ca="1"/>
        <v>#N/A</v>
      </c>
      <c r="AG501" s="55" t="e">
        <f t="shared" ca="1" si="149"/>
        <v>#N/A</v>
      </c>
      <c r="AH501" s="55" t="e">
        <f t="shared" ca="1" si="150"/>
        <v>#N/A</v>
      </c>
      <c r="AI501" s="55" t="e">
        <f t="shared" ca="1" si="151"/>
        <v>#N/A</v>
      </c>
      <c r="AJ501" s="55" t="e">
        <f t="shared" ca="1" si="152"/>
        <v>#N/A</v>
      </c>
      <c r="AK501" s="55" t="e">
        <f t="shared" ca="1" si="158"/>
        <v>#N/A</v>
      </c>
      <c r="AL501" s="55" t="e">
        <f t="shared" ca="1" si="159"/>
        <v>#N/A</v>
      </c>
      <c r="AM501" s="55" t="e">
        <f t="shared" ca="1" si="160"/>
        <v>#N/A</v>
      </c>
    </row>
    <row r="502" spans="18:39">
      <c r="R502" s="55" t="e">
        <f ca="1"/>
        <v>#N/A</v>
      </c>
      <c r="S502" s="55" t="e">
        <f t="shared" ca="1" si="142"/>
        <v>#N/A</v>
      </c>
      <c r="T502" s="55" t="e">
        <f t="shared" ca="1" si="143"/>
        <v>#N/A</v>
      </c>
      <c r="U502" s="55" t="e">
        <f t="shared" ca="1" si="144"/>
        <v>#N/A</v>
      </c>
      <c r="V502" s="55" t="e">
        <f t="shared" ca="1" si="145"/>
        <v>#N/A</v>
      </c>
      <c r="W502" s="55" t="e">
        <f t="shared" ca="1" si="154"/>
        <v>#N/A</v>
      </c>
      <c r="X502" s="55" t="e">
        <f t="shared" ca="1" si="155"/>
        <v>#N/A</v>
      </c>
      <c r="Y502" s="55" t="e">
        <f t="shared" ca="1" si="156"/>
        <v>#N/A</v>
      </c>
      <c r="Z502" s="55" t="e">
        <f t="shared" ca="1" si="157"/>
        <v>#N/A</v>
      </c>
      <c r="AB502" t="e">
        <f t="shared" ca="1" si="153"/>
        <v>#N/A</v>
      </c>
      <c r="AC502" t="e">
        <f t="shared" ca="1" si="146"/>
        <v>#N/A</v>
      </c>
      <c r="AD502" t="e">
        <f t="shared" ca="1" si="147"/>
        <v>#N/A</v>
      </c>
      <c r="AE502" t="e">
        <f t="shared" ca="1" si="148"/>
        <v>#N/A</v>
      </c>
      <c r="AF502" s="83" t="e">
        <f ca="1"/>
        <v>#N/A</v>
      </c>
      <c r="AG502" s="55" t="e">
        <f t="shared" ca="1" si="149"/>
        <v>#N/A</v>
      </c>
      <c r="AH502" s="55" t="e">
        <f t="shared" ca="1" si="150"/>
        <v>#N/A</v>
      </c>
      <c r="AI502" s="55" t="e">
        <f t="shared" ca="1" si="151"/>
        <v>#N/A</v>
      </c>
      <c r="AJ502" s="55" t="e">
        <f t="shared" ca="1" si="152"/>
        <v>#N/A</v>
      </c>
      <c r="AK502" s="55" t="e">
        <f t="shared" ca="1" si="158"/>
        <v>#N/A</v>
      </c>
      <c r="AL502" s="55" t="e">
        <f t="shared" ca="1" si="159"/>
        <v>#N/A</v>
      </c>
      <c r="AM502" s="55" t="e">
        <f t="shared" ca="1" si="160"/>
        <v>#N/A</v>
      </c>
    </row>
    <row r="503" spans="18:39">
      <c r="R503" s="55" t="e">
        <f ca="1"/>
        <v>#N/A</v>
      </c>
      <c r="S503" s="55" t="e">
        <f t="shared" ca="1" si="142"/>
        <v>#N/A</v>
      </c>
      <c r="T503" s="55" t="e">
        <f t="shared" ca="1" si="143"/>
        <v>#N/A</v>
      </c>
      <c r="U503" s="55" t="e">
        <f t="shared" ca="1" si="144"/>
        <v>#N/A</v>
      </c>
      <c r="V503" s="55" t="e">
        <f t="shared" ca="1" si="145"/>
        <v>#N/A</v>
      </c>
      <c r="W503" s="55" t="e">
        <f t="shared" ca="1" si="154"/>
        <v>#N/A</v>
      </c>
      <c r="X503" s="55" t="e">
        <f t="shared" ca="1" si="155"/>
        <v>#N/A</v>
      </c>
      <c r="Y503" s="55" t="e">
        <f t="shared" ca="1" si="156"/>
        <v>#N/A</v>
      </c>
      <c r="Z503" s="55" t="e">
        <f t="shared" ca="1" si="157"/>
        <v>#N/A</v>
      </c>
      <c r="AB503" t="e">
        <f t="shared" ca="1" si="153"/>
        <v>#N/A</v>
      </c>
      <c r="AC503" t="e">
        <f t="shared" ca="1" si="146"/>
        <v>#N/A</v>
      </c>
      <c r="AD503" t="e">
        <f t="shared" ca="1" si="147"/>
        <v>#N/A</v>
      </c>
      <c r="AE503" t="e">
        <f t="shared" ca="1" si="148"/>
        <v>#N/A</v>
      </c>
      <c r="AF503" s="83" t="e">
        <f ca="1"/>
        <v>#N/A</v>
      </c>
      <c r="AG503" s="55" t="e">
        <f t="shared" ca="1" si="149"/>
        <v>#N/A</v>
      </c>
      <c r="AH503" s="55" t="e">
        <f t="shared" ca="1" si="150"/>
        <v>#N/A</v>
      </c>
      <c r="AI503" s="55" t="e">
        <f t="shared" ca="1" si="151"/>
        <v>#N/A</v>
      </c>
      <c r="AJ503" s="55" t="e">
        <f t="shared" ca="1" si="152"/>
        <v>#N/A</v>
      </c>
      <c r="AK503" s="55" t="e">
        <f t="shared" ca="1" si="158"/>
        <v>#N/A</v>
      </c>
      <c r="AL503" s="55" t="e">
        <f t="shared" ca="1" si="159"/>
        <v>#N/A</v>
      </c>
      <c r="AM503" s="55" t="e">
        <f t="shared" ca="1" si="160"/>
        <v>#N/A</v>
      </c>
    </row>
    <row r="504" spans="18:39">
      <c r="R504" s="55" t="e">
        <f ca="1"/>
        <v>#N/A</v>
      </c>
      <c r="S504" s="55" t="e">
        <f t="shared" ca="1" si="142"/>
        <v>#N/A</v>
      </c>
      <c r="T504" s="55" t="e">
        <f t="shared" ca="1" si="143"/>
        <v>#N/A</v>
      </c>
      <c r="U504" s="55" t="e">
        <f t="shared" ca="1" si="144"/>
        <v>#N/A</v>
      </c>
      <c r="V504" s="55" t="e">
        <f t="shared" ca="1" si="145"/>
        <v>#N/A</v>
      </c>
      <c r="W504" s="55" t="e">
        <f t="shared" ca="1" si="154"/>
        <v>#N/A</v>
      </c>
      <c r="X504" s="55" t="e">
        <f t="shared" ca="1" si="155"/>
        <v>#N/A</v>
      </c>
      <c r="Y504" s="55" t="e">
        <f t="shared" ca="1" si="156"/>
        <v>#N/A</v>
      </c>
      <c r="Z504" s="55" t="e">
        <f t="shared" ca="1" si="157"/>
        <v>#N/A</v>
      </c>
      <c r="AB504" t="e">
        <f t="shared" ca="1" si="153"/>
        <v>#N/A</v>
      </c>
      <c r="AC504" t="e">
        <f t="shared" ca="1" si="146"/>
        <v>#N/A</v>
      </c>
      <c r="AD504" t="e">
        <f t="shared" ca="1" si="147"/>
        <v>#N/A</v>
      </c>
      <c r="AE504" t="e">
        <f t="shared" ca="1" si="148"/>
        <v>#N/A</v>
      </c>
      <c r="AF504" s="83" t="e">
        <f ca="1"/>
        <v>#N/A</v>
      </c>
      <c r="AG504" s="55" t="e">
        <f t="shared" ca="1" si="149"/>
        <v>#N/A</v>
      </c>
      <c r="AH504" s="55" t="e">
        <f t="shared" ca="1" si="150"/>
        <v>#N/A</v>
      </c>
      <c r="AI504" s="55" t="e">
        <f t="shared" ca="1" si="151"/>
        <v>#N/A</v>
      </c>
      <c r="AJ504" s="55" t="e">
        <f t="shared" ca="1" si="152"/>
        <v>#N/A</v>
      </c>
      <c r="AK504" s="55" t="e">
        <f t="shared" ca="1" si="158"/>
        <v>#N/A</v>
      </c>
      <c r="AL504" s="55" t="e">
        <f t="shared" ca="1" si="159"/>
        <v>#N/A</v>
      </c>
      <c r="AM504" s="55" t="e">
        <f t="shared" ca="1" si="160"/>
        <v>#N/A</v>
      </c>
    </row>
    <row r="505" spans="18:39">
      <c r="R505" s="55" t="e">
        <f ca="1"/>
        <v>#N/A</v>
      </c>
      <c r="S505" s="55" t="e">
        <f t="shared" ca="1" si="142"/>
        <v>#N/A</v>
      </c>
      <c r="T505" s="55" t="e">
        <f t="shared" ca="1" si="143"/>
        <v>#N/A</v>
      </c>
      <c r="U505" s="55" t="e">
        <f t="shared" ca="1" si="144"/>
        <v>#N/A</v>
      </c>
      <c r="V505" s="55" t="e">
        <f t="shared" ca="1" si="145"/>
        <v>#N/A</v>
      </c>
      <c r="W505" s="55" t="e">
        <f t="shared" ca="1" si="154"/>
        <v>#N/A</v>
      </c>
      <c r="X505" s="55" t="e">
        <f t="shared" ca="1" si="155"/>
        <v>#N/A</v>
      </c>
      <c r="Y505" s="55" t="e">
        <f t="shared" ca="1" si="156"/>
        <v>#N/A</v>
      </c>
      <c r="Z505" s="55" t="e">
        <f t="shared" ca="1" si="157"/>
        <v>#N/A</v>
      </c>
      <c r="AB505" t="e">
        <f t="shared" ca="1" si="153"/>
        <v>#N/A</v>
      </c>
      <c r="AC505" t="e">
        <f t="shared" ca="1" si="146"/>
        <v>#N/A</v>
      </c>
      <c r="AD505" t="e">
        <f t="shared" ca="1" si="147"/>
        <v>#N/A</v>
      </c>
      <c r="AE505" t="e">
        <f t="shared" ca="1" si="148"/>
        <v>#N/A</v>
      </c>
      <c r="AF505" s="83" t="e">
        <f ca="1"/>
        <v>#N/A</v>
      </c>
      <c r="AG505" s="55" t="e">
        <f t="shared" ca="1" si="149"/>
        <v>#N/A</v>
      </c>
      <c r="AH505" s="55" t="e">
        <f t="shared" ca="1" si="150"/>
        <v>#N/A</v>
      </c>
      <c r="AI505" s="55" t="e">
        <f t="shared" ca="1" si="151"/>
        <v>#N/A</v>
      </c>
      <c r="AJ505" s="55" t="e">
        <f t="shared" ca="1" si="152"/>
        <v>#N/A</v>
      </c>
      <c r="AK505" s="55" t="e">
        <f t="shared" ca="1" si="158"/>
        <v>#N/A</v>
      </c>
      <c r="AL505" s="55" t="e">
        <f t="shared" ca="1" si="159"/>
        <v>#N/A</v>
      </c>
      <c r="AM505" s="55" t="e">
        <f t="shared" ca="1" si="160"/>
        <v>#N/A</v>
      </c>
    </row>
    <row r="506" spans="18:39">
      <c r="R506" s="55" t="e">
        <f ca="1"/>
        <v>#N/A</v>
      </c>
      <c r="S506" s="55" t="e">
        <f t="shared" ca="1" si="142"/>
        <v>#N/A</v>
      </c>
      <c r="T506" s="55" t="e">
        <f t="shared" ca="1" si="143"/>
        <v>#N/A</v>
      </c>
      <c r="U506" s="55" t="e">
        <f t="shared" ca="1" si="144"/>
        <v>#N/A</v>
      </c>
      <c r="V506" s="55" t="e">
        <f t="shared" ca="1" si="145"/>
        <v>#N/A</v>
      </c>
      <c r="W506" s="55" t="e">
        <f t="shared" ca="1" si="154"/>
        <v>#N/A</v>
      </c>
      <c r="X506" s="55" t="e">
        <f t="shared" ca="1" si="155"/>
        <v>#N/A</v>
      </c>
      <c r="Y506" s="55" t="e">
        <f t="shared" ca="1" si="156"/>
        <v>#N/A</v>
      </c>
      <c r="Z506" s="55" t="e">
        <f t="shared" ca="1" si="157"/>
        <v>#N/A</v>
      </c>
      <c r="AB506" t="e">
        <f t="shared" ca="1" si="153"/>
        <v>#N/A</v>
      </c>
      <c r="AC506" t="e">
        <f t="shared" ca="1" si="146"/>
        <v>#N/A</v>
      </c>
      <c r="AD506" t="e">
        <f t="shared" ca="1" si="147"/>
        <v>#N/A</v>
      </c>
      <c r="AE506" t="e">
        <f t="shared" ca="1" si="148"/>
        <v>#N/A</v>
      </c>
      <c r="AF506" s="83" t="e">
        <f ca="1"/>
        <v>#N/A</v>
      </c>
      <c r="AG506" s="55" t="e">
        <f t="shared" ca="1" si="149"/>
        <v>#N/A</v>
      </c>
      <c r="AH506" s="55" t="e">
        <f t="shared" ca="1" si="150"/>
        <v>#N/A</v>
      </c>
      <c r="AI506" s="55" t="e">
        <f t="shared" ca="1" si="151"/>
        <v>#N/A</v>
      </c>
      <c r="AJ506" s="55" t="e">
        <f t="shared" ca="1" si="152"/>
        <v>#N/A</v>
      </c>
      <c r="AK506" s="55" t="e">
        <f t="shared" ca="1" si="158"/>
        <v>#N/A</v>
      </c>
      <c r="AL506" s="55" t="e">
        <f t="shared" ca="1" si="159"/>
        <v>#N/A</v>
      </c>
      <c r="AM506" s="55" t="e">
        <f t="shared" ca="1" si="160"/>
        <v>#N/A</v>
      </c>
    </row>
    <row r="507" spans="18:39">
      <c r="R507" s="55" t="e">
        <f ca="1"/>
        <v>#N/A</v>
      </c>
      <c r="S507" s="55" t="e">
        <f t="shared" ca="1" si="142"/>
        <v>#N/A</v>
      </c>
      <c r="T507" s="55" t="e">
        <f t="shared" ca="1" si="143"/>
        <v>#N/A</v>
      </c>
      <c r="U507" s="55" t="e">
        <f t="shared" ca="1" si="144"/>
        <v>#N/A</v>
      </c>
      <c r="V507" s="55" t="e">
        <f t="shared" ca="1" si="145"/>
        <v>#N/A</v>
      </c>
      <c r="W507" s="55" t="e">
        <f t="shared" ca="1" si="154"/>
        <v>#N/A</v>
      </c>
      <c r="X507" s="55" t="e">
        <f t="shared" ca="1" si="155"/>
        <v>#N/A</v>
      </c>
      <c r="Y507" s="55" t="e">
        <f t="shared" ca="1" si="156"/>
        <v>#N/A</v>
      </c>
      <c r="Z507" s="55" t="e">
        <f t="shared" ca="1" si="157"/>
        <v>#N/A</v>
      </c>
      <c r="AB507" t="e">
        <f t="shared" ca="1" si="153"/>
        <v>#N/A</v>
      </c>
      <c r="AC507" t="e">
        <f t="shared" ca="1" si="146"/>
        <v>#N/A</v>
      </c>
      <c r="AD507" t="e">
        <f t="shared" ca="1" si="147"/>
        <v>#N/A</v>
      </c>
      <c r="AE507" t="e">
        <f t="shared" ca="1" si="148"/>
        <v>#N/A</v>
      </c>
      <c r="AF507" s="83" t="e">
        <f ca="1"/>
        <v>#N/A</v>
      </c>
      <c r="AG507" s="55" t="e">
        <f t="shared" ca="1" si="149"/>
        <v>#N/A</v>
      </c>
      <c r="AH507" s="55" t="e">
        <f t="shared" ca="1" si="150"/>
        <v>#N/A</v>
      </c>
      <c r="AI507" s="55" t="e">
        <f t="shared" ca="1" si="151"/>
        <v>#N/A</v>
      </c>
      <c r="AJ507" s="55" t="e">
        <f t="shared" ca="1" si="152"/>
        <v>#N/A</v>
      </c>
      <c r="AK507" s="55" t="e">
        <f t="shared" ca="1" si="158"/>
        <v>#N/A</v>
      </c>
      <c r="AL507" s="55" t="e">
        <f t="shared" ca="1" si="159"/>
        <v>#N/A</v>
      </c>
      <c r="AM507" s="55" t="e">
        <f t="shared" ca="1" si="160"/>
        <v>#N/A</v>
      </c>
    </row>
    <row r="508" spans="18:39">
      <c r="R508" s="55" t="e">
        <f ca="1"/>
        <v>#N/A</v>
      </c>
      <c r="S508" s="55" t="e">
        <f t="shared" ca="1" si="142"/>
        <v>#N/A</v>
      </c>
      <c r="T508" s="55" t="e">
        <f t="shared" ca="1" si="143"/>
        <v>#N/A</v>
      </c>
      <c r="U508" s="55" t="e">
        <f t="shared" ca="1" si="144"/>
        <v>#N/A</v>
      </c>
      <c r="V508" s="55" t="e">
        <f t="shared" ca="1" si="145"/>
        <v>#N/A</v>
      </c>
      <c r="W508" s="55" t="e">
        <f t="shared" ca="1" si="154"/>
        <v>#N/A</v>
      </c>
      <c r="X508" s="55" t="e">
        <f t="shared" ca="1" si="155"/>
        <v>#N/A</v>
      </c>
      <c r="Y508" s="55" t="e">
        <f t="shared" ca="1" si="156"/>
        <v>#N/A</v>
      </c>
      <c r="Z508" s="55" t="e">
        <f t="shared" ca="1" si="157"/>
        <v>#N/A</v>
      </c>
      <c r="AB508" t="e">
        <f t="shared" ca="1" si="153"/>
        <v>#N/A</v>
      </c>
      <c r="AC508" t="e">
        <f t="shared" ca="1" si="146"/>
        <v>#N/A</v>
      </c>
      <c r="AD508" t="e">
        <f t="shared" ca="1" si="147"/>
        <v>#N/A</v>
      </c>
      <c r="AE508" t="e">
        <f t="shared" ca="1" si="148"/>
        <v>#N/A</v>
      </c>
      <c r="AF508" s="83" t="e">
        <f ca="1"/>
        <v>#N/A</v>
      </c>
      <c r="AG508" s="55" t="e">
        <f t="shared" ca="1" si="149"/>
        <v>#N/A</v>
      </c>
      <c r="AH508" s="55" t="e">
        <f t="shared" ca="1" si="150"/>
        <v>#N/A</v>
      </c>
      <c r="AI508" s="55" t="e">
        <f t="shared" ca="1" si="151"/>
        <v>#N/A</v>
      </c>
      <c r="AJ508" s="55" t="e">
        <f t="shared" ca="1" si="152"/>
        <v>#N/A</v>
      </c>
      <c r="AK508" s="55" t="e">
        <f t="shared" ca="1" si="158"/>
        <v>#N/A</v>
      </c>
      <c r="AL508" s="55" t="e">
        <f t="shared" ca="1" si="159"/>
        <v>#N/A</v>
      </c>
      <c r="AM508" s="55" t="e">
        <f t="shared" ca="1" si="160"/>
        <v>#N/A</v>
      </c>
    </row>
    <row r="509" spans="18:39">
      <c r="R509" s="55" t="e">
        <f ca="1"/>
        <v>#N/A</v>
      </c>
      <c r="S509" s="55" t="e">
        <f t="shared" ca="1" si="142"/>
        <v>#N/A</v>
      </c>
      <c r="T509" s="55" t="e">
        <f t="shared" ca="1" si="143"/>
        <v>#N/A</v>
      </c>
      <c r="U509" s="55" t="e">
        <f t="shared" ca="1" si="144"/>
        <v>#N/A</v>
      </c>
      <c r="V509" s="55" t="e">
        <f t="shared" ca="1" si="145"/>
        <v>#N/A</v>
      </c>
      <c r="W509" s="55" t="e">
        <f t="shared" ca="1" si="154"/>
        <v>#N/A</v>
      </c>
      <c r="X509" s="55" t="e">
        <f t="shared" ca="1" si="155"/>
        <v>#N/A</v>
      </c>
      <c r="Y509" s="55" t="e">
        <f t="shared" ca="1" si="156"/>
        <v>#N/A</v>
      </c>
      <c r="Z509" s="55" t="e">
        <f t="shared" ca="1" si="157"/>
        <v>#N/A</v>
      </c>
      <c r="AB509" t="e">
        <f t="shared" ca="1" si="153"/>
        <v>#N/A</v>
      </c>
      <c r="AC509" t="e">
        <f t="shared" ca="1" si="146"/>
        <v>#N/A</v>
      </c>
      <c r="AD509" t="e">
        <f t="shared" ca="1" si="147"/>
        <v>#N/A</v>
      </c>
      <c r="AE509" t="e">
        <f t="shared" ca="1" si="148"/>
        <v>#N/A</v>
      </c>
      <c r="AF509" s="83" t="e">
        <f ca="1"/>
        <v>#N/A</v>
      </c>
      <c r="AG509" s="55" t="e">
        <f t="shared" ca="1" si="149"/>
        <v>#N/A</v>
      </c>
      <c r="AH509" s="55" t="e">
        <f t="shared" ca="1" si="150"/>
        <v>#N/A</v>
      </c>
      <c r="AI509" s="55" t="e">
        <f t="shared" ca="1" si="151"/>
        <v>#N/A</v>
      </c>
      <c r="AJ509" s="55" t="e">
        <f t="shared" ca="1" si="152"/>
        <v>#N/A</v>
      </c>
      <c r="AK509" s="55" t="e">
        <f t="shared" ca="1" si="158"/>
        <v>#N/A</v>
      </c>
      <c r="AL509" s="55" t="e">
        <f t="shared" ca="1" si="159"/>
        <v>#N/A</v>
      </c>
      <c r="AM509" s="55" t="e">
        <f t="shared" ca="1" si="160"/>
        <v>#N/A</v>
      </c>
    </row>
    <row r="510" spans="18:39">
      <c r="R510" s="55" t="e">
        <f ca="1"/>
        <v>#N/A</v>
      </c>
      <c r="S510" s="55" t="e">
        <f t="shared" ca="1" si="142"/>
        <v>#N/A</v>
      </c>
      <c r="T510" s="55" t="e">
        <f t="shared" ca="1" si="143"/>
        <v>#N/A</v>
      </c>
      <c r="U510" s="55" t="e">
        <f t="shared" ca="1" si="144"/>
        <v>#N/A</v>
      </c>
      <c r="V510" s="55" t="e">
        <f t="shared" ca="1" si="145"/>
        <v>#N/A</v>
      </c>
      <c r="W510" s="55" t="e">
        <f t="shared" ca="1" si="154"/>
        <v>#N/A</v>
      </c>
      <c r="X510" s="55" t="e">
        <f t="shared" ca="1" si="155"/>
        <v>#N/A</v>
      </c>
      <c r="Y510" s="55" t="e">
        <f t="shared" ca="1" si="156"/>
        <v>#N/A</v>
      </c>
      <c r="Z510" s="55" t="e">
        <f t="shared" ca="1" si="157"/>
        <v>#N/A</v>
      </c>
      <c r="AB510" t="e">
        <f t="shared" ca="1" si="153"/>
        <v>#N/A</v>
      </c>
      <c r="AC510" t="e">
        <f t="shared" ca="1" si="146"/>
        <v>#N/A</v>
      </c>
      <c r="AD510" t="e">
        <f t="shared" ca="1" si="147"/>
        <v>#N/A</v>
      </c>
      <c r="AE510" t="e">
        <f t="shared" ca="1" si="148"/>
        <v>#N/A</v>
      </c>
      <c r="AF510" s="83" t="e">
        <f ca="1"/>
        <v>#N/A</v>
      </c>
      <c r="AG510" s="55" t="e">
        <f t="shared" ca="1" si="149"/>
        <v>#N/A</v>
      </c>
      <c r="AH510" s="55" t="e">
        <f t="shared" ca="1" si="150"/>
        <v>#N/A</v>
      </c>
      <c r="AI510" s="55" t="e">
        <f t="shared" ca="1" si="151"/>
        <v>#N/A</v>
      </c>
      <c r="AJ510" s="55" t="e">
        <f t="shared" ca="1" si="152"/>
        <v>#N/A</v>
      </c>
      <c r="AK510" s="55" t="e">
        <f t="shared" ca="1" si="158"/>
        <v>#N/A</v>
      </c>
      <c r="AL510" s="55" t="e">
        <f t="shared" ca="1" si="159"/>
        <v>#N/A</v>
      </c>
      <c r="AM510" s="55" t="e">
        <f t="shared" ca="1" si="160"/>
        <v>#N/A</v>
      </c>
    </row>
    <row r="511" spans="18:39">
      <c r="R511" s="55" t="e">
        <f ca="1"/>
        <v>#N/A</v>
      </c>
      <c r="S511" s="55" t="e">
        <f t="shared" ca="1" si="142"/>
        <v>#N/A</v>
      </c>
      <c r="T511" s="55" t="e">
        <f t="shared" ca="1" si="143"/>
        <v>#N/A</v>
      </c>
      <c r="U511" s="55" t="e">
        <f t="shared" ca="1" si="144"/>
        <v>#N/A</v>
      </c>
      <c r="V511" s="55" t="e">
        <f t="shared" ca="1" si="145"/>
        <v>#N/A</v>
      </c>
      <c r="W511" s="55" t="e">
        <f t="shared" ca="1" si="154"/>
        <v>#N/A</v>
      </c>
      <c r="X511" s="55" t="e">
        <f t="shared" ca="1" si="155"/>
        <v>#N/A</v>
      </c>
      <c r="Y511" s="55" t="e">
        <f t="shared" ca="1" si="156"/>
        <v>#N/A</v>
      </c>
      <c r="Z511" s="55" t="e">
        <f t="shared" ca="1" si="157"/>
        <v>#N/A</v>
      </c>
      <c r="AB511" t="e">
        <f t="shared" ca="1" si="153"/>
        <v>#N/A</v>
      </c>
      <c r="AC511" t="e">
        <f t="shared" ca="1" si="146"/>
        <v>#N/A</v>
      </c>
      <c r="AD511" t="e">
        <f t="shared" ca="1" si="147"/>
        <v>#N/A</v>
      </c>
      <c r="AE511" t="e">
        <f t="shared" ca="1" si="148"/>
        <v>#N/A</v>
      </c>
      <c r="AF511" s="83" t="e">
        <f ca="1"/>
        <v>#N/A</v>
      </c>
      <c r="AG511" s="55" t="e">
        <f t="shared" ca="1" si="149"/>
        <v>#N/A</v>
      </c>
      <c r="AH511" s="55" t="e">
        <f t="shared" ca="1" si="150"/>
        <v>#N/A</v>
      </c>
      <c r="AI511" s="55" t="e">
        <f t="shared" ca="1" si="151"/>
        <v>#N/A</v>
      </c>
      <c r="AJ511" s="55" t="e">
        <f t="shared" ca="1" si="152"/>
        <v>#N/A</v>
      </c>
      <c r="AK511" s="55" t="e">
        <f t="shared" ca="1" si="158"/>
        <v>#N/A</v>
      </c>
      <c r="AL511" s="55" t="e">
        <f t="shared" ca="1" si="159"/>
        <v>#N/A</v>
      </c>
      <c r="AM511" s="55" t="e">
        <f t="shared" ca="1" si="160"/>
        <v>#N/A</v>
      </c>
    </row>
    <row r="512" spans="18:39">
      <c r="R512" s="55" t="e">
        <f ca="1"/>
        <v>#N/A</v>
      </c>
      <c r="S512" s="55" t="e">
        <f t="shared" ca="1" si="142"/>
        <v>#N/A</v>
      </c>
      <c r="T512" s="55" t="e">
        <f t="shared" ca="1" si="143"/>
        <v>#N/A</v>
      </c>
      <c r="U512" s="55" t="e">
        <f t="shared" ca="1" si="144"/>
        <v>#N/A</v>
      </c>
      <c r="V512" s="55" t="e">
        <f t="shared" ca="1" si="145"/>
        <v>#N/A</v>
      </c>
      <c r="W512" s="55" t="e">
        <f t="shared" ca="1" si="154"/>
        <v>#N/A</v>
      </c>
      <c r="X512" s="55" t="e">
        <f t="shared" ca="1" si="155"/>
        <v>#N/A</v>
      </c>
      <c r="Y512" s="55" t="e">
        <f t="shared" ca="1" si="156"/>
        <v>#N/A</v>
      </c>
      <c r="Z512" s="55" t="e">
        <f t="shared" ca="1" si="157"/>
        <v>#N/A</v>
      </c>
      <c r="AB512" t="e">
        <f t="shared" ca="1" si="153"/>
        <v>#N/A</v>
      </c>
      <c r="AC512" t="e">
        <f t="shared" ca="1" si="146"/>
        <v>#N/A</v>
      </c>
      <c r="AD512" t="e">
        <f t="shared" ca="1" si="147"/>
        <v>#N/A</v>
      </c>
      <c r="AE512" t="e">
        <f t="shared" ca="1" si="148"/>
        <v>#N/A</v>
      </c>
      <c r="AF512" s="83" t="e">
        <f ca="1"/>
        <v>#N/A</v>
      </c>
      <c r="AG512" s="55" t="e">
        <f t="shared" ca="1" si="149"/>
        <v>#N/A</v>
      </c>
      <c r="AH512" s="55" t="e">
        <f t="shared" ca="1" si="150"/>
        <v>#N/A</v>
      </c>
      <c r="AI512" s="55" t="e">
        <f t="shared" ca="1" si="151"/>
        <v>#N/A</v>
      </c>
      <c r="AJ512" s="55" t="e">
        <f t="shared" ca="1" si="152"/>
        <v>#N/A</v>
      </c>
      <c r="AK512" s="55" t="e">
        <f t="shared" ca="1" si="158"/>
        <v>#N/A</v>
      </c>
      <c r="AL512" s="55" t="e">
        <f t="shared" ca="1" si="159"/>
        <v>#N/A</v>
      </c>
      <c r="AM512" s="55" t="e">
        <f t="shared" ca="1" si="160"/>
        <v>#N/A</v>
      </c>
    </row>
    <row r="513" spans="18:39">
      <c r="R513" s="55" t="e">
        <f ca="1"/>
        <v>#N/A</v>
      </c>
      <c r="S513" s="55" t="e">
        <f t="shared" ca="1" si="142"/>
        <v>#N/A</v>
      </c>
      <c r="T513" s="55" t="e">
        <f t="shared" ca="1" si="143"/>
        <v>#N/A</v>
      </c>
      <c r="U513" s="55" t="e">
        <f t="shared" ca="1" si="144"/>
        <v>#N/A</v>
      </c>
      <c r="V513" s="55" t="e">
        <f t="shared" ca="1" si="145"/>
        <v>#N/A</v>
      </c>
      <c r="W513" s="55" t="e">
        <f t="shared" ca="1" si="154"/>
        <v>#N/A</v>
      </c>
      <c r="X513" s="55" t="e">
        <f t="shared" ca="1" si="155"/>
        <v>#N/A</v>
      </c>
      <c r="Y513" s="55" t="e">
        <f t="shared" ca="1" si="156"/>
        <v>#N/A</v>
      </c>
      <c r="Z513" s="55" t="e">
        <f t="shared" ca="1" si="157"/>
        <v>#N/A</v>
      </c>
      <c r="AB513" t="e">
        <f t="shared" ca="1" si="153"/>
        <v>#N/A</v>
      </c>
      <c r="AC513" t="e">
        <f t="shared" ca="1" si="146"/>
        <v>#N/A</v>
      </c>
      <c r="AD513" t="e">
        <f t="shared" ca="1" si="147"/>
        <v>#N/A</v>
      </c>
      <c r="AE513" t="e">
        <f t="shared" ca="1" si="148"/>
        <v>#N/A</v>
      </c>
      <c r="AF513" s="83" t="e">
        <f ca="1"/>
        <v>#N/A</v>
      </c>
      <c r="AG513" s="55" t="e">
        <f t="shared" ca="1" si="149"/>
        <v>#N/A</v>
      </c>
      <c r="AH513" s="55" t="e">
        <f t="shared" ca="1" si="150"/>
        <v>#N/A</v>
      </c>
      <c r="AI513" s="55" t="e">
        <f t="shared" ca="1" si="151"/>
        <v>#N/A</v>
      </c>
      <c r="AJ513" s="55" t="e">
        <f t="shared" ca="1" si="152"/>
        <v>#N/A</v>
      </c>
      <c r="AK513" s="55" t="e">
        <f t="shared" ca="1" si="158"/>
        <v>#N/A</v>
      </c>
      <c r="AL513" s="55" t="e">
        <f t="shared" ca="1" si="159"/>
        <v>#N/A</v>
      </c>
      <c r="AM513" s="55" t="e">
        <f t="shared" ca="1" si="160"/>
        <v>#N/A</v>
      </c>
    </row>
    <row r="514" spans="18:39">
      <c r="R514" s="55" t="e">
        <f ca="1"/>
        <v>#N/A</v>
      </c>
      <c r="S514" s="55" t="e">
        <f t="shared" ca="1" si="142"/>
        <v>#N/A</v>
      </c>
      <c r="T514" s="55" t="e">
        <f t="shared" ca="1" si="143"/>
        <v>#N/A</v>
      </c>
      <c r="U514" s="55" t="e">
        <f t="shared" ca="1" si="144"/>
        <v>#N/A</v>
      </c>
      <c r="V514" s="55" t="e">
        <f t="shared" ca="1" si="145"/>
        <v>#N/A</v>
      </c>
      <c r="W514" s="55" t="e">
        <f t="shared" ca="1" si="154"/>
        <v>#N/A</v>
      </c>
      <c r="X514" s="55" t="e">
        <f t="shared" ca="1" si="155"/>
        <v>#N/A</v>
      </c>
      <c r="Y514" s="55" t="e">
        <f t="shared" ca="1" si="156"/>
        <v>#N/A</v>
      </c>
      <c r="Z514" s="55" t="e">
        <f t="shared" ca="1" si="157"/>
        <v>#N/A</v>
      </c>
      <c r="AB514" t="e">
        <f t="shared" ca="1" si="153"/>
        <v>#N/A</v>
      </c>
      <c r="AC514" t="e">
        <f t="shared" ca="1" si="146"/>
        <v>#N/A</v>
      </c>
      <c r="AD514" t="e">
        <f t="shared" ca="1" si="147"/>
        <v>#N/A</v>
      </c>
      <c r="AE514" t="e">
        <f t="shared" ca="1" si="148"/>
        <v>#N/A</v>
      </c>
      <c r="AF514" s="83" t="e">
        <f ca="1"/>
        <v>#N/A</v>
      </c>
      <c r="AG514" s="55" t="e">
        <f t="shared" ca="1" si="149"/>
        <v>#N/A</v>
      </c>
      <c r="AH514" s="55" t="e">
        <f t="shared" ca="1" si="150"/>
        <v>#N/A</v>
      </c>
      <c r="AI514" s="55" t="e">
        <f t="shared" ca="1" si="151"/>
        <v>#N/A</v>
      </c>
      <c r="AJ514" s="55" t="e">
        <f t="shared" ca="1" si="152"/>
        <v>#N/A</v>
      </c>
      <c r="AK514" s="55" t="e">
        <f t="shared" ca="1" si="158"/>
        <v>#N/A</v>
      </c>
      <c r="AL514" s="55" t="e">
        <f t="shared" ca="1" si="159"/>
        <v>#N/A</v>
      </c>
      <c r="AM514" s="55" t="e">
        <f t="shared" ca="1" si="160"/>
        <v>#N/A</v>
      </c>
    </row>
    <row r="515" spans="18:39">
      <c r="R515" s="55" t="e">
        <f ca="1"/>
        <v>#N/A</v>
      </c>
      <c r="S515" s="55" t="e">
        <f t="shared" ca="1" si="142"/>
        <v>#N/A</v>
      </c>
      <c r="T515" s="55" t="e">
        <f t="shared" ca="1" si="143"/>
        <v>#N/A</v>
      </c>
      <c r="U515" s="55" t="e">
        <f t="shared" ca="1" si="144"/>
        <v>#N/A</v>
      </c>
      <c r="V515" s="55" t="e">
        <f t="shared" ca="1" si="145"/>
        <v>#N/A</v>
      </c>
      <c r="W515" s="55" t="e">
        <f t="shared" ca="1" si="154"/>
        <v>#N/A</v>
      </c>
      <c r="X515" s="55" t="e">
        <f t="shared" ca="1" si="155"/>
        <v>#N/A</v>
      </c>
      <c r="Y515" s="55" t="e">
        <f t="shared" ca="1" si="156"/>
        <v>#N/A</v>
      </c>
      <c r="Z515" s="55" t="e">
        <f t="shared" ca="1" si="157"/>
        <v>#N/A</v>
      </c>
      <c r="AB515" t="e">
        <f t="shared" ca="1" si="153"/>
        <v>#N/A</v>
      </c>
      <c r="AC515" t="e">
        <f t="shared" ca="1" si="146"/>
        <v>#N/A</v>
      </c>
      <c r="AD515" t="e">
        <f t="shared" ca="1" si="147"/>
        <v>#N/A</v>
      </c>
      <c r="AE515" t="e">
        <f t="shared" ca="1" si="148"/>
        <v>#N/A</v>
      </c>
      <c r="AF515" s="83" t="e">
        <f ca="1"/>
        <v>#N/A</v>
      </c>
      <c r="AG515" s="55" t="e">
        <f t="shared" ca="1" si="149"/>
        <v>#N/A</v>
      </c>
      <c r="AH515" s="55" t="e">
        <f t="shared" ca="1" si="150"/>
        <v>#N/A</v>
      </c>
      <c r="AI515" s="55" t="e">
        <f t="shared" ca="1" si="151"/>
        <v>#N/A</v>
      </c>
      <c r="AJ515" s="55" t="e">
        <f t="shared" ca="1" si="152"/>
        <v>#N/A</v>
      </c>
      <c r="AK515" s="55" t="e">
        <f t="shared" ca="1" si="158"/>
        <v>#N/A</v>
      </c>
      <c r="AL515" s="55" t="e">
        <f t="shared" ca="1" si="159"/>
        <v>#N/A</v>
      </c>
      <c r="AM515" s="55" t="e">
        <f t="shared" ca="1" si="160"/>
        <v>#N/A</v>
      </c>
    </row>
    <row r="516" spans="18:39">
      <c r="R516" s="55" t="e">
        <f ca="1"/>
        <v>#N/A</v>
      </c>
      <c r="S516" s="55" t="e">
        <f t="shared" ca="1" si="142"/>
        <v>#N/A</v>
      </c>
      <c r="T516" s="55" t="e">
        <f t="shared" ca="1" si="143"/>
        <v>#N/A</v>
      </c>
      <c r="U516" s="55" t="e">
        <f t="shared" ca="1" si="144"/>
        <v>#N/A</v>
      </c>
      <c r="V516" s="55" t="e">
        <f t="shared" ca="1" si="145"/>
        <v>#N/A</v>
      </c>
      <c r="W516" s="55" t="e">
        <f t="shared" ca="1" si="154"/>
        <v>#N/A</v>
      </c>
      <c r="X516" s="55" t="e">
        <f t="shared" ca="1" si="155"/>
        <v>#N/A</v>
      </c>
      <c r="Y516" s="55" t="e">
        <f t="shared" ca="1" si="156"/>
        <v>#N/A</v>
      </c>
      <c r="Z516" s="55" t="e">
        <f t="shared" ca="1" si="157"/>
        <v>#N/A</v>
      </c>
      <c r="AB516" t="e">
        <f t="shared" ca="1" si="153"/>
        <v>#N/A</v>
      </c>
      <c r="AC516" t="e">
        <f t="shared" ca="1" si="146"/>
        <v>#N/A</v>
      </c>
      <c r="AD516" t="e">
        <f t="shared" ca="1" si="147"/>
        <v>#N/A</v>
      </c>
      <c r="AE516" t="e">
        <f t="shared" ca="1" si="148"/>
        <v>#N/A</v>
      </c>
      <c r="AF516" s="83" t="e">
        <f ca="1"/>
        <v>#N/A</v>
      </c>
      <c r="AG516" s="55" t="e">
        <f t="shared" ca="1" si="149"/>
        <v>#N/A</v>
      </c>
      <c r="AH516" s="55" t="e">
        <f t="shared" ca="1" si="150"/>
        <v>#N/A</v>
      </c>
      <c r="AI516" s="55" t="e">
        <f t="shared" ca="1" si="151"/>
        <v>#N/A</v>
      </c>
      <c r="AJ516" s="55" t="e">
        <f t="shared" ca="1" si="152"/>
        <v>#N/A</v>
      </c>
      <c r="AK516" s="55" t="e">
        <f t="shared" ca="1" si="158"/>
        <v>#N/A</v>
      </c>
      <c r="AL516" s="55" t="e">
        <f t="shared" ca="1" si="159"/>
        <v>#N/A</v>
      </c>
      <c r="AM516" s="55" t="e">
        <f t="shared" ca="1" si="160"/>
        <v>#N/A</v>
      </c>
    </row>
    <row r="517" spans="18:39">
      <c r="R517" s="55" t="e">
        <f ca="1"/>
        <v>#N/A</v>
      </c>
      <c r="S517" s="55" t="e">
        <f t="shared" ca="1" si="142"/>
        <v>#N/A</v>
      </c>
      <c r="T517" s="55" t="e">
        <f t="shared" ca="1" si="143"/>
        <v>#N/A</v>
      </c>
      <c r="U517" s="55" t="e">
        <f t="shared" ca="1" si="144"/>
        <v>#N/A</v>
      </c>
      <c r="V517" s="55" t="e">
        <f t="shared" ca="1" si="145"/>
        <v>#N/A</v>
      </c>
      <c r="W517" s="55" t="e">
        <f t="shared" ca="1" si="154"/>
        <v>#N/A</v>
      </c>
      <c r="X517" s="55" t="e">
        <f t="shared" ca="1" si="155"/>
        <v>#N/A</v>
      </c>
      <c r="Y517" s="55" t="e">
        <f t="shared" ca="1" si="156"/>
        <v>#N/A</v>
      </c>
      <c r="Z517" s="55" t="e">
        <f t="shared" ca="1" si="157"/>
        <v>#N/A</v>
      </c>
      <c r="AB517" t="e">
        <f t="shared" ca="1" si="153"/>
        <v>#N/A</v>
      </c>
      <c r="AC517" t="e">
        <f t="shared" ca="1" si="146"/>
        <v>#N/A</v>
      </c>
      <c r="AD517" t="e">
        <f t="shared" ca="1" si="147"/>
        <v>#N/A</v>
      </c>
      <c r="AE517" t="e">
        <f t="shared" ca="1" si="148"/>
        <v>#N/A</v>
      </c>
      <c r="AF517" s="83" t="e">
        <f ca="1"/>
        <v>#N/A</v>
      </c>
      <c r="AG517" s="55" t="e">
        <f t="shared" ca="1" si="149"/>
        <v>#N/A</v>
      </c>
      <c r="AH517" s="55" t="e">
        <f t="shared" ca="1" si="150"/>
        <v>#N/A</v>
      </c>
      <c r="AI517" s="55" t="e">
        <f t="shared" ca="1" si="151"/>
        <v>#N/A</v>
      </c>
      <c r="AJ517" s="55" t="e">
        <f t="shared" ca="1" si="152"/>
        <v>#N/A</v>
      </c>
      <c r="AK517" s="55" t="e">
        <f t="shared" ca="1" si="158"/>
        <v>#N/A</v>
      </c>
      <c r="AL517" s="55" t="e">
        <f t="shared" ca="1" si="159"/>
        <v>#N/A</v>
      </c>
      <c r="AM517" s="55" t="e">
        <f t="shared" ca="1" si="160"/>
        <v>#N/A</v>
      </c>
    </row>
    <row r="518" spans="18:39">
      <c r="R518" s="55" t="e">
        <f ca="1"/>
        <v>#N/A</v>
      </c>
      <c r="S518" s="55" t="e">
        <f t="shared" ca="1" si="142"/>
        <v>#N/A</v>
      </c>
      <c r="T518" s="55" t="e">
        <f t="shared" ca="1" si="143"/>
        <v>#N/A</v>
      </c>
      <c r="U518" s="55" t="e">
        <f t="shared" ca="1" si="144"/>
        <v>#N/A</v>
      </c>
      <c r="V518" s="55" t="e">
        <f t="shared" ca="1" si="145"/>
        <v>#N/A</v>
      </c>
      <c r="W518" s="55" t="e">
        <f t="shared" ca="1" si="154"/>
        <v>#N/A</v>
      </c>
      <c r="X518" s="55" t="e">
        <f t="shared" ca="1" si="155"/>
        <v>#N/A</v>
      </c>
      <c r="Y518" s="55" t="e">
        <f t="shared" ca="1" si="156"/>
        <v>#N/A</v>
      </c>
      <c r="Z518" s="55" t="e">
        <f t="shared" ca="1" si="157"/>
        <v>#N/A</v>
      </c>
      <c r="AB518" t="e">
        <f t="shared" ca="1" si="153"/>
        <v>#N/A</v>
      </c>
      <c r="AC518" t="e">
        <f t="shared" ca="1" si="146"/>
        <v>#N/A</v>
      </c>
      <c r="AD518" t="e">
        <f t="shared" ca="1" si="147"/>
        <v>#N/A</v>
      </c>
      <c r="AE518" t="e">
        <f t="shared" ca="1" si="148"/>
        <v>#N/A</v>
      </c>
      <c r="AF518" s="83" t="e">
        <f ca="1"/>
        <v>#N/A</v>
      </c>
      <c r="AG518" s="55" t="e">
        <f t="shared" ca="1" si="149"/>
        <v>#N/A</v>
      </c>
      <c r="AH518" s="55" t="e">
        <f t="shared" ca="1" si="150"/>
        <v>#N/A</v>
      </c>
      <c r="AI518" s="55" t="e">
        <f t="shared" ca="1" si="151"/>
        <v>#N/A</v>
      </c>
      <c r="AJ518" s="55" t="e">
        <f t="shared" ca="1" si="152"/>
        <v>#N/A</v>
      </c>
      <c r="AK518" s="55" t="e">
        <f t="shared" ca="1" si="158"/>
        <v>#N/A</v>
      </c>
      <c r="AL518" s="55" t="e">
        <f t="shared" ca="1" si="159"/>
        <v>#N/A</v>
      </c>
      <c r="AM518" s="55" t="e">
        <f t="shared" ca="1" si="160"/>
        <v>#N/A</v>
      </c>
    </row>
    <row r="519" spans="18:39">
      <c r="R519" s="55" t="e">
        <f ca="1"/>
        <v>#N/A</v>
      </c>
      <c r="S519" s="55" t="e">
        <f t="shared" ca="1" si="142"/>
        <v>#N/A</v>
      </c>
      <c r="T519" s="55" t="e">
        <f t="shared" ca="1" si="143"/>
        <v>#N/A</v>
      </c>
      <c r="U519" s="55" t="e">
        <f t="shared" ca="1" si="144"/>
        <v>#N/A</v>
      </c>
      <c r="V519" s="55" t="e">
        <f t="shared" ca="1" si="145"/>
        <v>#N/A</v>
      </c>
      <c r="W519" s="55" t="e">
        <f t="shared" ca="1" si="154"/>
        <v>#N/A</v>
      </c>
      <c r="X519" s="55" t="e">
        <f t="shared" ca="1" si="155"/>
        <v>#N/A</v>
      </c>
      <c r="Y519" s="55" t="e">
        <f t="shared" ca="1" si="156"/>
        <v>#N/A</v>
      </c>
      <c r="Z519" s="55" t="e">
        <f t="shared" ca="1" si="157"/>
        <v>#N/A</v>
      </c>
      <c r="AB519" t="e">
        <f t="shared" ca="1" si="153"/>
        <v>#N/A</v>
      </c>
      <c r="AC519" t="e">
        <f t="shared" ca="1" si="146"/>
        <v>#N/A</v>
      </c>
      <c r="AD519" t="e">
        <f t="shared" ca="1" si="147"/>
        <v>#N/A</v>
      </c>
      <c r="AE519" t="e">
        <f t="shared" ca="1" si="148"/>
        <v>#N/A</v>
      </c>
      <c r="AF519" s="83" t="e">
        <f ca="1"/>
        <v>#N/A</v>
      </c>
      <c r="AG519" s="55" t="e">
        <f t="shared" ca="1" si="149"/>
        <v>#N/A</v>
      </c>
      <c r="AH519" s="55" t="e">
        <f t="shared" ca="1" si="150"/>
        <v>#N/A</v>
      </c>
      <c r="AI519" s="55" t="e">
        <f t="shared" ca="1" si="151"/>
        <v>#N/A</v>
      </c>
      <c r="AJ519" s="55" t="e">
        <f t="shared" ca="1" si="152"/>
        <v>#N/A</v>
      </c>
      <c r="AK519" s="55" t="e">
        <f t="shared" ca="1" si="158"/>
        <v>#N/A</v>
      </c>
      <c r="AL519" s="55" t="e">
        <f t="shared" ca="1" si="159"/>
        <v>#N/A</v>
      </c>
      <c r="AM519" s="55" t="e">
        <f t="shared" ca="1" si="160"/>
        <v>#N/A</v>
      </c>
    </row>
    <row r="520" spans="18:39">
      <c r="R520" s="55" t="e">
        <f ca="1"/>
        <v>#N/A</v>
      </c>
      <c r="S520" s="55" t="e">
        <f t="shared" ca="1" si="142"/>
        <v>#N/A</v>
      </c>
      <c r="T520" s="55" t="e">
        <f t="shared" ca="1" si="143"/>
        <v>#N/A</v>
      </c>
      <c r="U520" s="55" t="e">
        <f t="shared" ca="1" si="144"/>
        <v>#N/A</v>
      </c>
      <c r="V520" s="55" t="e">
        <f t="shared" ca="1" si="145"/>
        <v>#N/A</v>
      </c>
      <c r="W520" s="55" t="e">
        <f t="shared" ca="1" si="154"/>
        <v>#N/A</v>
      </c>
      <c r="X520" s="55" t="e">
        <f t="shared" ca="1" si="155"/>
        <v>#N/A</v>
      </c>
      <c r="Y520" s="55" t="e">
        <f t="shared" ca="1" si="156"/>
        <v>#N/A</v>
      </c>
      <c r="Z520" s="55" t="e">
        <f t="shared" ca="1" si="157"/>
        <v>#N/A</v>
      </c>
      <c r="AB520" t="e">
        <f t="shared" ca="1" si="153"/>
        <v>#N/A</v>
      </c>
      <c r="AC520" t="e">
        <f t="shared" ca="1" si="146"/>
        <v>#N/A</v>
      </c>
      <c r="AD520" t="e">
        <f t="shared" ca="1" si="147"/>
        <v>#N/A</v>
      </c>
      <c r="AE520" t="e">
        <f t="shared" ca="1" si="148"/>
        <v>#N/A</v>
      </c>
      <c r="AF520" s="83" t="e">
        <f ca="1"/>
        <v>#N/A</v>
      </c>
      <c r="AG520" s="55" t="e">
        <f t="shared" ca="1" si="149"/>
        <v>#N/A</v>
      </c>
      <c r="AH520" s="55" t="e">
        <f t="shared" ca="1" si="150"/>
        <v>#N/A</v>
      </c>
      <c r="AI520" s="55" t="e">
        <f t="shared" ca="1" si="151"/>
        <v>#N/A</v>
      </c>
      <c r="AJ520" s="55" t="e">
        <f t="shared" ca="1" si="152"/>
        <v>#N/A</v>
      </c>
      <c r="AK520" s="55" t="e">
        <f t="shared" ca="1" si="158"/>
        <v>#N/A</v>
      </c>
      <c r="AL520" s="55" t="e">
        <f t="shared" ca="1" si="159"/>
        <v>#N/A</v>
      </c>
      <c r="AM520" s="55" t="e">
        <f t="shared" ca="1" si="160"/>
        <v>#N/A</v>
      </c>
    </row>
    <row r="521" spans="18:39">
      <c r="R521" s="55" t="e">
        <f ca="1"/>
        <v>#N/A</v>
      </c>
      <c r="S521" s="55" t="e">
        <f t="shared" ca="1" si="142"/>
        <v>#N/A</v>
      </c>
      <c r="T521" s="55" t="e">
        <f t="shared" ca="1" si="143"/>
        <v>#N/A</v>
      </c>
      <c r="U521" s="55" t="e">
        <f t="shared" ca="1" si="144"/>
        <v>#N/A</v>
      </c>
      <c r="V521" s="55" t="e">
        <f t="shared" ca="1" si="145"/>
        <v>#N/A</v>
      </c>
      <c r="W521" s="55" t="e">
        <f t="shared" ca="1" si="154"/>
        <v>#N/A</v>
      </c>
      <c r="X521" s="55" t="e">
        <f t="shared" ca="1" si="155"/>
        <v>#N/A</v>
      </c>
      <c r="Y521" s="55" t="e">
        <f t="shared" ca="1" si="156"/>
        <v>#N/A</v>
      </c>
      <c r="Z521" s="55" t="e">
        <f t="shared" ca="1" si="157"/>
        <v>#N/A</v>
      </c>
      <c r="AB521" t="e">
        <f t="shared" ca="1" si="153"/>
        <v>#N/A</v>
      </c>
      <c r="AC521" t="e">
        <f t="shared" ca="1" si="146"/>
        <v>#N/A</v>
      </c>
      <c r="AD521" t="e">
        <f t="shared" ca="1" si="147"/>
        <v>#N/A</v>
      </c>
      <c r="AE521" t="e">
        <f t="shared" ca="1" si="148"/>
        <v>#N/A</v>
      </c>
      <c r="AF521" s="83" t="e">
        <f ca="1"/>
        <v>#N/A</v>
      </c>
      <c r="AG521" s="55" t="e">
        <f t="shared" ca="1" si="149"/>
        <v>#N/A</v>
      </c>
      <c r="AH521" s="55" t="e">
        <f t="shared" ca="1" si="150"/>
        <v>#N/A</v>
      </c>
      <c r="AI521" s="55" t="e">
        <f t="shared" ca="1" si="151"/>
        <v>#N/A</v>
      </c>
      <c r="AJ521" s="55" t="e">
        <f t="shared" ca="1" si="152"/>
        <v>#N/A</v>
      </c>
      <c r="AK521" s="55" t="e">
        <f t="shared" ca="1" si="158"/>
        <v>#N/A</v>
      </c>
      <c r="AL521" s="55" t="e">
        <f t="shared" ca="1" si="159"/>
        <v>#N/A</v>
      </c>
      <c r="AM521" s="55" t="e">
        <f t="shared" ca="1" si="160"/>
        <v>#N/A</v>
      </c>
    </row>
    <row r="522" spans="18:39">
      <c r="R522" s="55" t="e">
        <f ca="1"/>
        <v>#N/A</v>
      </c>
      <c r="S522" s="55" t="e">
        <f t="shared" ca="1" si="142"/>
        <v>#N/A</v>
      </c>
      <c r="T522" s="55" t="e">
        <f t="shared" ca="1" si="143"/>
        <v>#N/A</v>
      </c>
      <c r="U522" s="55" t="e">
        <f t="shared" ca="1" si="144"/>
        <v>#N/A</v>
      </c>
      <c r="V522" s="55" t="e">
        <f t="shared" ca="1" si="145"/>
        <v>#N/A</v>
      </c>
      <c r="W522" s="55" t="e">
        <f t="shared" ca="1" si="154"/>
        <v>#N/A</v>
      </c>
      <c r="X522" s="55" t="e">
        <f t="shared" ca="1" si="155"/>
        <v>#N/A</v>
      </c>
      <c r="Y522" s="55" t="e">
        <f t="shared" ca="1" si="156"/>
        <v>#N/A</v>
      </c>
      <c r="Z522" s="55" t="e">
        <f t="shared" ca="1" si="157"/>
        <v>#N/A</v>
      </c>
      <c r="AB522" t="e">
        <f t="shared" ca="1" si="153"/>
        <v>#N/A</v>
      </c>
      <c r="AC522" t="e">
        <f t="shared" ca="1" si="146"/>
        <v>#N/A</v>
      </c>
      <c r="AD522" t="e">
        <f t="shared" ca="1" si="147"/>
        <v>#N/A</v>
      </c>
      <c r="AE522" t="e">
        <f t="shared" ca="1" si="148"/>
        <v>#N/A</v>
      </c>
      <c r="AF522" s="83" t="e">
        <f ca="1"/>
        <v>#N/A</v>
      </c>
      <c r="AG522" s="55" t="e">
        <f t="shared" ca="1" si="149"/>
        <v>#N/A</v>
      </c>
      <c r="AH522" s="55" t="e">
        <f t="shared" ca="1" si="150"/>
        <v>#N/A</v>
      </c>
      <c r="AI522" s="55" t="e">
        <f t="shared" ca="1" si="151"/>
        <v>#N/A</v>
      </c>
      <c r="AJ522" s="55" t="e">
        <f t="shared" ca="1" si="152"/>
        <v>#N/A</v>
      </c>
      <c r="AK522" s="55" t="e">
        <f t="shared" ca="1" si="158"/>
        <v>#N/A</v>
      </c>
      <c r="AL522" s="55" t="e">
        <f t="shared" ca="1" si="159"/>
        <v>#N/A</v>
      </c>
      <c r="AM522" s="55" t="e">
        <f t="shared" ca="1" si="160"/>
        <v>#N/A</v>
      </c>
    </row>
    <row r="523" spans="18:39">
      <c r="R523" s="55" t="e">
        <f ca="1"/>
        <v>#N/A</v>
      </c>
      <c r="S523" s="55" t="e">
        <f t="shared" ca="1" si="142"/>
        <v>#N/A</v>
      </c>
      <c r="T523" s="55" t="e">
        <f t="shared" ca="1" si="143"/>
        <v>#N/A</v>
      </c>
      <c r="U523" s="55" t="e">
        <f t="shared" ca="1" si="144"/>
        <v>#N/A</v>
      </c>
      <c r="V523" s="55" t="e">
        <f t="shared" ca="1" si="145"/>
        <v>#N/A</v>
      </c>
      <c r="W523" s="55" t="e">
        <f t="shared" ca="1" si="154"/>
        <v>#N/A</v>
      </c>
      <c r="X523" s="55" t="e">
        <f t="shared" ca="1" si="155"/>
        <v>#N/A</v>
      </c>
      <c r="Y523" s="55" t="e">
        <f t="shared" ca="1" si="156"/>
        <v>#N/A</v>
      </c>
      <c r="Z523" s="55" t="e">
        <f t="shared" ca="1" si="157"/>
        <v>#N/A</v>
      </c>
      <c r="AB523" t="e">
        <f t="shared" ca="1" si="153"/>
        <v>#N/A</v>
      </c>
      <c r="AC523" t="e">
        <f t="shared" ca="1" si="146"/>
        <v>#N/A</v>
      </c>
      <c r="AD523" t="e">
        <f t="shared" ca="1" si="147"/>
        <v>#N/A</v>
      </c>
      <c r="AE523" t="e">
        <f t="shared" ca="1" si="148"/>
        <v>#N/A</v>
      </c>
      <c r="AF523" s="83" t="e">
        <f ca="1"/>
        <v>#N/A</v>
      </c>
      <c r="AG523" s="55" t="e">
        <f t="shared" ca="1" si="149"/>
        <v>#N/A</v>
      </c>
      <c r="AH523" s="55" t="e">
        <f t="shared" ca="1" si="150"/>
        <v>#N/A</v>
      </c>
      <c r="AI523" s="55" t="e">
        <f t="shared" ca="1" si="151"/>
        <v>#N/A</v>
      </c>
      <c r="AJ523" s="55" t="e">
        <f t="shared" ca="1" si="152"/>
        <v>#N/A</v>
      </c>
      <c r="AK523" s="55" t="e">
        <f t="shared" ca="1" si="158"/>
        <v>#N/A</v>
      </c>
      <c r="AL523" s="55" t="e">
        <f t="shared" ca="1" si="159"/>
        <v>#N/A</v>
      </c>
      <c r="AM523" s="55" t="e">
        <f t="shared" ca="1" si="160"/>
        <v>#N/A</v>
      </c>
    </row>
    <row r="524" spans="18:39">
      <c r="R524" s="55" t="e">
        <f ca="1"/>
        <v>#N/A</v>
      </c>
      <c r="S524" s="55" t="e">
        <f t="shared" ref="S524:S587" ca="1" si="161">IF(R524&gt;1,R524,"")</f>
        <v>#N/A</v>
      </c>
      <c r="T524" s="55" t="e">
        <f t="shared" ref="T524:T587" ca="1" si="162">VLOOKUP(S524,ModelOutputs,2,FALSE)</f>
        <v>#N/A</v>
      </c>
      <c r="U524" s="55" t="e">
        <f t="shared" ref="U524:U587" ca="1" si="163">VLOOKUP(S524,ModelOutputs,7,FALSE)</f>
        <v>#N/A</v>
      </c>
      <c r="V524" s="55" t="e">
        <f t="shared" ref="V524:V587" ca="1" si="164">VLOOKUP(S524,ModelOutputs,6,FALSE)</f>
        <v>#N/A</v>
      </c>
      <c r="W524" s="55" t="e">
        <f t="shared" ca="1" si="154"/>
        <v>#N/A</v>
      </c>
      <c r="X524" s="55" t="e">
        <f t="shared" ca="1" si="155"/>
        <v>#N/A</v>
      </c>
      <c r="Y524" s="55" t="e">
        <f t="shared" ca="1" si="156"/>
        <v>#N/A</v>
      </c>
      <c r="Z524" s="55" t="e">
        <f t="shared" ca="1" si="157"/>
        <v>#N/A</v>
      </c>
      <c r="AB524" t="e">
        <f t="shared" ca="1" si="153"/>
        <v>#N/A</v>
      </c>
      <c r="AC524" t="e">
        <f t="shared" ref="AC524:AC587" ca="1" si="165">VLOOKUP(S524,ModelOutputs,11,FALSE)+AC523</f>
        <v>#N/A</v>
      </c>
      <c r="AD524" t="e">
        <f t="shared" ref="AD524:AD587" ca="1" si="166">VLOOKUP(S524,ModelOutputs,12,FALSE)</f>
        <v>#N/A</v>
      </c>
      <c r="AE524" t="e">
        <f t="shared" ref="AE524:AE587" ca="1" si="167">VLOOKUP(S524,ModelOutputs,13,FALSE)</f>
        <v>#N/A</v>
      </c>
      <c r="AF524" s="83" t="e">
        <f ca="1"/>
        <v>#N/A</v>
      </c>
      <c r="AG524" s="55" t="e">
        <f t="shared" ref="AG524:AG587" ca="1" si="168">IF(AF524&gt;1,AF524,"")</f>
        <v>#N/A</v>
      </c>
      <c r="AH524" s="55" t="e">
        <f t="shared" ref="AH524:AH587" ca="1" si="169">VLOOKUP(AG524,ModelOutputs,2,FALSE)</f>
        <v>#N/A</v>
      </c>
      <c r="AI524" s="55" t="e">
        <f t="shared" ref="AI524:AI587" ca="1" si="170">VLOOKUP(AG524,ModelOutputs,7,FALSE)</f>
        <v>#N/A</v>
      </c>
      <c r="AJ524" s="55" t="e">
        <f t="shared" ref="AJ524:AJ587" ca="1" si="171">VLOOKUP(AG524,ModelOutputs,6,FALSE)</f>
        <v>#N/A</v>
      </c>
      <c r="AK524" s="55" t="e">
        <f t="shared" ca="1" si="158"/>
        <v>#N/A</v>
      </c>
      <c r="AL524" s="55" t="e">
        <f t="shared" ca="1" si="159"/>
        <v>#N/A</v>
      </c>
      <c r="AM524" s="55" t="e">
        <f t="shared" ca="1" si="160"/>
        <v>#N/A</v>
      </c>
    </row>
    <row r="525" spans="18:39">
      <c r="R525" s="55" t="e">
        <f ca="1"/>
        <v>#N/A</v>
      </c>
      <c r="S525" s="55" t="e">
        <f t="shared" ca="1" si="161"/>
        <v>#N/A</v>
      </c>
      <c r="T525" s="55" t="e">
        <f t="shared" ca="1" si="162"/>
        <v>#N/A</v>
      </c>
      <c r="U525" s="55" t="e">
        <f t="shared" ca="1" si="163"/>
        <v>#N/A</v>
      </c>
      <c r="V525" s="55" t="e">
        <f t="shared" ca="1" si="164"/>
        <v>#N/A</v>
      </c>
      <c r="W525" s="55" t="e">
        <f t="shared" ca="1" si="154"/>
        <v>#N/A</v>
      </c>
      <c r="X525" s="55" t="e">
        <f t="shared" ca="1" si="155"/>
        <v>#N/A</v>
      </c>
      <c r="Y525" s="55" t="e">
        <f t="shared" ca="1" si="156"/>
        <v>#N/A</v>
      </c>
      <c r="Z525" s="55" t="e">
        <f t="shared" ca="1" si="157"/>
        <v>#N/A</v>
      </c>
      <c r="AB525" t="e">
        <f t="shared" ca="1" si="153"/>
        <v>#N/A</v>
      </c>
      <c r="AC525" t="e">
        <f t="shared" ca="1" si="165"/>
        <v>#N/A</v>
      </c>
      <c r="AD525" t="e">
        <f t="shared" ca="1" si="166"/>
        <v>#N/A</v>
      </c>
      <c r="AE525" t="e">
        <f t="shared" ca="1" si="167"/>
        <v>#N/A</v>
      </c>
      <c r="AF525" s="83" t="e">
        <f ca="1"/>
        <v>#N/A</v>
      </c>
      <c r="AG525" s="55" t="e">
        <f t="shared" ca="1" si="168"/>
        <v>#N/A</v>
      </c>
      <c r="AH525" s="55" t="e">
        <f t="shared" ca="1" si="169"/>
        <v>#N/A</v>
      </c>
      <c r="AI525" s="55" t="e">
        <f t="shared" ca="1" si="170"/>
        <v>#N/A</v>
      </c>
      <c r="AJ525" s="55" t="e">
        <f t="shared" ca="1" si="171"/>
        <v>#N/A</v>
      </c>
      <c r="AK525" s="55" t="e">
        <f t="shared" ca="1" si="158"/>
        <v>#N/A</v>
      </c>
      <c r="AL525" s="55" t="e">
        <f t="shared" ca="1" si="159"/>
        <v>#N/A</v>
      </c>
      <c r="AM525" s="55" t="e">
        <f t="shared" ca="1" si="160"/>
        <v>#N/A</v>
      </c>
    </row>
    <row r="526" spans="18:39">
      <c r="R526" s="55" t="e">
        <f ca="1"/>
        <v>#N/A</v>
      </c>
      <c r="S526" s="55" t="e">
        <f t="shared" ca="1" si="161"/>
        <v>#N/A</v>
      </c>
      <c r="T526" s="55" t="e">
        <f t="shared" ca="1" si="162"/>
        <v>#N/A</v>
      </c>
      <c r="U526" s="55" t="e">
        <f t="shared" ca="1" si="163"/>
        <v>#N/A</v>
      </c>
      <c r="V526" s="55" t="e">
        <f t="shared" ca="1" si="164"/>
        <v>#N/A</v>
      </c>
      <c r="W526" s="55" t="e">
        <f t="shared" ca="1" si="154"/>
        <v>#N/A</v>
      </c>
      <c r="X526" s="55" t="e">
        <f t="shared" ca="1" si="155"/>
        <v>#N/A</v>
      </c>
      <c r="Y526" s="55" t="e">
        <f t="shared" ca="1" si="156"/>
        <v>#N/A</v>
      </c>
      <c r="Z526" s="55" t="e">
        <f t="shared" ca="1" si="157"/>
        <v>#N/A</v>
      </c>
      <c r="AB526" t="e">
        <f t="shared" ca="1" si="153"/>
        <v>#N/A</v>
      </c>
      <c r="AC526" t="e">
        <f t="shared" ca="1" si="165"/>
        <v>#N/A</v>
      </c>
      <c r="AD526" t="e">
        <f t="shared" ca="1" si="166"/>
        <v>#N/A</v>
      </c>
      <c r="AE526" t="e">
        <f t="shared" ca="1" si="167"/>
        <v>#N/A</v>
      </c>
      <c r="AF526" s="83" t="e">
        <f ca="1"/>
        <v>#N/A</v>
      </c>
      <c r="AG526" s="55" t="e">
        <f t="shared" ca="1" si="168"/>
        <v>#N/A</v>
      </c>
      <c r="AH526" s="55" t="e">
        <f t="shared" ca="1" si="169"/>
        <v>#N/A</v>
      </c>
      <c r="AI526" s="55" t="e">
        <f t="shared" ca="1" si="170"/>
        <v>#N/A</v>
      </c>
      <c r="AJ526" s="55" t="e">
        <f t="shared" ca="1" si="171"/>
        <v>#N/A</v>
      </c>
      <c r="AK526" s="55" t="e">
        <f t="shared" ca="1" si="158"/>
        <v>#N/A</v>
      </c>
      <c r="AL526" s="55" t="e">
        <f t="shared" ca="1" si="159"/>
        <v>#N/A</v>
      </c>
      <c r="AM526" s="55" t="e">
        <f t="shared" ca="1" si="160"/>
        <v>#N/A</v>
      </c>
    </row>
    <row r="527" spans="18:39">
      <c r="R527" s="55" t="e">
        <f ca="1"/>
        <v>#N/A</v>
      </c>
      <c r="S527" s="55" t="e">
        <f t="shared" ca="1" si="161"/>
        <v>#N/A</v>
      </c>
      <c r="T527" s="55" t="e">
        <f t="shared" ca="1" si="162"/>
        <v>#N/A</v>
      </c>
      <c r="U527" s="55" t="e">
        <f t="shared" ca="1" si="163"/>
        <v>#N/A</v>
      </c>
      <c r="V527" s="55" t="e">
        <f t="shared" ca="1" si="164"/>
        <v>#N/A</v>
      </c>
      <c r="W527" s="55" t="e">
        <f t="shared" ca="1" si="154"/>
        <v>#N/A</v>
      </c>
      <c r="X527" s="55" t="e">
        <f t="shared" ca="1" si="155"/>
        <v>#N/A</v>
      </c>
      <c r="Y527" s="55" t="e">
        <f t="shared" ca="1" si="156"/>
        <v>#N/A</v>
      </c>
      <c r="Z527" s="55" t="e">
        <f t="shared" ca="1" si="157"/>
        <v>#N/A</v>
      </c>
      <c r="AB527" t="e">
        <f t="shared" ca="1" si="153"/>
        <v>#N/A</v>
      </c>
      <c r="AC527" t="e">
        <f t="shared" ca="1" si="165"/>
        <v>#N/A</v>
      </c>
      <c r="AD527" t="e">
        <f t="shared" ca="1" si="166"/>
        <v>#N/A</v>
      </c>
      <c r="AE527" t="e">
        <f t="shared" ca="1" si="167"/>
        <v>#N/A</v>
      </c>
      <c r="AF527" s="83" t="e">
        <f ca="1"/>
        <v>#N/A</v>
      </c>
      <c r="AG527" s="55" t="e">
        <f t="shared" ca="1" si="168"/>
        <v>#N/A</v>
      </c>
      <c r="AH527" s="55" t="e">
        <f t="shared" ca="1" si="169"/>
        <v>#N/A</v>
      </c>
      <c r="AI527" s="55" t="e">
        <f t="shared" ca="1" si="170"/>
        <v>#N/A</v>
      </c>
      <c r="AJ527" s="55" t="e">
        <f t="shared" ca="1" si="171"/>
        <v>#N/A</v>
      </c>
      <c r="AK527" s="55" t="e">
        <f t="shared" ca="1" si="158"/>
        <v>#N/A</v>
      </c>
      <c r="AL527" s="55" t="e">
        <f t="shared" ca="1" si="159"/>
        <v>#N/A</v>
      </c>
      <c r="AM527" s="55" t="e">
        <f t="shared" ca="1" si="160"/>
        <v>#N/A</v>
      </c>
    </row>
    <row r="528" spans="18:39">
      <c r="R528" s="55" t="e">
        <f ca="1"/>
        <v>#N/A</v>
      </c>
      <c r="S528" s="55" t="e">
        <f t="shared" ca="1" si="161"/>
        <v>#N/A</v>
      </c>
      <c r="T528" s="55" t="e">
        <f t="shared" ca="1" si="162"/>
        <v>#N/A</v>
      </c>
      <c r="U528" s="55" t="e">
        <f t="shared" ca="1" si="163"/>
        <v>#N/A</v>
      </c>
      <c r="V528" s="55" t="e">
        <f t="shared" ca="1" si="164"/>
        <v>#N/A</v>
      </c>
      <c r="W528" s="55" t="e">
        <f t="shared" ca="1" si="154"/>
        <v>#N/A</v>
      </c>
      <c r="X528" s="55" t="e">
        <f t="shared" ca="1" si="155"/>
        <v>#N/A</v>
      </c>
      <c r="Y528" s="55" t="e">
        <f t="shared" ca="1" si="156"/>
        <v>#N/A</v>
      </c>
      <c r="Z528" s="55" t="e">
        <f t="shared" ca="1" si="157"/>
        <v>#N/A</v>
      </c>
      <c r="AB528" t="e">
        <f t="shared" ca="1" si="153"/>
        <v>#N/A</v>
      </c>
      <c r="AC528" t="e">
        <f t="shared" ca="1" si="165"/>
        <v>#N/A</v>
      </c>
      <c r="AD528" t="e">
        <f t="shared" ca="1" si="166"/>
        <v>#N/A</v>
      </c>
      <c r="AE528" t="e">
        <f t="shared" ca="1" si="167"/>
        <v>#N/A</v>
      </c>
      <c r="AF528" s="83" t="e">
        <f ca="1"/>
        <v>#N/A</v>
      </c>
      <c r="AG528" s="55" t="e">
        <f t="shared" ca="1" si="168"/>
        <v>#N/A</v>
      </c>
      <c r="AH528" s="55" t="e">
        <f t="shared" ca="1" si="169"/>
        <v>#N/A</v>
      </c>
      <c r="AI528" s="55" t="e">
        <f t="shared" ca="1" si="170"/>
        <v>#N/A</v>
      </c>
      <c r="AJ528" s="55" t="e">
        <f t="shared" ca="1" si="171"/>
        <v>#N/A</v>
      </c>
      <c r="AK528" s="55" t="e">
        <f t="shared" ca="1" si="158"/>
        <v>#N/A</v>
      </c>
      <c r="AL528" s="55" t="e">
        <f t="shared" ca="1" si="159"/>
        <v>#N/A</v>
      </c>
      <c r="AM528" s="55" t="e">
        <f t="shared" ca="1" si="160"/>
        <v>#N/A</v>
      </c>
    </row>
    <row r="529" spans="18:39">
      <c r="R529" s="55" t="e">
        <f ca="1"/>
        <v>#N/A</v>
      </c>
      <c r="S529" s="55" t="e">
        <f t="shared" ca="1" si="161"/>
        <v>#N/A</v>
      </c>
      <c r="T529" s="55" t="e">
        <f t="shared" ca="1" si="162"/>
        <v>#N/A</v>
      </c>
      <c r="U529" s="55" t="e">
        <f t="shared" ca="1" si="163"/>
        <v>#N/A</v>
      </c>
      <c r="V529" s="55" t="e">
        <f t="shared" ca="1" si="164"/>
        <v>#N/A</v>
      </c>
      <c r="W529" s="55" t="e">
        <f t="shared" ca="1" si="154"/>
        <v>#N/A</v>
      </c>
      <c r="X529" s="55" t="e">
        <f t="shared" ca="1" si="155"/>
        <v>#N/A</v>
      </c>
      <c r="Y529" s="55" t="e">
        <f t="shared" ca="1" si="156"/>
        <v>#N/A</v>
      </c>
      <c r="Z529" s="55" t="e">
        <f t="shared" ca="1" si="157"/>
        <v>#N/A</v>
      </c>
      <c r="AB529" t="e">
        <f t="shared" ca="1" si="153"/>
        <v>#N/A</v>
      </c>
      <c r="AC529" t="e">
        <f t="shared" ca="1" si="165"/>
        <v>#N/A</v>
      </c>
      <c r="AD529" t="e">
        <f t="shared" ca="1" si="166"/>
        <v>#N/A</v>
      </c>
      <c r="AE529" t="e">
        <f t="shared" ca="1" si="167"/>
        <v>#N/A</v>
      </c>
      <c r="AF529" s="83" t="e">
        <f ca="1"/>
        <v>#N/A</v>
      </c>
      <c r="AG529" s="55" t="e">
        <f t="shared" ca="1" si="168"/>
        <v>#N/A</v>
      </c>
      <c r="AH529" s="55" t="e">
        <f t="shared" ca="1" si="169"/>
        <v>#N/A</v>
      </c>
      <c r="AI529" s="55" t="e">
        <f t="shared" ca="1" si="170"/>
        <v>#N/A</v>
      </c>
      <c r="AJ529" s="55" t="e">
        <f t="shared" ca="1" si="171"/>
        <v>#N/A</v>
      </c>
      <c r="AK529" s="55" t="e">
        <f t="shared" ca="1" si="158"/>
        <v>#N/A</v>
      </c>
      <c r="AL529" s="55" t="e">
        <f t="shared" ca="1" si="159"/>
        <v>#N/A</v>
      </c>
      <c r="AM529" s="55" t="e">
        <f t="shared" ca="1" si="160"/>
        <v>#N/A</v>
      </c>
    </row>
    <row r="530" spans="18:39">
      <c r="R530" s="55" t="e">
        <f ca="1"/>
        <v>#N/A</v>
      </c>
      <c r="S530" s="55" t="e">
        <f t="shared" ca="1" si="161"/>
        <v>#N/A</v>
      </c>
      <c r="T530" s="55" t="e">
        <f t="shared" ca="1" si="162"/>
        <v>#N/A</v>
      </c>
      <c r="U530" s="55" t="e">
        <f t="shared" ca="1" si="163"/>
        <v>#N/A</v>
      </c>
      <c r="V530" s="55" t="e">
        <f t="shared" ca="1" si="164"/>
        <v>#N/A</v>
      </c>
      <c r="W530" s="55" t="e">
        <f t="shared" ca="1" si="154"/>
        <v>#N/A</v>
      </c>
      <c r="X530" s="55" t="e">
        <f t="shared" ca="1" si="155"/>
        <v>#N/A</v>
      </c>
      <c r="Y530" s="55" t="e">
        <f t="shared" ca="1" si="156"/>
        <v>#N/A</v>
      </c>
      <c r="Z530" s="55" t="e">
        <f t="shared" ca="1" si="157"/>
        <v>#N/A</v>
      </c>
      <c r="AB530" t="e">
        <f t="shared" ref="AB530:AB593" ca="1" si="172">VLOOKUP(S530,ModelOutputs,10,FALSE)*AWC</f>
        <v>#N/A</v>
      </c>
      <c r="AC530" t="e">
        <f t="shared" ca="1" si="165"/>
        <v>#N/A</v>
      </c>
      <c r="AD530" t="e">
        <f t="shared" ca="1" si="166"/>
        <v>#N/A</v>
      </c>
      <c r="AE530" t="e">
        <f t="shared" ca="1" si="167"/>
        <v>#N/A</v>
      </c>
      <c r="AF530" s="83" t="e">
        <f ca="1"/>
        <v>#N/A</v>
      </c>
      <c r="AG530" s="55" t="e">
        <f t="shared" ca="1" si="168"/>
        <v>#N/A</v>
      </c>
      <c r="AH530" s="55" t="e">
        <f t="shared" ca="1" si="169"/>
        <v>#N/A</v>
      </c>
      <c r="AI530" s="55" t="e">
        <f t="shared" ca="1" si="170"/>
        <v>#N/A</v>
      </c>
      <c r="AJ530" s="55" t="e">
        <f t="shared" ca="1" si="171"/>
        <v>#N/A</v>
      </c>
      <c r="AK530" s="55" t="e">
        <f t="shared" ca="1" si="158"/>
        <v>#N/A</v>
      </c>
      <c r="AL530" s="55" t="e">
        <f t="shared" ca="1" si="159"/>
        <v>#N/A</v>
      </c>
      <c r="AM530" s="55" t="e">
        <f t="shared" ca="1" si="160"/>
        <v>#N/A</v>
      </c>
    </row>
    <row r="531" spans="18:39">
      <c r="R531" s="55" t="e">
        <f ca="1"/>
        <v>#N/A</v>
      </c>
      <c r="S531" s="55" t="e">
        <f t="shared" ca="1" si="161"/>
        <v>#N/A</v>
      </c>
      <c r="T531" s="55" t="e">
        <f t="shared" ca="1" si="162"/>
        <v>#N/A</v>
      </c>
      <c r="U531" s="55" t="e">
        <f t="shared" ca="1" si="163"/>
        <v>#N/A</v>
      </c>
      <c r="V531" s="55" t="e">
        <f t="shared" ca="1" si="164"/>
        <v>#N/A</v>
      </c>
      <c r="W531" s="55" t="e">
        <f t="shared" ref="W531:W594" ca="1" si="173">-VLOOKUP(S531,ModelOutputs,9,FALSE)+W530</f>
        <v>#N/A</v>
      </c>
      <c r="X531" s="55" t="e">
        <f t="shared" ref="X531:X594" ca="1" si="174">VLOOKUP(S531,ModelOutputs,5,FALSE)+X530</f>
        <v>#N/A</v>
      </c>
      <c r="Y531" s="55" t="e">
        <f t="shared" ref="Y531:Y594" ca="1" si="175">VLOOKUP(S531,ModelOutputs,4,FALSE)+Y530</f>
        <v>#N/A</v>
      </c>
      <c r="Z531" s="55" t="e">
        <f t="shared" ref="Z531:Z594" ca="1" si="176">VLOOKUP(S531,ModelOutputs,3,FALSE)*10</f>
        <v>#N/A</v>
      </c>
      <c r="AB531" t="e">
        <f t="shared" ca="1" si="172"/>
        <v>#N/A</v>
      </c>
      <c r="AC531" t="e">
        <f t="shared" ca="1" si="165"/>
        <v>#N/A</v>
      </c>
      <c r="AD531" t="e">
        <f t="shared" ca="1" si="166"/>
        <v>#N/A</v>
      </c>
      <c r="AE531" t="e">
        <f t="shared" ca="1" si="167"/>
        <v>#N/A</v>
      </c>
      <c r="AF531" s="83" t="e">
        <f ca="1"/>
        <v>#N/A</v>
      </c>
      <c r="AG531" s="55" t="e">
        <f t="shared" ca="1" si="168"/>
        <v>#N/A</v>
      </c>
      <c r="AH531" s="55" t="e">
        <f t="shared" ca="1" si="169"/>
        <v>#N/A</v>
      </c>
      <c r="AI531" s="55" t="e">
        <f t="shared" ca="1" si="170"/>
        <v>#N/A</v>
      </c>
      <c r="AJ531" s="55" t="e">
        <f t="shared" ca="1" si="171"/>
        <v>#N/A</v>
      </c>
      <c r="AK531" s="55" t="e">
        <f t="shared" ref="AK531:AK594" ca="1" si="177">-VLOOKUP(AG531,ModelOutputs,9,FALSE)+AK530</f>
        <v>#N/A</v>
      </c>
      <c r="AL531" s="55" t="e">
        <f t="shared" ref="AL531:AL594" ca="1" si="178">VLOOKUP(AG531,ModelOutputs,5,FALSE)+AL530</f>
        <v>#N/A</v>
      </c>
      <c r="AM531" s="55" t="e">
        <f t="shared" ref="AM531:AM594" ca="1" si="179">VLOOKUP(AG531,ModelOutputs,4,FALSE)+AM530</f>
        <v>#N/A</v>
      </c>
    </row>
    <row r="532" spans="18:39">
      <c r="R532" s="55" t="e">
        <f ca="1"/>
        <v>#N/A</v>
      </c>
      <c r="S532" s="55" t="e">
        <f t="shared" ca="1" si="161"/>
        <v>#N/A</v>
      </c>
      <c r="T532" s="55" t="e">
        <f t="shared" ca="1" si="162"/>
        <v>#N/A</v>
      </c>
      <c r="U532" s="55" t="e">
        <f t="shared" ca="1" si="163"/>
        <v>#N/A</v>
      </c>
      <c r="V532" s="55" t="e">
        <f t="shared" ca="1" si="164"/>
        <v>#N/A</v>
      </c>
      <c r="W532" s="55" t="e">
        <f t="shared" ca="1" si="173"/>
        <v>#N/A</v>
      </c>
      <c r="X532" s="55" t="e">
        <f t="shared" ca="1" si="174"/>
        <v>#N/A</v>
      </c>
      <c r="Y532" s="55" t="e">
        <f t="shared" ca="1" si="175"/>
        <v>#N/A</v>
      </c>
      <c r="Z532" s="55" t="e">
        <f t="shared" ca="1" si="176"/>
        <v>#N/A</v>
      </c>
      <c r="AB532" t="e">
        <f t="shared" ca="1" si="172"/>
        <v>#N/A</v>
      </c>
      <c r="AC532" t="e">
        <f t="shared" ca="1" si="165"/>
        <v>#N/A</v>
      </c>
      <c r="AD532" t="e">
        <f t="shared" ca="1" si="166"/>
        <v>#N/A</v>
      </c>
      <c r="AE532" t="e">
        <f t="shared" ca="1" si="167"/>
        <v>#N/A</v>
      </c>
      <c r="AF532" s="83" t="e">
        <f ca="1"/>
        <v>#N/A</v>
      </c>
      <c r="AG532" s="55" t="e">
        <f t="shared" ca="1" si="168"/>
        <v>#N/A</v>
      </c>
      <c r="AH532" s="55" t="e">
        <f t="shared" ca="1" si="169"/>
        <v>#N/A</v>
      </c>
      <c r="AI532" s="55" t="e">
        <f t="shared" ca="1" si="170"/>
        <v>#N/A</v>
      </c>
      <c r="AJ532" s="55" t="e">
        <f t="shared" ca="1" si="171"/>
        <v>#N/A</v>
      </c>
      <c r="AK532" s="55" t="e">
        <f t="shared" ca="1" si="177"/>
        <v>#N/A</v>
      </c>
      <c r="AL532" s="55" t="e">
        <f t="shared" ca="1" si="178"/>
        <v>#N/A</v>
      </c>
      <c r="AM532" s="55" t="e">
        <f t="shared" ca="1" si="179"/>
        <v>#N/A</v>
      </c>
    </row>
    <row r="533" spans="18:39">
      <c r="R533" s="55" t="e">
        <f ca="1"/>
        <v>#N/A</v>
      </c>
      <c r="S533" s="55" t="e">
        <f t="shared" ca="1" si="161"/>
        <v>#N/A</v>
      </c>
      <c r="T533" s="55" t="e">
        <f t="shared" ca="1" si="162"/>
        <v>#N/A</v>
      </c>
      <c r="U533" s="55" t="e">
        <f t="shared" ca="1" si="163"/>
        <v>#N/A</v>
      </c>
      <c r="V533" s="55" t="e">
        <f t="shared" ca="1" si="164"/>
        <v>#N/A</v>
      </c>
      <c r="W533" s="55" t="e">
        <f t="shared" ca="1" si="173"/>
        <v>#N/A</v>
      </c>
      <c r="X533" s="55" t="e">
        <f t="shared" ca="1" si="174"/>
        <v>#N/A</v>
      </c>
      <c r="Y533" s="55" t="e">
        <f t="shared" ca="1" si="175"/>
        <v>#N/A</v>
      </c>
      <c r="Z533" s="55" t="e">
        <f t="shared" ca="1" si="176"/>
        <v>#N/A</v>
      </c>
      <c r="AB533" t="e">
        <f t="shared" ca="1" si="172"/>
        <v>#N/A</v>
      </c>
      <c r="AC533" t="e">
        <f t="shared" ca="1" si="165"/>
        <v>#N/A</v>
      </c>
      <c r="AD533" t="e">
        <f t="shared" ca="1" si="166"/>
        <v>#N/A</v>
      </c>
      <c r="AE533" t="e">
        <f t="shared" ca="1" si="167"/>
        <v>#N/A</v>
      </c>
      <c r="AF533" s="83" t="e">
        <f ca="1"/>
        <v>#N/A</v>
      </c>
      <c r="AG533" s="55" t="e">
        <f t="shared" ca="1" si="168"/>
        <v>#N/A</v>
      </c>
      <c r="AH533" s="55" t="e">
        <f t="shared" ca="1" si="169"/>
        <v>#N/A</v>
      </c>
      <c r="AI533" s="55" t="e">
        <f t="shared" ca="1" si="170"/>
        <v>#N/A</v>
      </c>
      <c r="AJ533" s="55" t="e">
        <f t="shared" ca="1" si="171"/>
        <v>#N/A</v>
      </c>
      <c r="AK533" s="55" t="e">
        <f t="shared" ca="1" si="177"/>
        <v>#N/A</v>
      </c>
      <c r="AL533" s="55" t="e">
        <f t="shared" ca="1" si="178"/>
        <v>#N/A</v>
      </c>
      <c r="AM533" s="55" t="e">
        <f t="shared" ca="1" si="179"/>
        <v>#N/A</v>
      </c>
    </row>
    <row r="534" spans="18:39">
      <c r="R534" s="55" t="e">
        <f ca="1"/>
        <v>#N/A</v>
      </c>
      <c r="S534" s="55" t="e">
        <f t="shared" ca="1" si="161"/>
        <v>#N/A</v>
      </c>
      <c r="T534" s="55" t="e">
        <f t="shared" ca="1" si="162"/>
        <v>#N/A</v>
      </c>
      <c r="U534" s="55" t="e">
        <f t="shared" ca="1" si="163"/>
        <v>#N/A</v>
      </c>
      <c r="V534" s="55" t="e">
        <f t="shared" ca="1" si="164"/>
        <v>#N/A</v>
      </c>
      <c r="W534" s="55" t="e">
        <f t="shared" ca="1" si="173"/>
        <v>#N/A</v>
      </c>
      <c r="X534" s="55" t="e">
        <f t="shared" ca="1" si="174"/>
        <v>#N/A</v>
      </c>
      <c r="Y534" s="55" t="e">
        <f t="shared" ca="1" si="175"/>
        <v>#N/A</v>
      </c>
      <c r="Z534" s="55" t="e">
        <f t="shared" ca="1" si="176"/>
        <v>#N/A</v>
      </c>
      <c r="AB534" t="e">
        <f t="shared" ca="1" si="172"/>
        <v>#N/A</v>
      </c>
      <c r="AC534" t="e">
        <f t="shared" ca="1" si="165"/>
        <v>#N/A</v>
      </c>
      <c r="AD534" t="e">
        <f t="shared" ca="1" si="166"/>
        <v>#N/A</v>
      </c>
      <c r="AE534" t="e">
        <f t="shared" ca="1" si="167"/>
        <v>#N/A</v>
      </c>
      <c r="AF534" s="83" t="e">
        <f ca="1"/>
        <v>#N/A</v>
      </c>
      <c r="AG534" s="55" t="e">
        <f t="shared" ca="1" si="168"/>
        <v>#N/A</v>
      </c>
      <c r="AH534" s="55" t="e">
        <f t="shared" ca="1" si="169"/>
        <v>#N/A</v>
      </c>
      <c r="AI534" s="55" t="e">
        <f t="shared" ca="1" si="170"/>
        <v>#N/A</v>
      </c>
      <c r="AJ534" s="55" t="e">
        <f t="shared" ca="1" si="171"/>
        <v>#N/A</v>
      </c>
      <c r="AK534" s="55" t="e">
        <f t="shared" ca="1" si="177"/>
        <v>#N/A</v>
      </c>
      <c r="AL534" s="55" t="e">
        <f t="shared" ca="1" si="178"/>
        <v>#N/A</v>
      </c>
      <c r="AM534" s="55" t="e">
        <f t="shared" ca="1" si="179"/>
        <v>#N/A</v>
      </c>
    </row>
    <row r="535" spans="18:39">
      <c r="R535" s="55" t="e">
        <f ca="1"/>
        <v>#N/A</v>
      </c>
      <c r="S535" s="55" t="e">
        <f t="shared" ca="1" si="161"/>
        <v>#N/A</v>
      </c>
      <c r="T535" s="55" t="e">
        <f t="shared" ca="1" si="162"/>
        <v>#N/A</v>
      </c>
      <c r="U535" s="55" t="e">
        <f t="shared" ca="1" si="163"/>
        <v>#N/A</v>
      </c>
      <c r="V535" s="55" t="e">
        <f t="shared" ca="1" si="164"/>
        <v>#N/A</v>
      </c>
      <c r="W535" s="55" t="e">
        <f t="shared" ca="1" si="173"/>
        <v>#N/A</v>
      </c>
      <c r="X535" s="55" t="e">
        <f t="shared" ca="1" si="174"/>
        <v>#N/A</v>
      </c>
      <c r="Y535" s="55" t="e">
        <f t="shared" ca="1" si="175"/>
        <v>#N/A</v>
      </c>
      <c r="Z535" s="55" t="e">
        <f t="shared" ca="1" si="176"/>
        <v>#N/A</v>
      </c>
      <c r="AB535" t="e">
        <f t="shared" ca="1" si="172"/>
        <v>#N/A</v>
      </c>
      <c r="AC535" t="e">
        <f t="shared" ca="1" si="165"/>
        <v>#N/A</v>
      </c>
      <c r="AD535" t="e">
        <f t="shared" ca="1" si="166"/>
        <v>#N/A</v>
      </c>
      <c r="AE535" t="e">
        <f t="shared" ca="1" si="167"/>
        <v>#N/A</v>
      </c>
      <c r="AF535" s="83" t="e">
        <f ca="1"/>
        <v>#N/A</v>
      </c>
      <c r="AG535" s="55" t="e">
        <f t="shared" ca="1" si="168"/>
        <v>#N/A</v>
      </c>
      <c r="AH535" s="55" t="e">
        <f t="shared" ca="1" si="169"/>
        <v>#N/A</v>
      </c>
      <c r="AI535" s="55" t="e">
        <f t="shared" ca="1" si="170"/>
        <v>#N/A</v>
      </c>
      <c r="AJ535" s="55" t="e">
        <f t="shared" ca="1" si="171"/>
        <v>#N/A</v>
      </c>
      <c r="AK535" s="55" t="e">
        <f t="shared" ca="1" si="177"/>
        <v>#N/A</v>
      </c>
      <c r="AL535" s="55" t="e">
        <f t="shared" ca="1" si="178"/>
        <v>#N/A</v>
      </c>
      <c r="AM535" s="55" t="e">
        <f t="shared" ca="1" si="179"/>
        <v>#N/A</v>
      </c>
    </row>
    <row r="536" spans="18:39">
      <c r="R536" s="55" t="e">
        <f ca="1"/>
        <v>#N/A</v>
      </c>
      <c r="S536" s="55" t="e">
        <f t="shared" ca="1" si="161"/>
        <v>#N/A</v>
      </c>
      <c r="T536" s="55" t="e">
        <f t="shared" ca="1" si="162"/>
        <v>#N/A</v>
      </c>
      <c r="U536" s="55" t="e">
        <f t="shared" ca="1" si="163"/>
        <v>#N/A</v>
      </c>
      <c r="V536" s="55" t="e">
        <f t="shared" ca="1" si="164"/>
        <v>#N/A</v>
      </c>
      <c r="W536" s="55" t="e">
        <f t="shared" ca="1" si="173"/>
        <v>#N/A</v>
      </c>
      <c r="X536" s="55" t="e">
        <f t="shared" ca="1" si="174"/>
        <v>#N/A</v>
      </c>
      <c r="Y536" s="55" t="e">
        <f t="shared" ca="1" si="175"/>
        <v>#N/A</v>
      </c>
      <c r="Z536" s="55" t="e">
        <f t="shared" ca="1" si="176"/>
        <v>#N/A</v>
      </c>
      <c r="AB536" t="e">
        <f t="shared" ca="1" si="172"/>
        <v>#N/A</v>
      </c>
      <c r="AC536" t="e">
        <f t="shared" ca="1" si="165"/>
        <v>#N/A</v>
      </c>
      <c r="AD536" t="e">
        <f t="shared" ca="1" si="166"/>
        <v>#N/A</v>
      </c>
      <c r="AE536" t="e">
        <f t="shared" ca="1" si="167"/>
        <v>#N/A</v>
      </c>
      <c r="AF536" s="83" t="e">
        <f ca="1"/>
        <v>#N/A</v>
      </c>
      <c r="AG536" s="55" t="e">
        <f t="shared" ca="1" si="168"/>
        <v>#N/A</v>
      </c>
      <c r="AH536" s="55" t="e">
        <f t="shared" ca="1" si="169"/>
        <v>#N/A</v>
      </c>
      <c r="AI536" s="55" t="e">
        <f t="shared" ca="1" si="170"/>
        <v>#N/A</v>
      </c>
      <c r="AJ536" s="55" t="e">
        <f t="shared" ca="1" si="171"/>
        <v>#N/A</v>
      </c>
      <c r="AK536" s="55" t="e">
        <f t="shared" ca="1" si="177"/>
        <v>#N/A</v>
      </c>
      <c r="AL536" s="55" t="e">
        <f t="shared" ca="1" si="178"/>
        <v>#N/A</v>
      </c>
      <c r="AM536" s="55" t="e">
        <f t="shared" ca="1" si="179"/>
        <v>#N/A</v>
      </c>
    </row>
    <row r="537" spans="18:39">
      <c r="R537" s="55" t="e">
        <f ca="1"/>
        <v>#N/A</v>
      </c>
      <c r="S537" s="55" t="e">
        <f t="shared" ca="1" si="161"/>
        <v>#N/A</v>
      </c>
      <c r="T537" s="55" t="e">
        <f t="shared" ca="1" si="162"/>
        <v>#N/A</v>
      </c>
      <c r="U537" s="55" t="e">
        <f t="shared" ca="1" si="163"/>
        <v>#N/A</v>
      </c>
      <c r="V537" s="55" t="e">
        <f t="shared" ca="1" si="164"/>
        <v>#N/A</v>
      </c>
      <c r="W537" s="55" t="e">
        <f t="shared" ca="1" si="173"/>
        <v>#N/A</v>
      </c>
      <c r="X537" s="55" t="e">
        <f t="shared" ca="1" si="174"/>
        <v>#N/A</v>
      </c>
      <c r="Y537" s="55" t="e">
        <f t="shared" ca="1" si="175"/>
        <v>#N/A</v>
      </c>
      <c r="Z537" s="55" t="e">
        <f t="shared" ca="1" si="176"/>
        <v>#N/A</v>
      </c>
      <c r="AB537" t="e">
        <f t="shared" ca="1" si="172"/>
        <v>#N/A</v>
      </c>
      <c r="AC537" t="e">
        <f t="shared" ca="1" si="165"/>
        <v>#N/A</v>
      </c>
      <c r="AD537" t="e">
        <f t="shared" ca="1" si="166"/>
        <v>#N/A</v>
      </c>
      <c r="AE537" t="e">
        <f t="shared" ca="1" si="167"/>
        <v>#N/A</v>
      </c>
      <c r="AF537" s="83" t="e">
        <f ca="1"/>
        <v>#N/A</v>
      </c>
      <c r="AG537" s="55" t="e">
        <f t="shared" ca="1" si="168"/>
        <v>#N/A</v>
      </c>
      <c r="AH537" s="55" t="e">
        <f t="shared" ca="1" si="169"/>
        <v>#N/A</v>
      </c>
      <c r="AI537" s="55" t="e">
        <f t="shared" ca="1" si="170"/>
        <v>#N/A</v>
      </c>
      <c r="AJ537" s="55" t="e">
        <f t="shared" ca="1" si="171"/>
        <v>#N/A</v>
      </c>
      <c r="AK537" s="55" t="e">
        <f t="shared" ca="1" si="177"/>
        <v>#N/A</v>
      </c>
      <c r="AL537" s="55" t="e">
        <f t="shared" ca="1" si="178"/>
        <v>#N/A</v>
      </c>
      <c r="AM537" s="55" t="e">
        <f t="shared" ca="1" si="179"/>
        <v>#N/A</v>
      </c>
    </row>
    <row r="538" spans="18:39">
      <c r="R538" s="55" t="e">
        <f ca="1"/>
        <v>#N/A</v>
      </c>
      <c r="S538" s="55" t="e">
        <f t="shared" ca="1" si="161"/>
        <v>#N/A</v>
      </c>
      <c r="T538" s="55" t="e">
        <f t="shared" ca="1" si="162"/>
        <v>#N/A</v>
      </c>
      <c r="U538" s="55" t="e">
        <f t="shared" ca="1" si="163"/>
        <v>#N/A</v>
      </c>
      <c r="V538" s="55" t="e">
        <f t="shared" ca="1" si="164"/>
        <v>#N/A</v>
      </c>
      <c r="W538" s="55" t="e">
        <f t="shared" ca="1" si="173"/>
        <v>#N/A</v>
      </c>
      <c r="X538" s="55" t="e">
        <f t="shared" ca="1" si="174"/>
        <v>#N/A</v>
      </c>
      <c r="Y538" s="55" t="e">
        <f t="shared" ca="1" si="175"/>
        <v>#N/A</v>
      </c>
      <c r="Z538" s="55" t="e">
        <f t="shared" ca="1" si="176"/>
        <v>#N/A</v>
      </c>
      <c r="AB538" t="e">
        <f t="shared" ca="1" si="172"/>
        <v>#N/A</v>
      </c>
      <c r="AC538" t="e">
        <f t="shared" ca="1" si="165"/>
        <v>#N/A</v>
      </c>
      <c r="AD538" t="e">
        <f t="shared" ca="1" si="166"/>
        <v>#N/A</v>
      </c>
      <c r="AE538" t="e">
        <f t="shared" ca="1" si="167"/>
        <v>#N/A</v>
      </c>
      <c r="AF538" s="83" t="e">
        <f ca="1"/>
        <v>#N/A</v>
      </c>
      <c r="AG538" s="55" t="e">
        <f t="shared" ca="1" si="168"/>
        <v>#N/A</v>
      </c>
      <c r="AH538" s="55" t="e">
        <f t="shared" ca="1" si="169"/>
        <v>#N/A</v>
      </c>
      <c r="AI538" s="55" t="e">
        <f t="shared" ca="1" si="170"/>
        <v>#N/A</v>
      </c>
      <c r="AJ538" s="55" t="e">
        <f t="shared" ca="1" si="171"/>
        <v>#N/A</v>
      </c>
      <c r="AK538" s="55" t="e">
        <f t="shared" ca="1" si="177"/>
        <v>#N/A</v>
      </c>
      <c r="AL538" s="55" t="e">
        <f t="shared" ca="1" si="178"/>
        <v>#N/A</v>
      </c>
      <c r="AM538" s="55" t="e">
        <f t="shared" ca="1" si="179"/>
        <v>#N/A</v>
      </c>
    </row>
    <row r="539" spans="18:39">
      <c r="R539" s="55" t="e">
        <f ca="1"/>
        <v>#N/A</v>
      </c>
      <c r="S539" s="55" t="e">
        <f t="shared" ca="1" si="161"/>
        <v>#N/A</v>
      </c>
      <c r="T539" s="55" t="e">
        <f t="shared" ca="1" si="162"/>
        <v>#N/A</v>
      </c>
      <c r="U539" s="55" t="e">
        <f t="shared" ca="1" si="163"/>
        <v>#N/A</v>
      </c>
      <c r="V539" s="55" t="e">
        <f t="shared" ca="1" si="164"/>
        <v>#N/A</v>
      </c>
      <c r="W539" s="55" t="e">
        <f t="shared" ca="1" si="173"/>
        <v>#N/A</v>
      </c>
      <c r="X539" s="55" t="e">
        <f t="shared" ca="1" si="174"/>
        <v>#N/A</v>
      </c>
      <c r="Y539" s="55" t="e">
        <f t="shared" ca="1" si="175"/>
        <v>#N/A</v>
      </c>
      <c r="Z539" s="55" t="e">
        <f t="shared" ca="1" si="176"/>
        <v>#N/A</v>
      </c>
      <c r="AB539" t="e">
        <f t="shared" ca="1" si="172"/>
        <v>#N/A</v>
      </c>
      <c r="AC539" t="e">
        <f t="shared" ca="1" si="165"/>
        <v>#N/A</v>
      </c>
      <c r="AD539" t="e">
        <f t="shared" ca="1" si="166"/>
        <v>#N/A</v>
      </c>
      <c r="AE539" t="e">
        <f t="shared" ca="1" si="167"/>
        <v>#N/A</v>
      </c>
      <c r="AF539" s="83" t="e">
        <f ca="1"/>
        <v>#N/A</v>
      </c>
      <c r="AG539" s="55" t="e">
        <f t="shared" ca="1" si="168"/>
        <v>#N/A</v>
      </c>
      <c r="AH539" s="55" t="e">
        <f t="shared" ca="1" si="169"/>
        <v>#N/A</v>
      </c>
      <c r="AI539" s="55" t="e">
        <f t="shared" ca="1" si="170"/>
        <v>#N/A</v>
      </c>
      <c r="AJ539" s="55" t="e">
        <f t="shared" ca="1" si="171"/>
        <v>#N/A</v>
      </c>
      <c r="AK539" s="55" t="e">
        <f t="shared" ca="1" si="177"/>
        <v>#N/A</v>
      </c>
      <c r="AL539" s="55" t="e">
        <f t="shared" ca="1" si="178"/>
        <v>#N/A</v>
      </c>
      <c r="AM539" s="55" t="e">
        <f t="shared" ca="1" si="179"/>
        <v>#N/A</v>
      </c>
    </row>
    <row r="540" spans="18:39">
      <c r="R540" s="55" t="e">
        <f ca="1"/>
        <v>#N/A</v>
      </c>
      <c r="S540" s="55" t="e">
        <f t="shared" ca="1" si="161"/>
        <v>#N/A</v>
      </c>
      <c r="T540" s="55" t="e">
        <f t="shared" ca="1" si="162"/>
        <v>#N/A</v>
      </c>
      <c r="U540" s="55" t="e">
        <f t="shared" ca="1" si="163"/>
        <v>#N/A</v>
      </c>
      <c r="V540" s="55" t="e">
        <f t="shared" ca="1" si="164"/>
        <v>#N/A</v>
      </c>
      <c r="W540" s="55" t="e">
        <f t="shared" ca="1" si="173"/>
        <v>#N/A</v>
      </c>
      <c r="X540" s="55" t="e">
        <f t="shared" ca="1" si="174"/>
        <v>#N/A</v>
      </c>
      <c r="Y540" s="55" t="e">
        <f t="shared" ca="1" si="175"/>
        <v>#N/A</v>
      </c>
      <c r="Z540" s="55" t="e">
        <f t="shared" ca="1" si="176"/>
        <v>#N/A</v>
      </c>
      <c r="AB540" t="e">
        <f t="shared" ca="1" si="172"/>
        <v>#N/A</v>
      </c>
      <c r="AC540" t="e">
        <f t="shared" ca="1" si="165"/>
        <v>#N/A</v>
      </c>
      <c r="AD540" t="e">
        <f t="shared" ca="1" si="166"/>
        <v>#N/A</v>
      </c>
      <c r="AE540" t="e">
        <f t="shared" ca="1" si="167"/>
        <v>#N/A</v>
      </c>
      <c r="AF540" s="83" t="e">
        <f ca="1"/>
        <v>#N/A</v>
      </c>
      <c r="AG540" s="55" t="e">
        <f t="shared" ca="1" si="168"/>
        <v>#N/A</v>
      </c>
      <c r="AH540" s="55" t="e">
        <f t="shared" ca="1" si="169"/>
        <v>#N/A</v>
      </c>
      <c r="AI540" s="55" t="e">
        <f t="shared" ca="1" si="170"/>
        <v>#N/A</v>
      </c>
      <c r="AJ540" s="55" t="e">
        <f t="shared" ca="1" si="171"/>
        <v>#N/A</v>
      </c>
      <c r="AK540" s="55" t="e">
        <f t="shared" ca="1" si="177"/>
        <v>#N/A</v>
      </c>
      <c r="AL540" s="55" t="e">
        <f t="shared" ca="1" si="178"/>
        <v>#N/A</v>
      </c>
      <c r="AM540" s="55" t="e">
        <f t="shared" ca="1" si="179"/>
        <v>#N/A</v>
      </c>
    </row>
    <row r="541" spans="18:39">
      <c r="R541" s="55" t="e">
        <f ca="1"/>
        <v>#N/A</v>
      </c>
      <c r="S541" s="55" t="e">
        <f t="shared" ca="1" si="161"/>
        <v>#N/A</v>
      </c>
      <c r="T541" s="55" t="e">
        <f t="shared" ca="1" si="162"/>
        <v>#N/A</v>
      </c>
      <c r="U541" s="55" t="e">
        <f t="shared" ca="1" si="163"/>
        <v>#N/A</v>
      </c>
      <c r="V541" s="55" t="e">
        <f t="shared" ca="1" si="164"/>
        <v>#N/A</v>
      </c>
      <c r="W541" s="55" t="e">
        <f t="shared" ca="1" si="173"/>
        <v>#N/A</v>
      </c>
      <c r="X541" s="55" t="e">
        <f t="shared" ca="1" si="174"/>
        <v>#N/A</v>
      </c>
      <c r="Y541" s="55" t="e">
        <f t="shared" ca="1" si="175"/>
        <v>#N/A</v>
      </c>
      <c r="Z541" s="55" t="e">
        <f t="shared" ca="1" si="176"/>
        <v>#N/A</v>
      </c>
      <c r="AB541" t="e">
        <f t="shared" ca="1" si="172"/>
        <v>#N/A</v>
      </c>
      <c r="AC541" t="e">
        <f t="shared" ca="1" si="165"/>
        <v>#N/A</v>
      </c>
      <c r="AD541" t="e">
        <f t="shared" ca="1" si="166"/>
        <v>#N/A</v>
      </c>
      <c r="AE541" t="e">
        <f t="shared" ca="1" si="167"/>
        <v>#N/A</v>
      </c>
      <c r="AF541" s="83" t="e">
        <f ca="1"/>
        <v>#N/A</v>
      </c>
      <c r="AG541" s="55" t="e">
        <f t="shared" ca="1" si="168"/>
        <v>#N/A</v>
      </c>
      <c r="AH541" s="55" t="e">
        <f t="shared" ca="1" si="169"/>
        <v>#N/A</v>
      </c>
      <c r="AI541" s="55" t="e">
        <f t="shared" ca="1" si="170"/>
        <v>#N/A</v>
      </c>
      <c r="AJ541" s="55" t="e">
        <f t="shared" ca="1" si="171"/>
        <v>#N/A</v>
      </c>
      <c r="AK541" s="55" t="e">
        <f t="shared" ca="1" si="177"/>
        <v>#N/A</v>
      </c>
      <c r="AL541" s="55" t="e">
        <f t="shared" ca="1" si="178"/>
        <v>#N/A</v>
      </c>
      <c r="AM541" s="55" t="e">
        <f t="shared" ca="1" si="179"/>
        <v>#N/A</v>
      </c>
    </row>
    <row r="542" spans="18:39">
      <c r="R542" s="55" t="e">
        <f ca="1"/>
        <v>#N/A</v>
      </c>
      <c r="S542" s="55" t="e">
        <f t="shared" ca="1" si="161"/>
        <v>#N/A</v>
      </c>
      <c r="T542" s="55" t="e">
        <f t="shared" ca="1" si="162"/>
        <v>#N/A</v>
      </c>
      <c r="U542" s="55" t="e">
        <f t="shared" ca="1" si="163"/>
        <v>#N/A</v>
      </c>
      <c r="V542" s="55" t="e">
        <f t="shared" ca="1" si="164"/>
        <v>#N/A</v>
      </c>
      <c r="W542" s="55" t="e">
        <f t="shared" ca="1" si="173"/>
        <v>#N/A</v>
      </c>
      <c r="X542" s="55" t="e">
        <f t="shared" ca="1" si="174"/>
        <v>#N/A</v>
      </c>
      <c r="Y542" s="55" t="e">
        <f t="shared" ca="1" si="175"/>
        <v>#N/A</v>
      </c>
      <c r="Z542" s="55" t="e">
        <f t="shared" ca="1" si="176"/>
        <v>#N/A</v>
      </c>
      <c r="AB542" t="e">
        <f t="shared" ca="1" si="172"/>
        <v>#N/A</v>
      </c>
      <c r="AC542" t="e">
        <f t="shared" ca="1" si="165"/>
        <v>#N/A</v>
      </c>
      <c r="AD542" t="e">
        <f t="shared" ca="1" si="166"/>
        <v>#N/A</v>
      </c>
      <c r="AE542" t="e">
        <f t="shared" ca="1" si="167"/>
        <v>#N/A</v>
      </c>
      <c r="AF542" s="83" t="e">
        <f ca="1"/>
        <v>#N/A</v>
      </c>
      <c r="AG542" s="55" t="e">
        <f t="shared" ca="1" si="168"/>
        <v>#N/A</v>
      </c>
      <c r="AH542" s="55" t="e">
        <f t="shared" ca="1" si="169"/>
        <v>#N/A</v>
      </c>
      <c r="AI542" s="55" t="e">
        <f t="shared" ca="1" si="170"/>
        <v>#N/A</v>
      </c>
      <c r="AJ542" s="55" t="e">
        <f t="shared" ca="1" si="171"/>
        <v>#N/A</v>
      </c>
      <c r="AK542" s="55" t="e">
        <f t="shared" ca="1" si="177"/>
        <v>#N/A</v>
      </c>
      <c r="AL542" s="55" t="e">
        <f t="shared" ca="1" si="178"/>
        <v>#N/A</v>
      </c>
      <c r="AM542" s="55" t="e">
        <f t="shared" ca="1" si="179"/>
        <v>#N/A</v>
      </c>
    </row>
    <row r="543" spans="18:39">
      <c r="R543" s="55" t="e">
        <f ca="1"/>
        <v>#N/A</v>
      </c>
      <c r="S543" s="55" t="e">
        <f t="shared" ca="1" si="161"/>
        <v>#N/A</v>
      </c>
      <c r="T543" s="55" t="e">
        <f t="shared" ca="1" si="162"/>
        <v>#N/A</v>
      </c>
      <c r="U543" s="55" t="e">
        <f t="shared" ca="1" si="163"/>
        <v>#N/A</v>
      </c>
      <c r="V543" s="55" t="e">
        <f t="shared" ca="1" si="164"/>
        <v>#N/A</v>
      </c>
      <c r="W543" s="55" t="e">
        <f t="shared" ca="1" si="173"/>
        <v>#N/A</v>
      </c>
      <c r="X543" s="55" t="e">
        <f t="shared" ca="1" si="174"/>
        <v>#N/A</v>
      </c>
      <c r="Y543" s="55" t="e">
        <f t="shared" ca="1" si="175"/>
        <v>#N/A</v>
      </c>
      <c r="Z543" s="55" t="e">
        <f t="shared" ca="1" si="176"/>
        <v>#N/A</v>
      </c>
      <c r="AB543" t="e">
        <f t="shared" ca="1" si="172"/>
        <v>#N/A</v>
      </c>
      <c r="AC543" t="e">
        <f t="shared" ca="1" si="165"/>
        <v>#N/A</v>
      </c>
      <c r="AD543" t="e">
        <f t="shared" ca="1" si="166"/>
        <v>#N/A</v>
      </c>
      <c r="AE543" t="e">
        <f t="shared" ca="1" si="167"/>
        <v>#N/A</v>
      </c>
      <c r="AF543" s="83" t="e">
        <f ca="1"/>
        <v>#N/A</v>
      </c>
      <c r="AG543" s="55" t="e">
        <f t="shared" ca="1" si="168"/>
        <v>#N/A</v>
      </c>
      <c r="AH543" s="55" t="e">
        <f t="shared" ca="1" si="169"/>
        <v>#N/A</v>
      </c>
      <c r="AI543" s="55" t="e">
        <f t="shared" ca="1" si="170"/>
        <v>#N/A</v>
      </c>
      <c r="AJ543" s="55" t="e">
        <f t="shared" ca="1" si="171"/>
        <v>#N/A</v>
      </c>
      <c r="AK543" s="55" t="e">
        <f t="shared" ca="1" si="177"/>
        <v>#N/A</v>
      </c>
      <c r="AL543" s="55" t="e">
        <f t="shared" ca="1" si="178"/>
        <v>#N/A</v>
      </c>
      <c r="AM543" s="55" t="e">
        <f t="shared" ca="1" si="179"/>
        <v>#N/A</v>
      </c>
    </row>
    <row r="544" spans="18:39">
      <c r="R544" s="55" t="e">
        <f ca="1"/>
        <v>#N/A</v>
      </c>
      <c r="S544" s="55" t="e">
        <f t="shared" ca="1" si="161"/>
        <v>#N/A</v>
      </c>
      <c r="T544" s="55" t="e">
        <f t="shared" ca="1" si="162"/>
        <v>#N/A</v>
      </c>
      <c r="U544" s="55" t="e">
        <f t="shared" ca="1" si="163"/>
        <v>#N/A</v>
      </c>
      <c r="V544" s="55" t="e">
        <f t="shared" ca="1" si="164"/>
        <v>#N/A</v>
      </c>
      <c r="W544" s="55" t="e">
        <f t="shared" ca="1" si="173"/>
        <v>#N/A</v>
      </c>
      <c r="X544" s="55" t="e">
        <f t="shared" ca="1" si="174"/>
        <v>#N/A</v>
      </c>
      <c r="Y544" s="55" t="e">
        <f t="shared" ca="1" si="175"/>
        <v>#N/A</v>
      </c>
      <c r="Z544" s="55" t="e">
        <f t="shared" ca="1" si="176"/>
        <v>#N/A</v>
      </c>
      <c r="AB544" t="e">
        <f t="shared" ca="1" si="172"/>
        <v>#N/A</v>
      </c>
      <c r="AC544" t="e">
        <f t="shared" ca="1" si="165"/>
        <v>#N/A</v>
      </c>
      <c r="AD544" t="e">
        <f t="shared" ca="1" si="166"/>
        <v>#N/A</v>
      </c>
      <c r="AE544" t="e">
        <f t="shared" ca="1" si="167"/>
        <v>#N/A</v>
      </c>
      <c r="AF544" s="83" t="e">
        <f ca="1"/>
        <v>#N/A</v>
      </c>
      <c r="AG544" s="55" t="e">
        <f t="shared" ca="1" si="168"/>
        <v>#N/A</v>
      </c>
      <c r="AH544" s="55" t="e">
        <f t="shared" ca="1" si="169"/>
        <v>#N/A</v>
      </c>
      <c r="AI544" s="55" t="e">
        <f t="shared" ca="1" si="170"/>
        <v>#N/A</v>
      </c>
      <c r="AJ544" s="55" t="e">
        <f t="shared" ca="1" si="171"/>
        <v>#N/A</v>
      </c>
      <c r="AK544" s="55" t="e">
        <f t="shared" ca="1" si="177"/>
        <v>#N/A</v>
      </c>
      <c r="AL544" s="55" t="e">
        <f t="shared" ca="1" si="178"/>
        <v>#N/A</v>
      </c>
      <c r="AM544" s="55" t="e">
        <f t="shared" ca="1" si="179"/>
        <v>#N/A</v>
      </c>
    </row>
    <row r="545" spans="18:39">
      <c r="R545" s="55" t="e">
        <f ca="1"/>
        <v>#N/A</v>
      </c>
      <c r="S545" s="55" t="e">
        <f t="shared" ca="1" si="161"/>
        <v>#N/A</v>
      </c>
      <c r="T545" s="55" t="e">
        <f t="shared" ca="1" si="162"/>
        <v>#N/A</v>
      </c>
      <c r="U545" s="55" t="e">
        <f t="shared" ca="1" si="163"/>
        <v>#N/A</v>
      </c>
      <c r="V545" s="55" t="e">
        <f t="shared" ca="1" si="164"/>
        <v>#N/A</v>
      </c>
      <c r="W545" s="55" t="e">
        <f t="shared" ca="1" si="173"/>
        <v>#N/A</v>
      </c>
      <c r="X545" s="55" t="e">
        <f t="shared" ca="1" si="174"/>
        <v>#N/A</v>
      </c>
      <c r="Y545" s="55" t="e">
        <f t="shared" ca="1" si="175"/>
        <v>#N/A</v>
      </c>
      <c r="Z545" s="55" t="e">
        <f t="shared" ca="1" si="176"/>
        <v>#N/A</v>
      </c>
      <c r="AB545" t="e">
        <f t="shared" ca="1" si="172"/>
        <v>#N/A</v>
      </c>
      <c r="AC545" t="e">
        <f t="shared" ca="1" si="165"/>
        <v>#N/A</v>
      </c>
      <c r="AD545" t="e">
        <f t="shared" ca="1" si="166"/>
        <v>#N/A</v>
      </c>
      <c r="AE545" t="e">
        <f t="shared" ca="1" si="167"/>
        <v>#N/A</v>
      </c>
      <c r="AF545" s="83" t="e">
        <f ca="1"/>
        <v>#N/A</v>
      </c>
      <c r="AG545" s="55" t="e">
        <f t="shared" ca="1" si="168"/>
        <v>#N/A</v>
      </c>
      <c r="AH545" s="55" t="e">
        <f t="shared" ca="1" si="169"/>
        <v>#N/A</v>
      </c>
      <c r="AI545" s="55" t="e">
        <f t="shared" ca="1" si="170"/>
        <v>#N/A</v>
      </c>
      <c r="AJ545" s="55" t="e">
        <f t="shared" ca="1" si="171"/>
        <v>#N/A</v>
      </c>
      <c r="AK545" s="55" t="e">
        <f t="shared" ca="1" si="177"/>
        <v>#N/A</v>
      </c>
      <c r="AL545" s="55" t="e">
        <f t="shared" ca="1" si="178"/>
        <v>#N/A</v>
      </c>
      <c r="AM545" s="55" t="e">
        <f t="shared" ca="1" si="179"/>
        <v>#N/A</v>
      </c>
    </row>
    <row r="546" spans="18:39">
      <c r="R546" s="55" t="e">
        <f ca="1"/>
        <v>#N/A</v>
      </c>
      <c r="S546" s="55" t="e">
        <f t="shared" ca="1" si="161"/>
        <v>#N/A</v>
      </c>
      <c r="T546" s="55" t="e">
        <f t="shared" ca="1" si="162"/>
        <v>#N/A</v>
      </c>
      <c r="U546" s="55" t="e">
        <f t="shared" ca="1" si="163"/>
        <v>#N/A</v>
      </c>
      <c r="V546" s="55" t="e">
        <f t="shared" ca="1" si="164"/>
        <v>#N/A</v>
      </c>
      <c r="W546" s="55" t="e">
        <f t="shared" ca="1" si="173"/>
        <v>#N/A</v>
      </c>
      <c r="X546" s="55" t="e">
        <f t="shared" ca="1" si="174"/>
        <v>#N/A</v>
      </c>
      <c r="Y546" s="55" t="e">
        <f t="shared" ca="1" si="175"/>
        <v>#N/A</v>
      </c>
      <c r="Z546" s="55" t="e">
        <f t="shared" ca="1" si="176"/>
        <v>#N/A</v>
      </c>
      <c r="AB546" t="e">
        <f t="shared" ca="1" si="172"/>
        <v>#N/A</v>
      </c>
      <c r="AC546" t="e">
        <f t="shared" ca="1" si="165"/>
        <v>#N/A</v>
      </c>
      <c r="AD546" t="e">
        <f t="shared" ca="1" si="166"/>
        <v>#N/A</v>
      </c>
      <c r="AE546" t="e">
        <f t="shared" ca="1" si="167"/>
        <v>#N/A</v>
      </c>
      <c r="AF546" s="83" t="e">
        <f ca="1"/>
        <v>#N/A</v>
      </c>
      <c r="AG546" s="55" t="e">
        <f t="shared" ca="1" si="168"/>
        <v>#N/A</v>
      </c>
      <c r="AH546" s="55" t="e">
        <f t="shared" ca="1" si="169"/>
        <v>#N/A</v>
      </c>
      <c r="AI546" s="55" t="e">
        <f t="shared" ca="1" si="170"/>
        <v>#N/A</v>
      </c>
      <c r="AJ546" s="55" t="e">
        <f t="shared" ca="1" si="171"/>
        <v>#N/A</v>
      </c>
      <c r="AK546" s="55" t="e">
        <f t="shared" ca="1" si="177"/>
        <v>#N/A</v>
      </c>
      <c r="AL546" s="55" t="e">
        <f t="shared" ca="1" si="178"/>
        <v>#N/A</v>
      </c>
      <c r="AM546" s="55" t="e">
        <f t="shared" ca="1" si="179"/>
        <v>#N/A</v>
      </c>
    </row>
    <row r="547" spans="18:39">
      <c r="R547" s="55" t="e">
        <f ca="1"/>
        <v>#N/A</v>
      </c>
      <c r="S547" s="55" t="e">
        <f t="shared" ca="1" si="161"/>
        <v>#N/A</v>
      </c>
      <c r="T547" s="55" t="e">
        <f t="shared" ca="1" si="162"/>
        <v>#N/A</v>
      </c>
      <c r="U547" s="55" t="e">
        <f t="shared" ca="1" si="163"/>
        <v>#N/A</v>
      </c>
      <c r="V547" s="55" t="e">
        <f t="shared" ca="1" si="164"/>
        <v>#N/A</v>
      </c>
      <c r="W547" s="55" t="e">
        <f t="shared" ca="1" si="173"/>
        <v>#N/A</v>
      </c>
      <c r="X547" s="55" t="e">
        <f t="shared" ca="1" si="174"/>
        <v>#N/A</v>
      </c>
      <c r="Y547" s="55" t="e">
        <f t="shared" ca="1" si="175"/>
        <v>#N/A</v>
      </c>
      <c r="Z547" s="55" t="e">
        <f t="shared" ca="1" si="176"/>
        <v>#N/A</v>
      </c>
      <c r="AB547" t="e">
        <f t="shared" ca="1" si="172"/>
        <v>#N/A</v>
      </c>
      <c r="AC547" t="e">
        <f t="shared" ca="1" si="165"/>
        <v>#N/A</v>
      </c>
      <c r="AD547" t="e">
        <f t="shared" ca="1" si="166"/>
        <v>#N/A</v>
      </c>
      <c r="AE547" t="e">
        <f t="shared" ca="1" si="167"/>
        <v>#N/A</v>
      </c>
      <c r="AF547" s="83" t="e">
        <f ca="1"/>
        <v>#N/A</v>
      </c>
      <c r="AG547" s="55" t="e">
        <f t="shared" ca="1" si="168"/>
        <v>#N/A</v>
      </c>
      <c r="AH547" s="55" t="e">
        <f t="shared" ca="1" si="169"/>
        <v>#N/A</v>
      </c>
      <c r="AI547" s="55" t="e">
        <f t="shared" ca="1" si="170"/>
        <v>#N/A</v>
      </c>
      <c r="AJ547" s="55" t="e">
        <f t="shared" ca="1" si="171"/>
        <v>#N/A</v>
      </c>
      <c r="AK547" s="55" t="e">
        <f t="shared" ca="1" si="177"/>
        <v>#N/A</v>
      </c>
      <c r="AL547" s="55" t="e">
        <f t="shared" ca="1" si="178"/>
        <v>#N/A</v>
      </c>
      <c r="AM547" s="55" t="e">
        <f t="shared" ca="1" si="179"/>
        <v>#N/A</v>
      </c>
    </row>
    <row r="548" spans="18:39">
      <c r="R548" s="55" t="e">
        <f ca="1"/>
        <v>#N/A</v>
      </c>
      <c r="S548" s="55" t="e">
        <f t="shared" ca="1" si="161"/>
        <v>#N/A</v>
      </c>
      <c r="T548" s="55" t="e">
        <f t="shared" ca="1" si="162"/>
        <v>#N/A</v>
      </c>
      <c r="U548" s="55" t="e">
        <f t="shared" ca="1" si="163"/>
        <v>#N/A</v>
      </c>
      <c r="V548" s="55" t="e">
        <f t="shared" ca="1" si="164"/>
        <v>#N/A</v>
      </c>
      <c r="W548" s="55" t="e">
        <f t="shared" ca="1" si="173"/>
        <v>#N/A</v>
      </c>
      <c r="X548" s="55" t="e">
        <f t="shared" ca="1" si="174"/>
        <v>#N/A</v>
      </c>
      <c r="Y548" s="55" t="e">
        <f t="shared" ca="1" si="175"/>
        <v>#N/A</v>
      </c>
      <c r="Z548" s="55" t="e">
        <f t="shared" ca="1" si="176"/>
        <v>#N/A</v>
      </c>
      <c r="AB548" t="e">
        <f t="shared" ca="1" si="172"/>
        <v>#N/A</v>
      </c>
      <c r="AC548" t="e">
        <f t="shared" ca="1" si="165"/>
        <v>#N/A</v>
      </c>
      <c r="AD548" t="e">
        <f t="shared" ca="1" si="166"/>
        <v>#N/A</v>
      </c>
      <c r="AE548" t="e">
        <f t="shared" ca="1" si="167"/>
        <v>#N/A</v>
      </c>
      <c r="AF548" s="83" t="e">
        <f ca="1"/>
        <v>#N/A</v>
      </c>
      <c r="AG548" s="55" t="e">
        <f t="shared" ca="1" si="168"/>
        <v>#N/A</v>
      </c>
      <c r="AH548" s="55" t="e">
        <f t="shared" ca="1" si="169"/>
        <v>#N/A</v>
      </c>
      <c r="AI548" s="55" t="e">
        <f t="shared" ca="1" si="170"/>
        <v>#N/A</v>
      </c>
      <c r="AJ548" s="55" t="e">
        <f t="shared" ca="1" si="171"/>
        <v>#N/A</v>
      </c>
      <c r="AK548" s="55" t="e">
        <f t="shared" ca="1" si="177"/>
        <v>#N/A</v>
      </c>
      <c r="AL548" s="55" t="e">
        <f t="shared" ca="1" si="178"/>
        <v>#N/A</v>
      </c>
      <c r="AM548" s="55" t="e">
        <f t="shared" ca="1" si="179"/>
        <v>#N/A</v>
      </c>
    </row>
    <row r="549" spans="18:39">
      <c r="R549" s="55" t="e">
        <f ca="1"/>
        <v>#N/A</v>
      </c>
      <c r="S549" s="55" t="e">
        <f t="shared" ca="1" si="161"/>
        <v>#N/A</v>
      </c>
      <c r="T549" s="55" t="e">
        <f t="shared" ca="1" si="162"/>
        <v>#N/A</v>
      </c>
      <c r="U549" s="55" t="e">
        <f t="shared" ca="1" si="163"/>
        <v>#N/A</v>
      </c>
      <c r="V549" s="55" t="e">
        <f t="shared" ca="1" si="164"/>
        <v>#N/A</v>
      </c>
      <c r="W549" s="55" t="e">
        <f t="shared" ca="1" si="173"/>
        <v>#N/A</v>
      </c>
      <c r="X549" s="55" t="e">
        <f t="shared" ca="1" si="174"/>
        <v>#N/A</v>
      </c>
      <c r="Y549" s="55" t="e">
        <f t="shared" ca="1" si="175"/>
        <v>#N/A</v>
      </c>
      <c r="Z549" s="55" t="e">
        <f t="shared" ca="1" si="176"/>
        <v>#N/A</v>
      </c>
      <c r="AB549" t="e">
        <f t="shared" ca="1" si="172"/>
        <v>#N/A</v>
      </c>
      <c r="AC549" t="e">
        <f t="shared" ca="1" si="165"/>
        <v>#N/A</v>
      </c>
      <c r="AD549" t="e">
        <f t="shared" ca="1" si="166"/>
        <v>#N/A</v>
      </c>
      <c r="AE549" t="e">
        <f t="shared" ca="1" si="167"/>
        <v>#N/A</v>
      </c>
      <c r="AF549" s="83" t="e">
        <f ca="1"/>
        <v>#N/A</v>
      </c>
      <c r="AG549" s="55" t="e">
        <f t="shared" ca="1" si="168"/>
        <v>#N/A</v>
      </c>
      <c r="AH549" s="55" t="e">
        <f t="shared" ca="1" si="169"/>
        <v>#N/A</v>
      </c>
      <c r="AI549" s="55" t="e">
        <f t="shared" ca="1" si="170"/>
        <v>#N/A</v>
      </c>
      <c r="AJ549" s="55" t="e">
        <f t="shared" ca="1" si="171"/>
        <v>#N/A</v>
      </c>
      <c r="AK549" s="55" t="e">
        <f t="shared" ca="1" si="177"/>
        <v>#N/A</v>
      </c>
      <c r="AL549" s="55" t="e">
        <f t="shared" ca="1" si="178"/>
        <v>#N/A</v>
      </c>
      <c r="AM549" s="55" t="e">
        <f t="shared" ca="1" si="179"/>
        <v>#N/A</v>
      </c>
    </row>
    <row r="550" spans="18:39">
      <c r="R550" s="55" t="e">
        <f ca="1"/>
        <v>#N/A</v>
      </c>
      <c r="S550" s="55" t="e">
        <f t="shared" ca="1" si="161"/>
        <v>#N/A</v>
      </c>
      <c r="T550" s="55" t="e">
        <f t="shared" ca="1" si="162"/>
        <v>#N/A</v>
      </c>
      <c r="U550" s="55" t="e">
        <f t="shared" ca="1" si="163"/>
        <v>#N/A</v>
      </c>
      <c r="V550" s="55" t="e">
        <f t="shared" ca="1" si="164"/>
        <v>#N/A</v>
      </c>
      <c r="W550" s="55" t="e">
        <f t="shared" ca="1" si="173"/>
        <v>#N/A</v>
      </c>
      <c r="X550" s="55" t="e">
        <f t="shared" ca="1" si="174"/>
        <v>#N/A</v>
      </c>
      <c r="Y550" s="55" t="e">
        <f t="shared" ca="1" si="175"/>
        <v>#N/A</v>
      </c>
      <c r="Z550" s="55" t="e">
        <f t="shared" ca="1" si="176"/>
        <v>#N/A</v>
      </c>
      <c r="AB550" t="e">
        <f t="shared" ca="1" si="172"/>
        <v>#N/A</v>
      </c>
      <c r="AC550" t="e">
        <f t="shared" ca="1" si="165"/>
        <v>#N/A</v>
      </c>
      <c r="AD550" t="e">
        <f t="shared" ca="1" si="166"/>
        <v>#N/A</v>
      </c>
      <c r="AE550" t="e">
        <f t="shared" ca="1" si="167"/>
        <v>#N/A</v>
      </c>
      <c r="AF550" s="83" t="e">
        <f ca="1"/>
        <v>#N/A</v>
      </c>
      <c r="AG550" s="55" t="e">
        <f t="shared" ca="1" si="168"/>
        <v>#N/A</v>
      </c>
      <c r="AH550" s="55" t="e">
        <f t="shared" ca="1" si="169"/>
        <v>#N/A</v>
      </c>
      <c r="AI550" s="55" t="e">
        <f t="shared" ca="1" si="170"/>
        <v>#N/A</v>
      </c>
      <c r="AJ550" s="55" t="e">
        <f t="shared" ca="1" si="171"/>
        <v>#N/A</v>
      </c>
      <c r="AK550" s="55" t="e">
        <f t="shared" ca="1" si="177"/>
        <v>#N/A</v>
      </c>
      <c r="AL550" s="55" t="e">
        <f t="shared" ca="1" si="178"/>
        <v>#N/A</v>
      </c>
      <c r="AM550" s="55" t="e">
        <f t="shared" ca="1" si="179"/>
        <v>#N/A</v>
      </c>
    </row>
    <row r="551" spans="18:39">
      <c r="R551" s="55" t="e">
        <f ca="1"/>
        <v>#N/A</v>
      </c>
      <c r="S551" s="55" t="e">
        <f t="shared" ca="1" si="161"/>
        <v>#N/A</v>
      </c>
      <c r="T551" s="55" t="e">
        <f t="shared" ca="1" si="162"/>
        <v>#N/A</v>
      </c>
      <c r="U551" s="55" t="e">
        <f t="shared" ca="1" si="163"/>
        <v>#N/A</v>
      </c>
      <c r="V551" s="55" t="e">
        <f t="shared" ca="1" si="164"/>
        <v>#N/A</v>
      </c>
      <c r="W551" s="55" t="e">
        <f t="shared" ca="1" si="173"/>
        <v>#N/A</v>
      </c>
      <c r="X551" s="55" t="e">
        <f t="shared" ca="1" si="174"/>
        <v>#N/A</v>
      </c>
      <c r="Y551" s="55" t="e">
        <f t="shared" ca="1" si="175"/>
        <v>#N/A</v>
      </c>
      <c r="Z551" s="55" t="e">
        <f t="shared" ca="1" si="176"/>
        <v>#N/A</v>
      </c>
      <c r="AB551" t="e">
        <f t="shared" ca="1" si="172"/>
        <v>#N/A</v>
      </c>
      <c r="AC551" t="e">
        <f t="shared" ca="1" si="165"/>
        <v>#N/A</v>
      </c>
      <c r="AD551" t="e">
        <f t="shared" ca="1" si="166"/>
        <v>#N/A</v>
      </c>
      <c r="AE551" t="e">
        <f t="shared" ca="1" si="167"/>
        <v>#N/A</v>
      </c>
      <c r="AF551" s="83" t="e">
        <f ca="1"/>
        <v>#N/A</v>
      </c>
      <c r="AG551" s="55" t="e">
        <f t="shared" ca="1" si="168"/>
        <v>#N/A</v>
      </c>
      <c r="AH551" s="55" t="e">
        <f t="shared" ca="1" si="169"/>
        <v>#N/A</v>
      </c>
      <c r="AI551" s="55" t="e">
        <f t="shared" ca="1" si="170"/>
        <v>#N/A</v>
      </c>
      <c r="AJ551" s="55" t="e">
        <f t="shared" ca="1" si="171"/>
        <v>#N/A</v>
      </c>
      <c r="AK551" s="55" t="e">
        <f t="shared" ca="1" si="177"/>
        <v>#N/A</v>
      </c>
      <c r="AL551" s="55" t="e">
        <f t="shared" ca="1" si="178"/>
        <v>#N/A</v>
      </c>
      <c r="AM551" s="55" t="e">
        <f t="shared" ca="1" si="179"/>
        <v>#N/A</v>
      </c>
    </row>
    <row r="552" spans="18:39">
      <c r="R552" s="55" t="e">
        <f ca="1"/>
        <v>#N/A</v>
      </c>
      <c r="S552" s="55" t="e">
        <f t="shared" ca="1" si="161"/>
        <v>#N/A</v>
      </c>
      <c r="T552" s="55" t="e">
        <f t="shared" ca="1" si="162"/>
        <v>#N/A</v>
      </c>
      <c r="U552" s="55" t="e">
        <f t="shared" ca="1" si="163"/>
        <v>#N/A</v>
      </c>
      <c r="V552" s="55" t="e">
        <f t="shared" ca="1" si="164"/>
        <v>#N/A</v>
      </c>
      <c r="W552" s="55" t="e">
        <f t="shared" ca="1" si="173"/>
        <v>#N/A</v>
      </c>
      <c r="X552" s="55" t="e">
        <f t="shared" ca="1" si="174"/>
        <v>#N/A</v>
      </c>
      <c r="Y552" s="55" t="e">
        <f t="shared" ca="1" si="175"/>
        <v>#N/A</v>
      </c>
      <c r="Z552" s="55" t="e">
        <f t="shared" ca="1" si="176"/>
        <v>#N/A</v>
      </c>
      <c r="AB552" t="e">
        <f t="shared" ca="1" si="172"/>
        <v>#N/A</v>
      </c>
      <c r="AC552" t="e">
        <f t="shared" ca="1" si="165"/>
        <v>#N/A</v>
      </c>
      <c r="AD552" t="e">
        <f t="shared" ca="1" si="166"/>
        <v>#N/A</v>
      </c>
      <c r="AE552" t="e">
        <f t="shared" ca="1" si="167"/>
        <v>#N/A</v>
      </c>
      <c r="AF552" s="83" t="e">
        <f ca="1"/>
        <v>#N/A</v>
      </c>
      <c r="AG552" s="55" t="e">
        <f t="shared" ca="1" si="168"/>
        <v>#N/A</v>
      </c>
      <c r="AH552" s="55" t="e">
        <f t="shared" ca="1" si="169"/>
        <v>#N/A</v>
      </c>
      <c r="AI552" s="55" t="e">
        <f t="shared" ca="1" si="170"/>
        <v>#N/A</v>
      </c>
      <c r="AJ552" s="55" t="e">
        <f t="shared" ca="1" si="171"/>
        <v>#N/A</v>
      </c>
      <c r="AK552" s="55" t="e">
        <f t="shared" ca="1" si="177"/>
        <v>#N/A</v>
      </c>
      <c r="AL552" s="55" t="e">
        <f t="shared" ca="1" si="178"/>
        <v>#N/A</v>
      </c>
      <c r="AM552" s="55" t="e">
        <f t="shared" ca="1" si="179"/>
        <v>#N/A</v>
      </c>
    </row>
    <row r="553" spans="18:39">
      <c r="R553" s="55" t="e">
        <f ca="1"/>
        <v>#N/A</v>
      </c>
      <c r="S553" s="55" t="e">
        <f t="shared" ca="1" si="161"/>
        <v>#N/A</v>
      </c>
      <c r="T553" s="55" t="e">
        <f t="shared" ca="1" si="162"/>
        <v>#N/A</v>
      </c>
      <c r="U553" s="55" t="e">
        <f t="shared" ca="1" si="163"/>
        <v>#N/A</v>
      </c>
      <c r="V553" s="55" t="e">
        <f t="shared" ca="1" si="164"/>
        <v>#N/A</v>
      </c>
      <c r="W553" s="55" t="e">
        <f t="shared" ca="1" si="173"/>
        <v>#N/A</v>
      </c>
      <c r="X553" s="55" t="e">
        <f t="shared" ca="1" si="174"/>
        <v>#N/A</v>
      </c>
      <c r="Y553" s="55" t="e">
        <f t="shared" ca="1" si="175"/>
        <v>#N/A</v>
      </c>
      <c r="Z553" s="55" t="e">
        <f t="shared" ca="1" si="176"/>
        <v>#N/A</v>
      </c>
      <c r="AB553" t="e">
        <f t="shared" ca="1" si="172"/>
        <v>#N/A</v>
      </c>
      <c r="AC553" t="e">
        <f t="shared" ca="1" si="165"/>
        <v>#N/A</v>
      </c>
      <c r="AD553" t="e">
        <f t="shared" ca="1" si="166"/>
        <v>#N/A</v>
      </c>
      <c r="AE553" t="e">
        <f t="shared" ca="1" si="167"/>
        <v>#N/A</v>
      </c>
      <c r="AF553" s="83" t="e">
        <f ca="1"/>
        <v>#N/A</v>
      </c>
      <c r="AG553" s="55" t="e">
        <f t="shared" ca="1" si="168"/>
        <v>#N/A</v>
      </c>
      <c r="AH553" s="55" t="e">
        <f t="shared" ca="1" si="169"/>
        <v>#N/A</v>
      </c>
      <c r="AI553" s="55" t="e">
        <f t="shared" ca="1" si="170"/>
        <v>#N/A</v>
      </c>
      <c r="AJ553" s="55" t="e">
        <f t="shared" ca="1" si="171"/>
        <v>#N/A</v>
      </c>
      <c r="AK553" s="55" t="e">
        <f t="shared" ca="1" si="177"/>
        <v>#N/A</v>
      </c>
      <c r="AL553" s="55" t="e">
        <f t="shared" ca="1" si="178"/>
        <v>#N/A</v>
      </c>
      <c r="AM553" s="55" t="e">
        <f t="shared" ca="1" si="179"/>
        <v>#N/A</v>
      </c>
    </row>
    <row r="554" spans="18:39">
      <c r="R554" s="55" t="e">
        <f ca="1"/>
        <v>#N/A</v>
      </c>
      <c r="S554" s="55" t="e">
        <f t="shared" ca="1" si="161"/>
        <v>#N/A</v>
      </c>
      <c r="T554" s="55" t="e">
        <f t="shared" ca="1" si="162"/>
        <v>#N/A</v>
      </c>
      <c r="U554" s="55" t="e">
        <f t="shared" ca="1" si="163"/>
        <v>#N/A</v>
      </c>
      <c r="V554" s="55" t="e">
        <f t="shared" ca="1" si="164"/>
        <v>#N/A</v>
      </c>
      <c r="W554" s="55" t="e">
        <f t="shared" ca="1" si="173"/>
        <v>#N/A</v>
      </c>
      <c r="X554" s="55" t="e">
        <f t="shared" ca="1" si="174"/>
        <v>#N/A</v>
      </c>
      <c r="Y554" s="55" t="e">
        <f t="shared" ca="1" si="175"/>
        <v>#N/A</v>
      </c>
      <c r="Z554" s="55" t="e">
        <f t="shared" ca="1" si="176"/>
        <v>#N/A</v>
      </c>
      <c r="AB554" t="e">
        <f t="shared" ca="1" si="172"/>
        <v>#N/A</v>
      </c>
      <c r="AC554" t="e">
        <f t="shared" ca="1" si="165"/>
        <v>#N/A</v>
      </c>
      <c r="AD554" t="e">
        <f t="shared" ca="1" si="166"/>
        <v>#N/A</v>
      </c>
      <c r="AE554" t="e">
        <f t="shared" ca="1" si="167"/>
        <v>#N/A</v>
      </c>
      <c r="AF554" s="83" t="e">
        <f ca="1"/>
        <v>#N/A</v>
      </c>
      <c r="AG554" s="55" t="e">
        <f t="shared" ca="1" si="168"/>
        <v>#N/A</v>
      </c>
      <c r="AH554" s="55" t="e">
        <f t="shared" ca="1" si="169"/>
        <v>#N/A</v>
      </c>
      <c r="AI554" s="55" t="e">
        <f t="shared" ca="1" si="170"/>
        <v>#N/A</v>
      </c>
      <c r="AJ554" s="55" t="e">
        <f t="shared" ca="1" si="171"/>
        <v>#N/A</v>
      </c>
      <c r="AK554" s="55" t="e">
        <f t="shared" ca="1" si="177"/>
        <v>#N/A</v>
      </c>
      <c r="AL554" s="55" t="e">
        <f t="shared" ca="1" si="178"/>
        <v>#N/A</v>
      </c>
      <c r="AM554" s="55" t="e">
        <f t="shared" ca="1" si="179"/>
        <v>#N/A</v>
      </c>
    </row>
    <row r="555" spans="18:39">
      <c r="R555" s="55" t="e">
        <f ca="1"/>
        <v>#N/A</v>
      </c>
      <c r="S555" s="55" t="e">
        <f t="shared" ca="1" si="161"/>
        <v>#N/A</v>
      </c>
      <c r="T555" s="55" t="e">
        <f t="shared" ca="1" si="162"/>
        <v>#N/A</v>
      </c>
      <c r="U555" s="55" t="e">
        <f t="shared" ca="1" si="163"/>
        <v>#N/A</v>
      </c>
      <c r="V555" s="55" t="e">
        <f t="shared" ca="1" si="164"/>
        <v>#N/A</v>
      </c>
      <c r="W555" s="55" t="e">
        <f t="shared" ca="1" si="173"/>
        <v>#N/A</v>
      </c>
      <c r="X555" s="55" t="e">
        <f t="shared" ca="1" si="174"/>
        <v>#N/A</v>
      </c>
      <c r="Y555" s="55" t="e">
        <f t="shared" ca="1" si="175"/>
        <v>#N/A</v>
      </c>
      <c r="Z555" s="55" t="e">
        <f t="shared" ca="1" si="176"/>
        <v>#N/A</v>
      </c>
      <c r="AB555" t="e">
        <f t="shared" ca="1" si="172"/>
        <v>#N/A</v>
      </c>
      <c r="AC555" t="e">
        <f t="shared" ca="1" si="165"/>
        <v>#N/A</v>
      </c>
      <c r="AD555" t="e">
        <f t="shared" ca="1" si="166"/>
        <v>#N/A</v>
      </c>
      <c r="AE555" t="e">
        <f t="shared" ca="1" si="167"/>
        <v>#N/A</v>
      </c>
      <c r="AF555" s="83" t="e">
        <f ca="1"/>
        <v>#N/A</v>
      </c>
      <c r="AG555" s="55" t="e">
        <f t="shared" ca="1" si="168"/>
        <v>#N/A</v>
      </c>
      <c r="AH555" s="55" t="e">
        <f t="shared" ca="1" si="169"/>
        <v>#N/A</v>
      </c>
      <c r="AI555" s="55" t="e">
        <f t="shared" ca="1" si="170"/>
        <v>#N/A</v>
      </c>
      <c r="AJ555" s="55" t="e">
        <f t="shared" ca="1" si="171"/>
        <v>#N/A</v>
      </c>
      <c r="AK555" s="55" t="e">
        <f t="shared" ca="1" si="177"/>
        <v>#N/A</v>
      </c>
      <c r="AL555" s="55" t="e">
        <f t="shared" ca="1" si="178"/>
        <v>#N/A</v>
      </c>
      <c r="AM555" s="55" t="e">
        <f t="shared" ca="1" si="179"/>
        <v>#N/A</v>
      </c>
    </row>
    <row r="556" spans="18:39">
      <c r="R556" s="55" t="e">
        <f ca="1"/>
        <v>#N/A</v>
      </c>
      <c r="S556" s="55" t="e">
        <f t="shared" ca="1" si="161"/>
        <v>#N/A</v>
      </c>
      <c r="T556" s="55" t="e">
        <f t="shared" ca="1" si="162"/>
        <v>#N/A</v>
      </c>
      <c r="U556" s="55" t="e">
        <f t="shared" ca="1" si="163"/>
        <v>#N/A</v>
      </c>
      <c r="V556" s="55" t="e">
        <f t="shared" ca="1" si="164"/>
        <v>#N/A</v>
      </c>
      <c r="W556" s="55" t="e">
        <f t="shared" ca="1" si="173"/>
        <v>#N/A</v>
      </c>
      <c r="X556" s="55" t="e">
        <f t="shared" ca="1" si="174"/>
        <v>#N/A</v>
      </c>
      <c r="Y556" s="55" t="e">
        <f t="shared" ca="1" si="175"/>
        <v>#N/A</v>
      </c>
      <c r="Z556" s="55" t="e">
        <f t="shared" ca="1" si="176"/>
        <v>#N/A</v>
      </c>
      <c r="AB556" t="e">
        <f t="shared" ca="1" si="172"/>
        <v>#N/A</v>
      </c>
      <c r="AC556" t="e">
        <f t="shared" ca="1" si="165"/>
        <v>#N/A</v>
      </c>
      <c r="AD556" t="e">
        <f t="shared" ca="1" si="166"/>
        <v>#N/A</v>
      </c>
      <c r="AE556" t="e">
        <f t="shared" ca="1" si="167"/>
        <v>#N/A</v>
      </c>
      <c r="AF556" s="83" t="e">
        <f ca="1"/>
        <v>#N/A</v>
      </c>
      <c r="AG556" s="55" t="e">
        <f t="shared" ca="1" si="168"/>
        <v>#N/A</v>
      </c>
      <c r="AH556" s="55" t="e">
        <f t="shared" ca="1" si="169"/>
        <v>#N/A</v>
      </c>
      <c r="AI556" s="55" t="e">
        <f t="shared" ca="1" si="170"/>
        <v>#N/A</v>
      </c>
      <c r="AJ556" s="55" t="e">
        <f t="shared" ca="1" si="171"/>
        <v>#N/A</v>
      </c>
      <c r="AK556" s="55" t="e">
        <f t="shared" ca="1" si="177"/>
        <v>#N/A</v>
      </c>
      <c r="AL556" s="55" t="e">
        <f t="shared" ca="1" si="178"/>
        <v>#N/A</v>
      </c>
      <c r="AM556" s="55" t="e">
        <f t="shared" ca="1" si="179"/>
        <v>#N/A</v>
      </c>
    </row>
    <row r="557" spans="18:39">
      <c r="R557" s="55" t="e">
        <f ca="1"/>
        <v>#N/A</v>
      </c>
      <c r="S557" s="55" t="e">
        <f t="shared" ca="1" si="161"/>
        <v>#N/A</v>
      </c>
      <c r="T557" s="55" t="e">
        <f t="shared" ca="1" si="162"/>
        <v>#N/A</v>
      </c>
      <c r="U557" s="55" t="e">
        <f t="shared" ca="1" si="163"/>
        <v>#N/A</v>
      </c>
      <c r="V557" s="55" t="e">
        <f t="shared" ca="1" si="164"/>
        <v>#N/A</v>
      </c>
      <c r="W557" s="55" t="e">
        <f t="shared" ca="1" si="173"/>
        <v>#N/A</v>
      </c>
      <c r="X557" s="55" t="e">
        <f t="shared" ca="1" si="174"/>
        <v>#N/A</v>
      </c>
      <c r="Y557" s="55" t="e">
        <f t="shared" ca="1" si="175"/>
        <v>#N/A</v>
      </c>
      <c r="Z557" s="55" t="e">
        <f t="shared" ca="1" si="176"/>
        <v>#N/A</v>
      </c>
      <c r="AB557" t="e">
        <f t="shared" ca="1" si="172"/>
        <v>#N/A</v>
      </c>
      <c r="AC557" t="e">
        <f t="shared" ca="1" si="165"/>
        <v>#N/A</v>
      </c>
      <c r="AD557" t="e">
        <f t="shared" ca="1" si="166"/>
        <v>#N/A</v>
      </c>
      <c r="AE557" t="e">
        <f t="shared" ca="1" si="167"/>
        <v>#N/A</v>
      </c>
      <c r="AF557" s="83" t="e">
        <f ca="1"/>
        <v>#N/A</v>
      </c>
      <c r="AG557" s="55" t="e">
        <f t="shared" ca="1" si="168"/>
        <v>#N/A</v>
      </c>
      <c r="AH557" s="55" t="e">
        <f t="shared" ca="1" si="169"/>
        <v>#N/A</v>
      </c>
      <c r="AI557" s="55" t="e">
        <f t="shared" ca="1" si="170"/>
        <v>#N/A</v>
      </c>
      <c r="AJ557" s="55" t="e">
        <f t="shared" ca="1" si="171"/>
        <v>#N/A</v>
      </c>
      <c r="AK557" s="55" t="e">
        <f t="shared" ca="1" si="177"/>
        <v>#N/A</v>
      </c>
      <c r="AL557" s="55" t="e">
        <f t="shared" ca="1" si="178"/>
        <v>#N/A</v>
      </c>
      <c r="AM557" s="55" t="e">
        <f t="shared" ca="1" si="179"/>
        <v>#N/A</v>
      </c>
    </row>
    <row r="558" spans="18:39">
      <c r="R558" s="55" t="e">
        <f ca="1"/>
        <v>#N/A</v>
      </c>
      <c r="S558" s="55" t="e">
        <f t="shared" ca="1" si="161"/>
        <v>#N/A</v>
      </c>
      <c r="T558" s="55" t="e">
        <f t="shared" ca="1" si="162"/>
        <v>#N/A</v>
      </c>
      <c r="U558" s="55" t="e">
        <f t="shared" ca="1" si="163"/>
        <v>#N/A</v>
      </c>
      <c r="V558" s="55" t="e">
        <f t="shared" ca="1" si="164"/>
        <v>#N/A</v>
      </c>
      <c r="W558" s="55" t="e">
        <f t="shared" ca="1" si="173"/>
        <v>#N/A</v>
      </c>
      <c r="X558" s="55" t="e">
        <f t="shared" ca="1" si="174"/>
        <v>#N/A</v>
      </c>
      <c r="Y558" s="55" t="e">
        <f t="shared" ca="1" si="175"/>
        <v>#N/A</v>
      </c>
      <c r="Z558" s="55" t="e">
        <f t="shared" ca="1" si="176"/>
        <v>#N/A</v>
      </c>
      <c r="AB558" t="e">
        <f t="shared" ca="1" si="172"/>
        <v>#N/A</v>
      </c>
      <c r="AC558" t="e">
        <f t="shared" ca="1" si="165"/>
        <v>#N/A</v>
      </c>
      <c r="AD558" t="e">
        <f t="shared" ca="1" si="166"/>
        <v>#N/A</v>
      </c>
      <c r="AE558" t="e">
        <f t="shared" ca="1" si="167"/>
        <v>#N/A</v>
      </c>
      <c r="AF558" s="83" t="e">
        <f ca="1"/>
        <v>#N/A</v>
      </c>
      <c r="AG558" s="55" t="e">
        <f t="shared" ca="1" si="168"/>
        <v>#N/A</v>
      </c>
      <c r="AH558" s="55" t="e">
        <f t="shared" ca="1" si="169"/>
        <v>#N/A</v>
      </c>
      <c r="AI558" s="55" t="e">
        <f t="shared" ca="1" si="170"/>
        <v>#N/A</v>
      </c>
      <c r="AJ558" s="55" t="e">
        <f t="shared" ca="1" si="171"/>
        <v>#N/A</v>
      </c>
      <c r="AK558" s="55" t="e">
        <f t="shared" ca="1" si="177"/>
        <v>#N/A</v>
      </c>
      <c r="AL558" s="55" t="e">
        <f t="shared" ca="1" si="178"/>
        <v>#N/A</v>
      </c>
      <c r="AM558" s="55" t="e">
        <f t="shared" ca="1" si="179"/>
        <v>#N/A</v>
      </c>
    </row>
    <row r="559" spans="18:39">
      <c r="R559" s="55" t="e">
        <f ca="1"/>
        <v>#N/A</v>
      </c>
      <c r="S559" s="55" t="e">
        <f t="shared" ca="1" si="161"/>
        <v>#N/A</v>
      </c>
      <c r="T559" s="55" t="e">
        <f t="shared" ca="1" si="162"/>
        <v>#N/A</v>
      </c>
      <c r="U559" s="55" t="e">
        <f t="shared" ca="1" si="163"/>
        <v>#N/A</v>
      </c>
      <c r="V559" s="55" t="e">
        <f t="shared" ca="1" si="164"/>
        <v>#N/A</v>
      </c>
      <c r="W559" s="55" t="e">
        <f t="shared" ca="1" si="173"/>
        <v>#N/A</v>
      </c>
      <c r="X559" s="55" t="e">
        <f t="shared" ca="1" si="174"/>
        <v>#N/A</v>
      </c>
      <c r="Y559" s="55" t="e">
        <f t="shared" ca="1" si="175"/>
        <v>#N/A</v>
      </c>
      <c r="Z559" s="55" t="e">
        <f t="shared" ca="1" si="176"/>
        <v>#N/A</v>
      </c>
      <c r="AB559" t="e">
        <f t="shared" ca="1" si="172"/>
        <v>#N/A</v>
      </c>
      <c r="AC559" t="e">
        <f t="shared" ca="1" si="165"/>
        <v>#N/A</v>
      </c>
      <c r="AD559" t="e">
        <f t="shared" ca="1" si="166"/>
        <v>#N/A</v>
      </c>
      <c r="AE559" t="e">
        <f t="shared" ca="1" si="167"/>
        <v>#N/A</v>
      </c>
      <c r="AF559" s="83" t="e">
        <f ca="1"/>
        <v>#N/A</v>
      </c>
      <c r="AG559" s="55" t="e">
        <f t="shared" ca="1" si="168"/>
        <v>#N/A</v>
      </c>
      <c r="AH559" s="55" t="e">
        <f t="shared" ca="1" si="169"/>
        <v>#N/A</v>
      </c>
      <c r="AI559" s="55" t="e">
        <f t="shared" ca="1" si="170"/>
        <v>#N/A</v>
      </c>
      <c r="AJ559" s="55" t="e">
        <f t="shared" ca="1" si="171"/>
        <v>#N/A</v>
      </c>
      <c r="AK559" s="55" t="e">
        <f t="shared" ca="1" si="177"/>
        <v>#N/A</v>
      </c>
      <c r="AL559" s="55" t="e">
        <f t="shared" ca="1" si="178"/>
        <v>#N/A</v>
      </c>
      <c r="AM559" s="55" t="e">
        <f t="shared" ca="1" si="179"/>
        <v>#N/A</v>
      </c>
    </row>
    <row r="560" spans="18:39">
      <c r="R560" s="55" t="e">
        <f ca="1"/>
        <v>#N/A</v>
      </c>
      <c r="S560" s="55" t="e">
        <f t="shared" ca="1" si="161"/>
        <v>#N/A</v>
      </c>
      <c r="T560" s="55" t="e">
        <f t="shared" ca="1" si="162"/>
        <v>#N/A</v>
      </c>
      <c r="U560" s="55" t="e">
        <f t="shared" ca="1" si="163"/>
        <v>#N/A</v>
      </c>
      <c r="V560" s="55" t="e">
        <f t="shared" ca="1" si="164"/>
        <v>#N/A</v>
      </c>
      <c r="W560" s="55" t="e">
        <f t="shared" ca="1" si="173"/>
        <v>#N/A</v>
      </c>
      <c r="X560" s="55" t="e">
        <f t="shared" ca="1" si="174"/>
        <v>#N/A</v>
      </c>
      <c r="Y560" s="55" t="e">
        <f t="shared" ca="1" si="175"/>
        <v>#N/A</v>
      </c>
      <c r="Z560" s="55" t="e">
        <f t="shared" ca="1" si="176"/>
        <v>#N/A</v>
      </c>
      <c r="AB560" t="e">
        <f t="shared" ca="1" si="172"/>
        <v>#N/A</v>
      </c>
      <c r="AC560" t="e">
        <f t="shared" ca="1" si="165"/>
        <v>#N/A</v>
      </c>
      <c r="AD560" t="e">
        <f t="shared" ca="1" si="166"/>
        <v>#N/A</v>
      </c>
      <c r="AE560" t="e">
        <f t="shared" ca="1" si="167"/>
        <v>#N/A</v>
      </c>
      <c r="AF560" s="83" t="e">
        <f ca="1"/>
        <v>#N/A</v>
      </c>
      <c r="AG560" s="55" t="e">
        <f t="shared" ca="1" si="168"/>
        <v>#N/A</v>
      </c>
      <c r="AH560" s="55" t="e">
        <f t="shared" ca="1" si="169"/>
        <v>#N/A</v>
      </c>
      <c r="AI560" s="55" t="e">
        <f t="shared" ca="1" si="170"/>
        <v>#N/A</v>
      </c>
      <c r="AJ560" s="55" t="e">
        <f t="shared" ca="1" si="171"/>
        <v>#N/A</v>
      </c>
      <c r="AK560" s="55" t="e">
        <f t="shared" ca="1" si="177"/>
        <v>#N/A</v>
      </c>
      <c r="AL560" s="55" t="e">
        <f t="shared" ca="1" si="178"/>
        <v>#N/A</v>
      </c>
      <c r="AM560" s="55" t="e">
        <f t="shared" ca="1" si="179"/>
        <v>#N/A</v>
      </c>
    </row>
    <row r="561" spans="18:39">
      <c r="R561" s="55" t="e">
        <f ca="1"/>
        <v>#N/A</v>
      </c>
      <c r="S561" s="55" t="e">
        <f t="shared" ca="1" si="161"/>
        <v>#N/A</v>
      </c>
      <c r="T561" s="55" t="e">
        <f t="shared" ca="1" si="162"/>
        <v>#N/A</v>
      </c>
      <c r="U561" s="55" t="e">
        <f t="shared" ca="1" si="163"/>
        <v>#N/A</v>
      </c>
      <c r="V561" s="55" t="e">
        <f t="shared" ca="1" si="164"/>
        <v>#N/A</v>
      </c>
      <c r="W561" s="55" t="e">
        <f t="shared" ca="1" si="173"/>
        <v>#N/A</v>
      </c>
      <c r="X561" s="55" t="e">
        <f t="shared" ca="1" si="174"/>
        <v>#N/A</v>
      </c>
      <c r="Y561" s="55" t="e">
        <f t="shared" ca="1" si="175"/>
        <v>#N/A</v>
      </c>
      <c r="Z561" s="55" t="e">
        <f t="shared" ca="1" si="176"/>
        <v>#N/A</v>
      </c>
      <c r="AB561" t="e">
        <f t="shared" ca="1" si="172"/>
        <v>#N/A</v>
      </c>
      <c r="AC561" t="e">
        <f t="shared" ca="1" si="165"/>
        <v>#N/A</v>
      </c>
      <c r="AD561" t="e">
        <f t="shared" ca="1" si="166"/>
        <v>#N/A</v>
      </c>
      <c r="AE561" t="e">
        <f t="shared" ca="1" si="167"/>
        <v>#N/A</v>
      </c>
      <c r="AF561" s="83" t="e">
        <f ca="1"/>
        <v>#N/A</v>
      </c>
      <c r="AG561" s="55" t="e">
        <f t="shared" ca="1" si="168"/>
        <v>#N/A</v>
      </c>
      <c r="AH561" s="55" t="e">
        <f t="shared" ca="1" si="169"/>
        <v>#N/A</v>
      </c>
      <c r="AI561" s="55" t="e">
        <f t="shared" ca="1" si="170"/>
        <v>#N/A</v>
      </c>
      <c r="AJ561" s="55" t="e">
        <f t="shared" ca="1" si="171"/>
        <v>#N/A</v>
      </c>
      <c r="AK561" s="55" t="e">
        <f t="shared" ca="1" si="177"/>
        <v>#N/A</v>
      </c>
      <c r="AL561" s="55" t="e">
        <f t="shared" ca="1" si="178"/>
        <v>#N/A</v>
      </c>
      <c r="AM561" s="55" t="e">
        <f t="shared" ca="1" si="179"/>
        <v>#N/A</v>
      </c>
    </row>
    <row r="562" spans="18:39">
      <c r="R562" s="55" t="e">
        <f ca="1"/>
        <v>#N/A</v>
      </c>
      <c r="S562" s="55" t="e">
        <f t="shared" ca="1" si="161"/>
        <v>#N/A</v>
      </c>
      <c r="T562" s="55" t="e">
        <f t="shared" ca="1" si="162"/>
        <v>#N/A</v>
      </c>
      <c r="U562" s="55" t="e">
        <f t="shared" ca="1" si="163"/>
        <v>#N/A</v>
      </c>
      <c r="V562" s="55" t="e">
        <f t="shared" ca="1" si="164"/>
        <v>#N/A</v>
      </c>
      <c r="W562" s="55" t="e">
        <f t="shared" ca="1" si="173"/>
        <v>#N/A</v>
      </c>
      <c r="X562" s="55" t="e">
        <f t="shared" ca="1" si="174"/>
        <v>#N/A</v>
      </c>
      <c r="Y562" s="55" t="e">
        <f t="shared" ca="1" si="175"/>
        <v>#N/A</v>
      </c>
      <c r="Z562" s="55" t="e">
        <f t="shared" ca="1" si="176"/>
        <v>#N/A</v>
      </c>
      <c r="AB562" t="e">
        <f t="shared" ca="1" si="172"/>
        <v>#N/A</v>
      </c>
      <c r="AC562" t="e">
        <f t="shared" ca="1" si="165"/>
        <v>#N/A</v>
      </c>
      <c r="AD562" t="e">
        <f t="shared" ca="1" si="166"/>
        <v>#N/A</v>
      </c>
      <c r="AE562" t="e">
        <f t="shared" ca="1" si="167"/>
        <v>#N/A</v>
      </c>
      <c r="AF562" s="83" t="e">
        <f ca="1"/>
        <v>#N/A</v>
      </c>
      <c r="AG562" s="55" t="e">
        <f t="shared" ca="1" si="168"/>
        <v>#N/A</v>
      </c>
      <c r="AH562" s="55" t="e">
        <f t="shared" ca="1" si="169"/>
        <v>#N/A</v>
      </c>
      <c r="AI562" s="55" t="e">
        <f t="shared" ca="1" si="170"/>
        <v>#N/A</v>
      </c>
      <c r="AJ562" s="55" t="e">
        <f t="shared" ca="1" si="171"/>
        <v>#N/A</v>
      </c>
      <c r="AK562" s="55" t="e">
        <f t="shared" ca="1" si="177"/>
        <v>#N/A</v>
      </c>
      <c r="AL562" s="55" t="e">
        <f t="shared" ca="1" si="178"/>
        <v>#N/A</v>
      </c>
      <c r="AM562" s="55" t="e">
        <f t="shared" ca="1" si="179"/>
        <v>#N/A</v>
      </c>
    </row>
    <row r="563" spans="18:39">
      <c r="R563" s="55" t="e">
        <f ca="1"/>
        <v>#N/A</v>
      </c>
      <c r="S563" s="55" t="e">
        <f t="shared" ca="1" si="161"/>
        <v>#N/A</v>
      </c>
      <c r="T563" s="55" t="e">
        <f t="shared" ca="1" si="162"/>
        <v>#N/A</v>
      </c>
      <c r="U563" s="55" t="e">
        <f t="shared" ca="1" si="163"/>
        <v>#N/A</v>
      </c>
      <c r="V563" s="55" t="e">
        <f t="shared" ca="1" si="164"/>
        <v>#N/A</v>
      </c>
      <c r="W563" s="55" t="e">
        <f t="shared" ca="1" si="173"/>
        <v>#N/A</v>
      </c>
      <c r="X563" s="55" t="e">
        <f t="shared" ca="1" si="174"/>
        <v>#N/A</v>
      </c>
      <c r="Y563" s="55" t="e">
        <f t="shared" ca="1" si="175"/>
        <v>#N/A</v>
      </c>
      <c r="Z563" s="55" t="e">
        <f t="shared" ca="1" si="176"/>
        <v>#N/A</v>
      </c>
      <c r="AB563" t="e">
        <f t="shared" ca="1" si="172"/>
        <v>#N/A</v>
      </c>
      <c r="AC563" t="e">
        <f t="shared" ca="1" si="165"/>
        <v>#N/A</v>
      </c>
      <c r="AD563" t="e">
        <f t="shared" ca="1" si="166"/>
        <v>#N/A</v>
      </c>
      <c r="AE563" t="e">
        <f t="shared" ca="1" si="167"/>
        <v>#N/A</v>
      </c>
      <c r="AF563" s="83" t="e">
        <f ca="1"/>
        <v>#N/A</v>
      </c>
      <c r="AG563" s="55" t="e">
        <f t="shared" ca="1" si="168"/>
        <v>#N/A</v>
      </c>
      <c r="AH563" s="55" t="e">
        <f t="shared" ca="1" si="169"/>
        <v>#N/A</v>
      </c>
      <c r="AI563" s="55" t="e">
        <f t="shared" ca="1" si="170"/>
        <v>#N/A</v>
      </c>
      <c r="AJ563" s="55" t="e">
        <f t="shared" ca="1" si="171"/>
        <v>#N/A</v>
      </c>
      <c r="AK563" s="55" t="e">
        <f t="shared" ca="1" si="177"/>
        <v>#N/A</v>
      </c>
      <c r="AL563" s="55" t="e">
        <f t="shared" ca="1" si="178"/>
        <v>#N/A</v>
      </c>
      <c r="AM563" s="55" t="e">
        <f t="shared" ca="1" si="179"/>
        <v>#N/A</v>
      </c>
    </row>
    <row r="564" spans="18:39">
      <c r="R564" s="55" t="e">
        <f ca="1"/>
        <v>#N/A</v>
      </c>
      <c r="S564" s="55" t="e">
        <f t="shared" ca="1" si="161"/>
        <v>#N/A</v>
      </c>
      <c r="T564" s="55" t="e">
        <f t="shared" ca="1" si="162"/>
        <v>#N/A</v>
      </c>
      <c r="U564" s="55" t="e">
        <f t="shared" ca="1" si="163"/>
        <v>#N/A</v>
      </c>
      <c r="V564" s="55" t="e">
        <f t="shared" ca="1" si="164"/>
        <v>#N/A</v>
      </c>
      <c r="W564" s="55" t="e">
        <f t="shared" ca="1" si="173"/>
        <v>#N/A</v>
      </c>
      <c r="X564" s="55" t="e">
        <f t="shared" ca="1" si="174"/>
        <v>#N/A</v>
      </c>
      <c r="Y564" s="55" t="e">
        <f t="shared" ca="1" si="175"/>
        <v>#N/A</v>
      </c>
      <c r="Z564" s="55" t="e">
        <f t="shared" ca="1" si="176"/>
        <v>#N/A</v>
      </c>
      <c r="AB564" t="e">
        <f t="shared" ca="1" si="172"/>
        <v>#N/A</v>
      </c>
      <c r="AC564" t="e">
        <f t="shared" ca="1" si="165"/>
        <v>#N/A</v>
      </c>
      <c r="AD564" t="e">
        <f t="shared" ca="1" si="166"/>
        <v>#N/A</v>
      </c>
      <c r="AE564" t="e">
        <f t="shared" ca="1" si="167"/>
        <v>#N/A</v>
      </c>
      <c r="AF564" s="83" t="e">
        <f ca="1"/>
        <v>#N/A</v>
      </c>
      <c r="AG564" s="55" t="e">
        <f t="shared" ca="1" si="168"/>
        <v>#N/A</v>
      </c>
      <c r="AH564" s="55" t="e">
        <f t="shared" ca="1" si="169"/>
        <v>#N/A</v>
      </c>
      <c r="AI564" s="55" t="e">
        <f t="shared" ca="1" si="170"/>
        <v>#N/A</v>
      </c>
      <c r="AJ564" s="55" t="e">
        <f t="shared" ca="1" si="171"/>
        <v>#N/A</v>
      </c>
      <c r="AK564" s="55" t="e">
        <f t="shared" ca="1" si="177"/>
        <v>#N/A</v>
      </c>
      <c r="AL564" s="55" t="e">
        <f t="shared" ca="1" si="178"/>
        <v>#N/A</v>
      </c>
      <c r="AM564" s="55" t="e">
        <f t="shared" ca="1" si="179"/>
        <v>#N/A</v>
      </c>
    </row>
    <row r="565" spans="18:39">
      <c r="R565" s="55" t="e">
        <f ca="1"/>
        <v>#N/A</v>
      </c>
      <c r="S565" s="55" t="e">
        <f t="shared" ca="1" si="161"/>
        <v>#N/A</v>
      </c>
      <c r="T565" s="55" t="e">
        <f t="shared" ca="1" si="162"/>
        <v>#N/A</v>
      </c>
      <c r="U565" s="55" t="e">
        <f t="shared" ca="1" si="163"/>
        <v>#N/A</v>
      </c>
      <c r="V565" s="55" t="e">
        <f t="shared" ca="1" si="164"/>
        <v>#N/A</v>
      </c>
      <c r="W565" s="55" t="e">
        <f t="shared" ca="1" si="173"/>
        <v>#N/A</v>
      </c>
      <c r="X565" s="55" t="e">
        <f t="shared" ca="1" si="174"/>
        <v>#N/A</v>
      </c>
      <c r="Y565" s="55" t="e">
        <f t="shared" ca="1" si="175"/>
        <v>#N/A</v>
      </c>
      <c r="Z565" s="55" t="e">
        <f t="shared" ca="1" si="176"/>
        <v>#N/A</v>
      </c>
      <c r="AB565" t="e">
        <f t="shared" ca="1" si="172"/>
        <v>#N/A</v>
      </c>
      <c r="AC565" t="e">
        <f t="shared" ca="1" si="165"/>
        <v>#N/A</v>
      </c>
      <c r="AD565" t="e">
        <f t="shared" ca="1" si="166"/>
        <v>#N/A</v>
      </c>
      <c r="AE565" t="e">
        <f t="shared" ca="1" si="167"/>
        <v>#N/A</v>
      </c>
      <c r="AF565" s="83" t="e">
        <f ca="1"/>
        <v>#N/A</v>
      </c>
      <c r="AG565" s="55" t="e">
        <f t="shared" ca="1" si="168"/>
        <v>#N/A</v>
      </c>
      <c r="AH565" s="55" t="e">
        <f t="shared" ca="1" si="169"/>
        <v>#N/A</v>
      </c>
      <c r="AI565" s="55" t="e">
        <f t="shared" ca="1" si="170"/>
        <v>#N/A</v>
      </c>
      <c r="AJ565" s="55" t="e">
        <f t="shared" ca="1" si="171"/>
        <v>#N/A</v>
      </c>
      <c r="AK565" s="55" t="e">
        <f t="shared" ca="1" si="177"/>
        <v>#N/A</v>
      </c>
      <c r="AL565" s="55" t="e">
        <f t="shared" ca="1" si="178"/>
        <v>#N/A</v>
      </c>
      <c r="AM565" s="55" t="e">
        <f t="shared" ca="1" si="179"/>
        <v>#N/A</v>
      </c>
    </row>
    <row r="566" spans="18:39">
      <c r="R566" s="55" t="e">
        <f ca="1"/>
        <v>#N/A</v>
      </c>
      <c r="S566" s="55" t="e">
        <f t="shared" ca="1" si="161"/>
        <v>#N/A</v>
      </c>
      <c r="T566" s="55" t="e">
        <f t="shared" ca="1" si="162"/>
        <v>#N/A</v>
      </c>
      <c r="U566" s="55" t="e">
        <f t="shared" ca="1" si="163"/>
        <v>#N/A</v>
      </c>
      <c r="V566" s="55" t="e">
        <f t="shared" ca="1" si="164"/>
        <v>#N/A</v>
      </c>
      <c r="W566" s="55" t="e">
        <f t="shared" ca="1" si="173"/>
        <v>#N/A</v>
      </c>
      <c r="X566" s="55" t="e">
        <f t="shared" ca="1" si="174"/>
        <v>#N/A</v>
      </c>
      <c r="Y566" s="55" t="e">
        <f t="shared" ca="1" si="175"/>
        <v>#N/A</v>
      </c>
      <c r="Z566" s="55" t="e">
        <f t="shared" ca="1" si="176"/>
        <v>#N/A</v>
      </c>
      <c r="AB566" t="e">
        <f t="shared" ca="1" si="172"/>
        <v>#N/A</v>
      </c>
      <c r="AC566" t="e">
        <f t="shared" ca="1" si="165"/>
        <v>#N/A</v>
      </c>
      <c r="AD566" t="e">
        <f t="shared" ca="1" si="166"/>
        <v>#N/A</v>
      </c>
      <c r="AE566" t="e">
        <f t="shared" ca="1" si="167"/>
        <v>#N/A</v>
      </c>
      <c r="AF566" s="83" t="e">
        <f ca="1"/>
        <v>#N/A</v>
      </c>
      <c r="AG566" s="55" t="e">
        <f t="shared" ca="1" si="168"/>
        <v>#N/A</v>
      </c>
      <c r="AH566" s="55" t="e">
        <f t="shared" ca="1" si="169"/>
        <v>#N/A</v>
      </c>
      <c r="AI566" s="55" t="e">
        <f t="shared" ca="1" si="170"/>
        <v>#N/A</v>
      </c>
      <c r="AJ566" s="55" t="e">
        <f t="shared" ca="1" si="171"/>
        <v>#N/A</v>
      </c>
      <c r="AK566" s="55" t="e">
        <f t="shared" ca="1" si="177"/>
        <v>#N/A</v>
      </c>
      <c r="AL566" s="55" t="e">
        <f t="shared" ca="1" si="178"/>
        <v>#N/A</v>
      </c>
      <c r="AM566" s="55" t="e">
        <f t="shared" ca="1" si="179"/>
        <v>#N/A</v>
      </c>
    </row>
    <row r="567" spans="18:39">
      <c r="R567" s="55" t="e">
        <f ca="1"/>
        <v>#N/A</v>
      </c>
      <c r="S567" s="55" t="e">
        <f t="shared" ca="1" si="161"/>
        <v>#N/A</v>
      </c>
      <c r="T567" s="55" t="e">
        <f t="shared" ca="1" si="162"/>
        <v>#N/A</v>
      </c>
      <c r="U567" s="55" t="e">
        <f t="shared" ca="1" si="163"/>
        <v>#N/A</v>
      </c>
      <c r="V567" s="55" t="e">
        <f t="shared" ca="1" si="164"/>
        <v>#N/A</v>
      </c>
      <c r="W567" s="55" t="e">
        <f t="shared" ca="1" si="173"/>
        <v>#N/A</v>
      </c>
      <c r="X567" s="55" t="e">
        <f t="shared" ca="1" si="174"/>
        <v>#N/A</v>
      </c>
      <c r="Y567" s="55" t="e">
        <f t="shared" ca="1" si="175"/>
        <v>#N/A</v>
      </c>
      <c r="Z567" s="55" t="e">
        <f t="shared" ca="1" si="176"/>
        <v>#N/A</v>
      </c>
      <c r="AB567" t="e">
        <f t="shared" ca="1" si="172"/>
        <v>#N/A</v>
      </c>
      <c r="AC567" t="e">
        <f t="shared" ca="1" si="165"/>
        <v>#N/A</v>
      </c>
      <c r="AD567" t="e">
        <f t="shared" ca="1" si="166"/>
        <v>#N/A</v>
      </c>
      <c r="AE567" t="e">
        <f t="shared" ca="1" si="167"/>
        <v>#N/A</v>
      </c>
      <c r="AF567" s="83" t="e">
        <f ca="1"/>
        <v>#N/A</v>
      </c>
      <c r="AG567" s="55" t="e">
        <f t="shared" ca="1" si="168"/>
        <v>#N/A</v>
      </c>
      <c r="AH567" s="55" t="e">
        <f t="shared" ca="1" si="169"/>
        <v>#N/A</v>
      </c>
      <c r="AI567" s="55" t="e">
        <f t="shared" ca="1" si="170"/>
        <v>#N/A</v>
      </c>
      <c r="AJ567" s="55" t="e">
        <f t="shared" ca="1" si="171"/>
        <v>#N/A</v>
      </c>
      <c r="AK567" s="55" t="e">
        <f t="shared" ca="1" si="177"/>
        <v>#N/A</v>
      </c>
      <c r="AL567" s="55" t="e">
        <f t="shared" ca="1" si="178"/>
        <v>#N/A</v>
      </c>
      <c r="AM567" s="55" t="e">
        <f t="shared" ca="1" si="179"/>
        <v>#N/A</v>
      </c>
    </row>
    <row r="568" spans="18:39">
      <c r="R568" s="55" t="e">
        <f ca="1"/>
        <v>#N/A</v>
      </c>
      <c r="S568" s="55" t="e">
        <f t="shared" ca="1" si="161"/>
        <v>#N/A</v>
      </c>
      <c r="T568" s="55" t="e">
        <f t="shared" ca="1" si="162"/>
        <v>#N/A</v>
      </c>
      <c r="U568" s="55" t="e">
        <f t="shared" ca="1" si="163"/>
        <v>#N/A</v>
      </c>
      <c r="V568" s="55" t="e">
        <f t="shared" ca="1" si="164"/>
        <v>#N/A</v>
      </c>
      <c r="W568" s="55" t="e">
        <f t="shared" ca="1" si="173"/>
        <v>#N/A</v>
      </c>
      <c r="X568" s="55" t="e">
        <f t="shared" ca="1" si="174"/>
        <v>#N/A</v>
      </c>
      <c r="Y568" s="55" t="e">
        <f t="shared" ca="1" si="175"/>
        <v>#N/A</v>
      </c>
      <c r="Z568" s="55" t="e">
        <f t="shared" ca="1" si="176"/>
        <v>#N/A</v>
      </c>
      <c r="AB568" t="e">
        <f t="shared" ca="1" si="172"/>
        <v>#N/A</v>
      </c>
      <c r="AC568" t="e">
        <f t="shared" ca="1" si="165"/>
        <v>#N/A</v>
      </c>
      <c r="AD568" t="e">
        <f t="shared" ca="1" si="166"/>
        <v>#N/A</v>
      </c>
      <c r="AE568" t="e">
        <f t="shared" ca="1" si="167"/>
        <v>#N/A</v>
      </c>
      <c r="AF568" s="83" t="e">
        <f ca="1"/>
        <v>#N/A</v>
      </c>
      <c r="AG568" s="55" t="e">
        <f t="shared" ca="1" si="168"/>
        <v>#N/A</v>
      </c>
      <c r="AH568" s="55" t="e">
        <f t="shared" ca="1" si="169"/>
        <v>#N/A</v>
      </c>
      <c r="AI568" s="55" t="e">
        <f t="shared" ca="1" si="170"/>
        <v>#N/A</v>
      </c>
      <c r="AJ568" s="55" t="e">
        <f t="shared" ca="1" si="171"/>
        <v>#N/A</v>
      </c>
      <c r="AK568" s="55" t="e">
        <f t="shared" ca="1" si="177"/>
        <v>#N/A</v>
      </c>
      <c r="AL568" s="55" t="e">
        <f t="shared" ca="1" si="178"/>
        <v>#N/A</v>
      </c>
      <c r="AM568" s="55" t="e">
        <f t="shared" ca="1" si="179"/>
        <v>#N/A</v>
      </c>
    </row>
    <row r="569" spans="18:39">
      <c r="R569" s="55" t="e">
        <f ca="1"/>
        <v>#N/A</v>
      </c>
      <c r="S569" s="55" t="e">
        <f t="shared" ca="1" si="161"/>
        <v>#N/A</v>
      </c>
      <c r="T569" s="55" t="e">
        <f t="shared" ca="1" si="162"/>
        <v>#N/A</v>
      </c>
      <c r="U569" s="55" t="e">
        <f t="shared" ca="1" si="163"/>
        <v>#N/A</v>
      </c>
      <c r="V569" s="55" t="e">
        <f t="shared" ca="1" si="164"/>
        <v>#N/A</v>
      </c>
      <c r="W569" s="55" t="e">
        <f t="shared" ca="1" si="173"/>
        <v>#N/A</v>
      </c>
      <c r="X569" s="55" t="e">
        <f t="shared" ca="1" si="174"/>
        <v>#N/A</v>
      </c>
      <c r="Y569" s="55" t="e">
        <f t="shared" ca="1" si="175"/>
        <v>#N/A</v>
      </c>
      <c r="Z569" s="55" t="e">
        <f t="shared" ca="1" si="176"/>
        <v>#N/A</v>
      </c>
      <c r="AB569" t="e">
        <f t="shared" ca="1" si="172"/>
        <v>#N/A</v>
      </c>
      <c r="AC569" t="e">
        <f t="shared" ca="1" si="165"/>
        <v>#N/A</v>
      </c>
      <c r="AD569" t="e">
        <f t="shared" ca="1" si="166"/>
        <v>#N/A</v>
      </c>
      <c r="AE569" t="e">
        <f t="shared" ca="1" si="167"/>
        <v>#N/A</v>
      </c>
      <c r="AF569" s="83" t="e">
        <f ca="1"/>
        <v>#N/A</v>
      </c>
      <c r="AG569" s="55" t="e">
        <f t="shared" ca="1" si="168"/>
        <v>#N/A</v>
      </c>
      <c r="AH569" s="55" t="e">
        <f t="shared" ca="1" si="169"/>
        <v>#N/A</v>
      </c>
      <c r="AI569" s="55" t="e">
        <f t="shared" ca="1" si="170"/>
        <v>#N/A</v>
      </c>
      <c r="AJ569" s="55" t="e">
        <f t="shared" ca="1" si="171"/>
        <v>#N/A</v>
      </c>
      <c r="AK569" s="55" t="e">
        <f t="shared" ca="1" si="177"/>
        <v>#N/A</v>
      </c>
      <c r="AL569" s="55" t="e">
        <f t="shared" ca="1" si="178"/>
        <v>#N/A</v>
      </c>
      <c r="AM569" s="55" t="e">
        <f t="shared" ca="1" si="179"/>
        <v>#N/A</v>
      </c>
    </row>
    <row r="570" spans="18:39">
      <c r="R570" s="55" t="e">
        <f ca="1"/>
        <v>#N/A</v>
      </c>
      <c r="S570" s="55" t="e">
        <f t="shared" ca="1" si="161"/>
        <v>#N/A</v>
      </c>
      <c r="T570" s="55" t="e">
        <f t="shared" ca="1" si="162"/>
        <v>#N/A</v>
      </c>
      <c r="U570" s="55" t="e">
        <f t="shared" ca="1" si="163"/>
        <v>#N/A</v>
      </c>
      <c r="V570" s="55" t="e">
        <f t="shared" ca="1" si="164"/>
        <v>#N/A</v>
      </c>
      <c r="W570" s="55" t="e">
        <f t="shared" ca="1" si="173"/>
        <v>#N/A</v>
      </c>
      <c r="X570" s="55" t="e">
        <f t="shared" ca="1" si="174"/>
        <v>#N/A</v>
      </c>
      <c r="Y570" s="55" t="e">
        <f t="shared" ca="1" si="175"/>
        <v>#N/A</v>
      </c>
      <c r="Z570" s="55" t="e">
        <f t="shared" ca="1" si="176"/>
        <v>#N/A</v>
      </c>
      <c r="AB570" t="e">
        <f t="shared" ca="1" si="172"/>
        <v>#N/A</v>
      </c>
      <c r="AC570" t="e">
        <f t="shared" ca="1" si="165"/>
        <v>#N/A</v>
      </c>
      <c r="AD570" t="e">
        <f t="shared" ca="1" si="166"/>
        <v>#N/A</v>
      </c>
      <c r="AE570" t="e">
        <f t="shared" ca="1" si="167"/>
        <v>#N/A</v>
      </c>
      <c r="AF570" s="83" t="e">
        <f ca="1"/>
        <v>#N/A</v>
      </c>
      <c r="AG570" s="55" t="e">
        <f t="shared" ca="1" si="168"/>
        <v>#N/A</v>
      </c>
      <c r="AH570" s="55" t="e">
        <f t="shared" ca="1" si="169"/>
        <v>#N/A</v>
      </c>
      <c r="AI570" s="55" t="e">
        <f t="shared" ca="1" si="170"/>
        <v>#N/A</v>
      </c>
      <c r="AJ570" s="55" t="e">
        <f t="shared" ca="1" si="171"/>
        <v>#N/A</v>
      </c>
      <c r="AK570" s="55" t="e">
        <f t="shared" ca="1" si="177"/>
        <v>#N/A</v>
      </c>
      <c r="AL570" s="55" t="e">
        <f t="shared" ca="1" si="178"/>
        <v>#N/A</v>
      </c>
      <c r="AM570" s="55" t="e">
        <f t="shared" ca="1" si="179"/>
        <v>#N/A</v>
      </c>
    </row>
    <row r="571" spans="18:39">
      <c r="R571" s="55" t="e">
        <f ca="1"/>
        <v>#N/A</v>
      </c>
      <c r="S571" s="55" t="e">
        <f t="shared" ca="1" si="161"/>
        <v>#N/A</v>
      </c>
      <c r="T571" s="55" t="e">
        <f t="shared" ca="1" si="162"/>
        <v>#N/A</v>
      </c>
      <c r="U571" s="55" t="e">
        <f t="shared" ca="1" si="163"/>
        <v>#N/A</v>
      </c>
      <c r="V571" s="55" t="e">
        <f t="shared" ca="1" si="164"/>
        <v>#N/A</v>
      </c>
      <c r="W571" s="55" t="e">
        <f t="shared" ca="1" si="173"/>
        <v>#N/A</v>
      </c>
      <c r="X571" s="55" t="e">
        <f t="shared" ca="1" si="174"/>
        <v>#N/A</v>
      </c>
      <c r="Y571" s="55" t="e">
        <f t="shared" ca="1" si="175"/>
        <v>#N/A</v>
      </c>
      <c r="Z571" s="55" t="e">
        <f t="shared" ca="1" si="176"/>
        <v>#N/A</v>
      </c>
      <c r="AB571" t="e">
        <f t="shared" ca="1" si="172"/>
        <v>#N/A</v>
      </c>
      <c r="AC571" t="e">
        <f t="shared" ca="1" si="165"/>
        <v>#N/A</v>
      </c>
      <c r="AD571" t="e">
        <f t="shared" ca="1" si="166"/>
        <v>#N/A</v>
      </c>
      <c r="AE571" t="e">
        <f t="shared" ca="1" si="167"/>
        <v>#N/A</v>
      </c>
      <c r="AF571" s="83" t="e">
        <f ca="1"/>
        <v>#N/A</v>
      </c>
      <c r="AG571" s="55" t="e">
        <f t="shared" ca="1" si="168"/>
        <v>#N/A</v>
      </c>
      <c r="AH571" s="55" t="e">
        <f t="shared" ca="1" si="169"/>
        <v>#N/A</v>
      </c>
      <c r="AI571" s="55" t="e">
        <f t="shared" ca="1" si="170"/>
        <v>#N/A</v>
      </c>
      <c r="AJ571" s="55" t="e">
        <f t="shared" ca="1" si="171"/>
        <v>#N/A</v>
      </c>
      <c r="AK571" s="55" t="e">
        <f t="shared" ca="1" si="177"/>
        <v>#N/A</v>
      </c>
      <c r="AL571" s="55" t="e">
        <f t="shared" ca="1" si="178"/>
        <v>#N/A</v>
      </c>
      <c r="AM571" s="55" t="e">
        <f t="shared" ca="1" si="179"/>
        <v>#N/A</v>
      </c>
    </row>
    <row r="572" spans="18:39">
      <c r="R572" s="55" t="e">
        <f ca="1"/>
        <v>#N/A</v>
      </c>
      <c r="S572" s="55" t="e">
        <f t="shared" ca="1" si="161"/>
        <v>#N/A</v>
      </c>
      <c r="T572" s="55" t="e">
        <f t="shared" ca="1" si="162"/>
        <v>#N/A</v>
      </c>
      <c r="U572" s="55" t="e">
        <f t="shared" ca="1" si="163"/>
        <v>#N/A</v>
      </c>
      <c r="V572" s="55" t="e">
        <f t="shared" ca="1" si="164"/>
        <v>#N/A</v>
      </c>
      <c r="W572" s="55" t="e">
        <f t="shared" ca="1" si="173"/>
        <v>#N/A</v>
      </c>
      <c r="X572" s="55" t="e">
        <f t="shared" ca="1" si="174"/>
        <v>#N/A</v>
      </c>
      <c r="Y572" s="55" t="e">
        <f t="shared" ca="1" si="175"/>
        <v>#N/A</v>
      </c>
      <c r="Z572" s="55" t="e">
        <f t="shared" ca="1" si="176"/>
        <v>#N/A</v>
      </c>
      <c r="AB572" t="e">
        <f t="shared" ca="1" si="172"/>
        <v>#N/A</v>
      </c>
      <c r="AC572" t="e">
        <f t="shared" ca="1" si="165"/>
        <v>#N/A</v>
      </c>
      <c r="AD572" t="e">
        <f t="shared" ca="1" si="166"/>
        <v>#N/A</v>
      </c>
      <c r="AE572" t="e">
        <f t="shared" ca="1" si="167"/>
        <v>#N/A</v>
      </c>
      <c r="AF572" s="83" t="e">
        <f ca="1"/>
        <v>#N/A</v>
      </c>
      <c r="AG572" s="55" t="e">
        <f t="shared" ca="1" si="168"/>
        <v>#N/A</v>
      </c>
      <c r="AH572" s="55" t="e">
        <f t="shared" ca="1" si="169"/>
        <v>#N/A</v>
      </c>
      <c r="AI572" s="55" t="e">
        <f t="shared" ca="1" si="170"/>
        <v>#N/A</v>
      </c>
      <c r="AJ572" s="55" t="e">
        <f t="shared" ca="1" si="171"/>
        <v>#N/A</v>
      </c>
      <c r="AK572" s="55" t="e">
        <f t="shared" ca="1" si="177"/>
        <v>#N/A</v>
      </c>
      <c r="AL572" s="55" t="e">
        <f t="shared" ca="1" si="178"/>
        <v>#N/A</v>
      </c>
      <c r="AM572" s="55" t="e">
        <f t="shared" ca="1" si="179"/>
        <v>#N/A</v>
      </c>
    </row>
    <row r="573" spans="18:39">
      <c r="R573" s="55" t="e">
        <f ca="1"/>
        <v>#N/A</v>
      </c>
      <c r="S573" s="55" t="e">
        <f t="shared" ca="1" si="161"/>
        <v>#N/A</v>
      </c>
      <c r="T573" s="55" t="e">
        <f t="shared" ca="1" si="162"/>
        <v>#N/A</v>
      </c>
      <c r="U573" s="55" t="e">
        <f t="shared" ca="1" si="163"/>
        <v>#N/A</v>
      </c>
      <c r="V573" s="55" t="e">
        <f t="shared" ca="1" si="164"/>
        <v>#N/A</v>
      </c>
      <c r="W573" s="55" t="e">
        <f t="shared" ca="1" si="173"/>
        <v>#N/A</v>
      </c>
      <c r="X573" s="55" t="e">
        <f t="shared" ca="1" si="174"/>
        <v>#N/A</v>
      </c>
      <c r="Y573" s="55" t="e">
        <f t="shared" ca="1" si="175"/>
        <v>#N/A</v>
      </c>
      <c r="Z573" s="55" t="e">
        <f t="shared" ca="1" si="176"/>
        <v>#N/A</v>
      </c>
      <c r="AB573" t="e">
        <f t="shared" ca="1" si="172"/>
        <v>#N/A</v>
      </c>
      <c r="AC573" t="e">
        <f t="shared" ca="1" si="165"/>
        <v>#N/A</v>
      </c>
      <c r="AD573" t="e">
        <f t="shared" ca="1" si="166"/>
        <v>#N/A</v>
      </c>
      <c r="AE573" t="e">
        <f t="shared" ca="1" si="167"/>
        <v>#N/A</v>
      </c>
      <c r="AF573" s="83" t="e">
        <f ca="1"/>
        <v>#N/A</v>
      </c>
      <c r="AG573" s="55" t="e">
        <f t="shared" ca="1" si="168"/>
        <v>#N/A</v>
      </c>
      <c r="AH573" s="55" t="e">
        <f t="shared" ca="1" si="169"/>
        <v>#N/A</v>
      </c>
      <c r="AI573" s="55" t="e">
        <f t="shared" ca="1" si="170"/>
        <v>#N/A</v>
      </c>
      <c r="AJ573" s="55" t="e">
        <f t="shared" ca="1" si="171"/>
        <v>#N/A</v>
      </c>
      <c r="AK573" s="55" t="e">
        <f t="shared" ca="1" si="177"/>
        <v>#N/A</v>
      </c>
      <c r="AL573" s="55" t="e">
        <f t="shared" ca="1" si="178"/>
        <v>#N/A</v>
      </c>
      <c r="AM573" s="55" t="e">
        <f t="shared" ca="1" si="179"/>
        <v>#N/A</v>
      </c>
    </row>
    <row r="574" spans="18:39">
      <c r="R574" s="55" t="e">
        <f ca="1"/>
        <v>#N/A</v>
      </c>
      <c r="S574" s="55" t="e">
        <f t="shared" ca="1" si="161"/>
        <v>#N/A</v>
      </c>
      <c r="T574" s="55" t="e">
        <f t="shared" ca="1" si="162"/>
        <v>#N/A</v>
      </c>
      <c r="U574" s="55" t="e">
        <f t="shared" ca="1" si="163"/>
        <v>#N/A</v>
      </c>
      <c r="V574" s="55" t="e">
        <f t="shared" ca="1" si="164"/>
        <v>#N/A</v>
      </c>
      <c r="W574" s="55" t="e">
        <f t="shared" ca="1" si="173"/>
        <v>#N/A</v>
      </c>
      <c r="X574" s="55" t="e">
        <f t="shared" ca="1" si="174"/>
        <v>#N/A</v>
      </c>
      <c r="Y574" s="55" t="e">
        <f t="shared" ca="1" si="175"/>
        <v>#N/A</v>
      </c>
      <c r="Z574" s="55" t="e">
        <f t="shared" ca="1" si="176"/>
        <v>#N/A</v>
      </c>
      <c r="AB574" t="e">
        <f t="shared" ca="1" si="172"/>
        <v>#N/A</v>
      </c>
      <c r="AC574" t="e">
        <f t="shared" ca="1" si="165"/>
        <v>#N/A</v>
      </c>
      <c r="AD574" t="e">
        <f t="shared" ca="1" si="166"/>
        <v>#N/A</v>
      </c>
      <c r="AE574" t="e">
        <f t="shared" ca="1" si="167"/>
        <v>#N/A</v>
      </c>
      <c r="AF574" s="83" t="e">
        <f ca="1"/>
        <v>#N/A</v>
      </c>
      <c r="AG574" s="55" t="e">
        <f t="shared" ca="1" si="168"/>
        <v>#N/A</v>
      </c>
      <c r="AH574" s="55" t="e">
        <f t="shared" ca="1" si="169"/>
        <v>#N/A</v>
      </c>
      <c r="AI574" s="55" t="e">
        <f t="shared" ca="1" si="170"/>
        <v>#N/A</v>
      </c>
      <c r="AJ574" s="55" t="e">
        <f t="shared" ca="1" si="171"/>
        <v>#N/A</v>
      </c>
      <c r="AK574" s="55" t="e">
        <f t="shared" ca="1" si="177"/>
        <v>#N/A</v>
      </c>
      <c r="AL574" s="55" t="e">
        <f t="shared" ca="1" si="178"/>
        <v>#N/A</v>
      </c>
      <c r="AM574" s="55" t="e">
        <f t="shared" ca="1" si="179"/>
        <v>#N/A</v>
      </c>
    </row>
    <row r="575" spans="18:39">
      <c r="R575" s="55" t="e">
        <f ca="1"/>
        <v>#N/A</v>
      </c>
      <c r="S575" s="55" t="e">
        <f t="shared" ca="1" si="161"/>
        <v>#N/A</v>
      </c>
      <c r="T575" s="55" t="e">
        <f t="shared" ca="1" si="162"/>
        <v>#N/A</v>
      </c>
      <c r="U575" s="55" t="e">
        <f t="shared" ca="1" si="163"/>
        <v>#N/A</v>
      </c>
      <c r="V575" s="55" t="e">
        <f t="shared" ca="1" si="164"/>
        <v>#N/A</v>
      </c>
      <c r="W575" s="55" t="e">
        <f t="shared" ca="1" si="173"/>
        <v>#N/A</v>
      </c>
      <c r="X575" s="55" t="e">
        <f t="shared" ca="1" si="174"/>
        <v>#N/A</v>
      </c>
      <c r="Y575" s="55" t="e">
        <f t="shared" ca="1" si="175"/>
        <v>#N/A</v>
      </c>
      <c r="Z575" s="55" t="e">
        <f t="shared" ca="1" si="176"/>
        <v>#N/A</v>
      </c>
      <c r="AB575" t="e">
        <f t="shared" ca="1" si="172"/>
        <v>#N/A</v>
      </c>
      <c r="AC575" t="e">
        <f t="shared" ca="1" si="165"/>
        <v>#N/A</v>
      </c>
      <c r="AD575" t="e">
        <f t="shared" ca="1" si="166"/>
        <v>#N/A</v>
      </c>
      <c r="AE575" t="e">
        <f t="shared" ca="1" si="167"/>
        <v>#N/A</v>
      </c>
      <c r="AF575" s="83" t="e">
        <f ca="1"/>
        <v>#N/A</v>
      </c>
      <c r="AG575" s="55" t="e">
        <f t="shared" ca="1" si="168"/>
        <v>#N/A</v>
      </c>
      <c r="AH575" s="55" t="e">
        <f t="shared" ca="1" si="169"/>
        <v>#N/A</v>
      </c>
      <c r="AI575" s="55" t="e">
        <f t="shared" ca="1" si="170"/>
        <v>#N/A</v>
      </c>
      <c r="AJ575" s="55" t="e">
        <f t="shared" ca="1" si="171"/>
        <v>#N/A</v>
      </c>
      <c r="AK575" s="55" t="e">
        <f t="shared" ca="1" si="177"/>
        <v>#N/A</v>
      </c>
      <c r="AL575" s="55" t="e">
        <f t="shared" ca="1" si="178"/>
        <v>#N/A</v>
      </c>
      <c r="AM575" s="55" t="e">
        <f t="shared" ca="1" si="179"/>
        <v>#N/A</v>
      </c>
    </row>
    <row r="576" spans="18:39">
      <c r="R576" s="55" t="e">
        <f ca="1"/>
        <v>#N/A</v>
      </c>
      <c r="S576" s="55" t="e">
        <f t="shared" ca="1" si="161"/>
        <v>#N/A</v>
      </c>
      <c r="T576" s="55" t="e">
        <f t="shared" ca="1" si="162"/>
        <v>#N/A</v>
      </c>
      <c r="U576" s="55" t="e">
        <f t="shared" ca="1" si="163"/>
        <v>#N/A</v>
      </c>
      <c r="V576" s="55" t="e">
        <f t="shared" ca="1" si="164"/>
        <v>#N/A</v>
      </c>
      <c r="W576" s="55" t="e">
        <f t="shared" ca="1" si="173"/>
        <v>#N/A</v>
      </c>
      <c r="X576" s="55" t="e">
        <f t="shared" ca="1" si="174"/>
        <v>#N/A</v>
      </c>
      <c r="Y576" s="55" t="e">
        <f t="shared" ca="1" si="175"/>
        <v>#N/A</v>
      </c>
      <c r="Z576" s="55" t="e">
        <f t="shared" ca="1" si="176"/>
        <v>#N/A</v>
      </c>
      <c r="AB576" t="e">
        <f t="shared" ca="1" si="172"/>
        <v>#N/A</v>
      </c>
      <c r="AC576" t="e">
        <f t="shared" ca="1" si="165"/>
        <v>#N/A</v>
      </c>
      <c r="AD576" t="e">
        <f t="shared" ca="1" si="166"/>
        <v>#N/A</v>
      </c>
      <c r="AE576" t="e">
        <f t="shared" ca="1" si="167"/>
        <v>#N/A</v>
      </c>
      <c r="AF576" s="83" t="e">
        <f ca="1"/>
        <v>#N/A</v>
      </c>
      <c r="AG576" s="55" t="e">
        <f t="shared" ca="1" si="168"/>
        <v>#N/A</v>
      </c>
      <c r="AH576" s="55" t="e">
        <f t="shared" ca="1" si="169"/>
        <v>#N/A</v>
      </c>
      <c r="AI576" s="55" t="e">
        <f t="shared" ca="1" si="170"/>
        <v>#N/A</v>
      </c>
      <c r="AJ576" s="55" t="e">
        <f t="shared" ca="1" si="171"/>
        <v>#N/A</v>
      </c>
      <c r="AK576" s="55" t="e">
        <f t="shared" ca="1" si="177"/>
        <v>#N/A</v>
      </c>
      <c r="AL576" s="55" t="e">
        <f t="shared" ca="1" si="178"/>
        <v>#N/A</v>
      </c>
      <c r="AM576" s="55" t="e">
        <f t="shared" ca="1" si="179"/>
        <v>#N/A</v>
      </c>
    </row>
    <row r="577" spans="18:39">
      <c r="R577" s="55" t="e">
        <f ca="1"/>
        <v>#N/A</v>
      </c>
      <c r="S577" s="55" t="e">
        <f t="shared" ca="1" si="161"/>
        <v>#N/A</v>
      </c>
      <c r="T577" s="55" t="e">
        <f t="shared" ca="1" si="162"/>
        <v>#N/A</v>
      </c>
      <c r="U577" s="55" t="e">
        <f t="shared" ca="1" si="163"/>
        <v>#N/A</v>
      </c>
      <c r="V577" s="55" t="e">
        <f t="shared" ca="1" si="164"/>
        <v>#N/A</v>
      </c>
      <c r="W577" s="55" t="e">
        <f t="shared" ca="1" si="173"/>
        <v>#N/A</v>
      </c>
      <c r="X577" s="55" t="e">
        <f t="shared" ca="1" si="174"/>
        <v>#N/A</v>
      </c>
      <c r="Y577" s="55" t="e">
        <f t="shared" ca="1" si="175"/>
        <v>#N/A</v>
      </c>
      <c r="Z577" s="55" t="e">
        <f t="shared" ca="1" si="176"/>
        <v>#N/A</v>
      </c>
      <c r="AB577" t="e">
        <f t="shared" ca="1" si="172"/>
        <v>#N/A</v>
      </c>
      <c r="AC577" t="e">
        <f t="shared" ca="1" si="165"/>
        <v>#N/A</v>
      </c>
      <c r="AD577" t="e">
        <f t="shared" ca="1" si="166"/>
        <v>#N/A</v>
      </c>
      <c r="AE577" t="e">
        <f t="shared" ca="1" si="167"/>
        <v>#N/A</v>
      </c>
      <c r="AF577" s="83" t="e">
        <f ca="1"/>
        <v>#N/A</v>
      </c>
      <c r="AG577" s="55" t="e">
        <f t="shared" ca="1" si="168"/>
        <v>#N/A</v>
      </c>
      <c r="AH577" s="55" t="e">
        <f t="shared" ca="1" si="169"/>
        <v>#N/A</v>
      </c>
      <c r="AI577" s="55" t="e">
        <f t="shared" ca="1" si="170"/>
        <v>#N/A</v>
      </c>
      <c r="AJ577" s="55" t="e">
        <f t="shared" ca="1" si="171"/>
        <v>#N/A</v>
      </c>
      <c r="AK577" s="55" t="e">
        <f t="shared" ca="1" si="177"/>
        <v>#N/A</v>
      </c>
      <c r="AL577" s="55" t="e">
        <f t="shared" ca="1" si="178"/>
        <v>#N/A</v>
      </c>
      <c r="AM577" s="55" t="e">
        <f t="shared" ca="1" si="179"/>
        <v>#N/A</v>
      </c>
    </row>
    <row r="578" spans="18:39">
      <c r="R578" s="55" t="e">
        <f ca="1"/>
        <v>#N/A</v>
      </c>
      <c r="S578" s="55" t="e">
        <f t="shared" ca="1" si="161"/>
        <v>#N/A</v>
      </c>
      <c r="T578" s="55" t="e">
        <f t="shared" ca="1" si="162"/>
        <v>#N/A</v>
      </c>
      <c r="U578" s="55" t="e">
        <f t="shared" ca="1" si="163"/>
        <v>#N/A</v>
      </c>
      <c r="V578" s="55" t="e">
        <f t="shared" ca="1" si="164"/>
        <v>#N/A</v>
      </c>
      <c r="W578" s="55" t="e">
        <f t="shared" ca="1" si="173"/>
        <v>#N/A</v>
      </c>
      <c r="X578" s="55" t="e">
        <f t="shared" ca="1" si="174"/>
        <v>#N/A</v>
      </c>
      <c r="Y578" s="55" t="e">
        <f t="shared" ca="1" si="175"/>
        <v>#N/A</v>
      </c>
      <c r="Z578" s="55" t="e">
        <f t="shared" ca="1" si="176"/>
        <v>#N/A</v>
      </c>
      <c r="AB578" t="e">
        <f t="shared" ca="1" si="172"/>
        <v>#N/A</v>
      </c>
      <c r="AC578" t="e">
        <f t="shared" ca="1" si="165"/>
        <v>#N/A</v>
      </c>
      <c r="AD578" t="e">
        <f t="shared" ca="1" si="166"/>
        <v>#N/A</v>
      </c>
      <c r="AE578" t="e">
        <f t="shared" ca="1" si="167"/>
        <v>#N/A</v>
      </c>
      <c r="AF578" s="83" t="e">
        <f ca="1"/>
        <v>#N/A</v>
      </c>
      <c r="AG578" s="55" t="e">
        <f t="shared" ca="1" si="168"/>
        <v>#N/A</v>
      </c>
      <c r="AH578" s="55" t="e">
        <f t="shared" ca="1" si="169"/>
        <v>#N/A</v>
      </c>
      <c r="AI578" s="55" t="e">
        <f t="shared" ca="1" si="170"/>
        <v>#N/A</v>
      </c>
      <c r="AJ578" s="55" t="e">
        <f t="shared" ca="1" si="171"/>
        <v>#N/A</v>
      </c>
      <c r="AK578" s="55" t="e">
        <f t="shared" ca="1" si="177"/>
        <v>#N/A</v>
      </c>
      <c r="AL578" s="55" t="e">
        <f t="shared" ca="1" si="178"/>
        <v>#N/A</v>
      </c>
      <c r="AM578" s="55" t="e">
        <f t="shared" ca="1" si="179"/>
        <v>#N/A</v>
      </c>
    </row>
    <row r="579" spans="18:39">
      <c r="R579" s="55" t="e">
        <f ca="1"/>
        <v>#N/A</v>
      </c>
      <c r="S579" s="55" t="e">
        <f t="shared" ca="1" si="161"/>
        <v>#N/A</v>
      </c>
      <c r="T579" s="55" t="e">
        <f t="shared" ca="1" si="162"/>
        <v>#N/A</v>
      </c>
      <c r="U579" s="55" t="e">
        <f t="shared" ca="1" si="163"/>
        <v>#N/A</v>
      </c>
      <c r="V579" s="55" t="e">
        <f t="shared" ca="1" si="164"/>
        <v>#N/A</v>
      </c>
      <c r="W579" s="55" t="e">
        <f t="shared" ca="1" si="173"/>
        <v>#N/A</v>
      </c>
      <c r="X579" s="55" t="e">
        <f t="shared" ca="1" si="174"/>
        <v>#N/A</v>
      </c>
      <c r="Y579" s="55" t="e">
        <f t="shared" ca="1" si="175"/>
        <v>#N/A</v>
      </c>
      <c r="Z579" s="55" t="e">
        <f t="shared" ca="1" si="176"/>
        <v>#N/A</v>
      </c>
      <c r="AB579" t="e">
        <f t="shared" ca="1" si="172"/>
        <v>#N/A</v>
      </c>
      <c r="AC579" t="e">
        <f t="shared" ca="1" si="165"/>
        <v>#N/A</v>
      </c>
      <c r="AD579" t="e">
        <f t="shared" ca="1" si="166"/>
        <v>#N/A</v>
      </c>
      <c r="AE579" t="e">
        <f t="shared" ca="1" si="167"/>
        <v>#N/A</v>
      </c>
      <c r="AF579" s="83" t="e">
        <f ca="1"/>
        <v>#N/A</v>
      </c>
      <c r="AG579" s="55" t="e">
        <f t="shared" ca="1" si="168"/>
        <v>#N/A</v>
      </c>
      <c r="AH579" s="55" t="e">
        <f t="shared" ca="1" si="169"/>
        <v>#N/A</v>
      </c>
      <c r="AI579" s="55" t="e">
        <f t="shared" ca="1" si="170"/>
        <v>#N/A</v>
      </c>
      <c r="AJ579" s="55" t="e">
        <f t="shared" ca="1" si="171"/>
        <v>#N/A</v>
      </c>
      <c r="AK579" s="55" t="e">
        <f t="shared" ca="1" si="177"/>
        <v>#N/A</v>
      </c>
      <c r="AL579" s="55" t="e">
        <f t="shared" ca="1" si="178"/>
        <v>#N/A</v>
      </c>
      <c r="AM579" s="55" t="e">
        <f t="shared" ca="1" si="179"/>
        <v>#N/A</v>
      </c>
    </row>
    <row r="580" spans="18:39">
      <c r="R580" s="55" t="e">
        <f ca="1"/>
        <v>#N/A</v>
      </c>
      <c r="S580" s="55" t="e">
        <f t="shared" ca="1" si="161"/>
        <v>#N/A</v>
      </c>
      <c r="T580" s="55" t="e">
        <f t="shared" ca="1" si="162"/>
        <v>#N/A</v>
      </c>
      <c r="U580" s="55" t="e">
        <f t="shared" ca="1" si="163"/>
        <v>#N/A</v>
      </c>
      <c r="V580" s="55" t="e">
        <f t="shared" ca="1" si="164"/>
        <v>#N/A</v>
      </c>
      <c r="W580" s="55" t="e">
        <f t="shared" ca="1" si="173"/>
        <v>#N/A</v>
      </c>
      <c r="X580" s="55" t="e">
        <f t="shared" ca="1" si="174"/>
        <v>#N/A</v>
      </c>
      <c r="Y580" s="55" t="e">
        <f t="shared" ca="1" si="175"/>
        <v>#N/A</v>
      </c>
      <c r="Z580" s="55" t="e">
        <f t="shared" ca="1" si="176"/>
        <v>#N/A</v>
      </c>
      <c r="AB580" t="e">
        <f t="shared" ca="1" si="172"/>
        <v>#N/A</v>
      </c>
      <c r="AC580" t="e">
        <f t="shared" ca="1" si="165"/>
        <v>#N/A</v>
      </c>
      <c r="AD580" t="e">
        <f t="shared" ca="1" si="166"/>
        <v>#N/A</v>
      </c>
      <c r="AE580" t="e">
        <f t="shared" ca="1" si="167"/>
        <v>#N/A</v>
      </c>
      <c r="AF580" s="83" t="e">
        <f ca="1"/>
        <v>#N/A</v>
      </c>
      <c r="AG580" s="55" t="e">
        <f t="shared" ca="1" si="168"/>
        <v>#N/A</v>
      </c>
      <c r="AH580" s="55" t="e">
        <f t="shared" ca="1" si="169"/>
        <v>#N/A</v>
      </c>
      <c r="AI580" s="55" t="e">
        <f t="shared" ca="1" si="170"/>
        <v>#N/A</v>
      </c>
      <c r="AJ580" s="55" t="e">
        <f t="shared" ca="1" si="171"/>
        <v>#N/A</v>
      </c>
      <c r="AK580" s="55" t="e">
        <f t="shared" ca="1" si="177"/>
        <v>#N/A</v>
      </c>
      <c r="AL580" s="55" t="e">
        <f t="shared" ca="1" si="178"/>
        <v>#N/A</v>
      </c>
      <c r="AM580" s="55" t="e">
        <f t="shared" ca="1" si="179"/>
        <v>#N/A</v>
      </c>
    </row>
    <row r="581" spans="18:39">
      <c r="R581" s="55" t="e">
        <f ca="1"/>
        <v>#N/A</v>
      </c>
      <c r="S581" s="55" t="e">
        <f t="shared" ca="1" si="161"/>
        <v>#N/A</v>
      </c>
      <c r="T581" s="55" t="e">
        <f t="shared" ca="1" si="162"/>
        <v>#N/A</v>
      </c>
      <c r="U581" s="55" t="e">
        <f t="shared" ca="1" si="163"/>
        <v>#N/A</v>
      </c>
      <c r="V581" s="55" t="e">
        <f t="shared" ca="1" si="164"/>
        <v>#N/A</v>
      </c>
      <c r="W581" s="55" t="e">
        <f t="shared" ca="1" si="173"/>
        <v>#N/A</v>
      </c>
      <c r="X581" s="55" t="e">
        <f t="shared" ca="1" si="174"/>
        <v>#N/A</v>
      </c>
      <c r="Y581" s="55" t="e">
        <f t="shared" ca="1" si="175"/>
        <v>#N/A</v>
      </c>
      <c r="Z581" s="55" t="e">
        <f t="shared" ca="1" si="176"/>
        <v>#N/A</v>
      </c>
      <c r="AB581" t="e">
        <f t="shared" ca="1" si="172"/>
        <v>#N/A</v>
      </c>
      <c r="AC581" t="e">
        <f t="shared" ca="1" si="165"/>
        <v>#N/A</v>
      </c>
      <c r="AD581" t="e">
        <f t="shared" ca="1" si="166"/>
        <v>#N/A</v>
      </c>
      <c r="AE581" t="e">
        <f t="shared" ca="1" si="167"/>
        <v>#N/A</v>
      </c>
      <c r="AF581" s="83" t="e">
        <f ca="1"/>
        <v>#N/A</v>
      </c>
      <c r="AG581" s="55" t="e">
        <f t="shared" ca="1" si="168"/>
        <v>#N/A</v>
      </c>
      <c r="AH581" s="55" t="e">
        <f t="shared" ca="1" si="169"/>
        <v>#N/A</v>
      </c>
      <c r="AI581" s="55" t="e">
        <f t="shared" ca="1" si="170"/>
        <v>#N/A</v>
      </c>
      <c r="AJ581" s="55" t="e">
        <f t="shared" ca="1" si="171"/>
        <v>#N/A</v>
      </c>
      <c r="AK581" s="55" t="e">
        <f t="shared" ca="1" si="177"/>
        <v>#N/A</v>
      </c>
      <c r="AL581" s="55" t="e">
        <f t="shared" ca="1" si="178"/>
        <v>#N/A</v>
      </c>
      <c r="AM581" s="55" t="e">
        <f t="shared" ca="1" si="179"/>
        <v>#N/A</v>
      </c>
    </row>
    <row r="582" spans="18:39">
      <c r="R582" s="55" t="e">
        <f ca="1"/>
        <v>#N/A</v>
      </c>
      <c r="S582" s="55" t="e">
        <f t="shared" ca="1" si="161"/>
        <v>#N/A</v>
      </c>
      <c r="T582" s="55" t="e">
        <f t="shared" ca="1" si="162"/>
        <v>#N/A</v>
      </c>
      <c r="U582" s="55" t="e">
        <f t="shared" ca="1" si="163"/>
        <v>#N/A</v>
      </c>
      <c r="V582" s="55" t="e">
        <f t="shared" ca="1" si="164"/>
        <v>#N/A</v>
      </c>
      <c r="W582" s="55" t="e">
        <f t="shared" ca="1" si="173"/>
        <v>#N/A</v>
      </c>
      <c r="X582" s="55" t="e">
        <f t="shared" ca="1" si="174"/>
        <v>#N/A</v>
      </c>
      <c r="Y582" s="55" t="e">
        <f t="shared" ca="1" si="175"/>
        <v>#N/A</v>
      </c>
      <c r="Z582" s="55" t="e">
        <f t="shared" ca="1" si="176"/>
        <v>#N/A</v>
      </c>
      <c r="AB582" t="e">
        <f t="shared" ca="1" si="172"/>
        <v>#N/A</v>
      </c>
      <c r="AC582" t="e">
        <f t="shared" ca="1" si="165"/>
        <v>#N/A</v>
      </c>
      <c r="AD582" t="e">
        <f t="shared" ca="1" si="166"/>
        <v>#N/A</v>
      </c>
      <c r="AE582" t="e">
        <f t="shared" ca="1" si="167"/>
        <v>#N/A</v>
      </c>
      <c r="AF582" s="83" t="e">
        <f ca="1"/>
        <v>#N/A</v>
      </c>
      <c r="AG582" s="55" t="e">
        <f t="shared" ca="1" si="168"/>
        <v>#N/A</v>
      </c>
      <c r="AH582" s="55" t="e">
        <f t="shared" ca="1" si="169"/>
        <v>#N/A</v>
      </c>
      <c r="AI582" s="55" t="e">
        <f t="shared" ca="1" si="170"/>
        <v>#N/A</v>
      </c>
      <c r="AJ582" s="55" t="e">
        <f t="shared" ca="1" si="171"/>
        <v>#N/A</v>
      </c>
      <c r="AK582" s="55" t="e">
        <f t="shared" ca="1" si="177"/>
        <v>#N/A</v>
      </c>
      <c r="AL582" s="55" t="e">
        <f t="shared" ca="1" si="178"/>
        <v>#N/A</v>
      </c>
      <c r="AM582" s="55" t="e">
        <f t="shared" ca="1" si="179"/>
        <v>#N/A</v>
      </c>
    </row>
    <row r="583" spans="18:39">
      <c r="R583" s="55" t="e">
        <f ca="1"/>
        <v>#N/A</v>
      </c>
      <c r="S583" s="55" t="e">
        <f t="shared" ca="1" si="161"/>
        <v>#N/A</v>
      </c>
      <c r="T583" s="55" t="e">
        <f t="shared" ca="1" si="162"/>
        <v>#N/A</v>
      </c>
      <c r="U583" s="55" t="e">
        <f t="shared" ca="1" si="163"/>
        <v>#N/A</v>
      </c>
      <c r="V583" s="55" t="e">
        <f t="shared" ca="1" si="164"/>
        <v>#N/A</v>
      </c>
      <c r="W583" s="55" t="e">
        <f t="shared" ca="1" si="173"/>
        <v>#N/A</v>
      </c>
      <c r="X583" s="55" t="e">
        <f t="shared" ca="1" si="174"/>
        <v>#N/A</v>
      </c>
      <c r="Y583" s="55" t="e">
        <f t="shared" ca="1" si="175"/>
        <v>#N/A</v>
      </c>
      <c r="Z583" s="55" t="e">
        <f t="shared" ca="1" si="176"/>
        <v>#N/A</v>
      </c>
      <c r="AB583" t="e">
        <f t="shared" ca="1" si="172"/>
        <v>#N/A</v>
      </c>
      <c r="AC583" t="e">
        <f t="shared" ca="1" si="165"/>
        <v>#N/A</v>
      </c>
      <c r="AD583" t="e">
        <f t="shared" ca="1" si="166"/>
        <v>#N/A</v>
      </c>
      <c r="AE583" t="e">
        <f t="shared" ca="1" si="167"/>
        <v>#N/A</v>
      </c>
      <c r="AF583" s="83" t="e">
        <f ca="1"/>
        <v>#N/A</v>
      </c>
      <c r="AG583" s="55" t="e">
        <f t="shared" ca="1" si="168"/>
        <v>#N/A</v>
      </c>
      <c r="AH583" s="55" t="e">
        <f t="shared" ca="1" si="169"/>
        <v>#N/A</v>
      </c>
      <c r="AI583" s="55" t="e">
        <f t="shared" ca="1" si="170"/>
        <v>#N/A</v>
      </c>
      <c r="AJ583" s="55" t="e">
        <f t="shared" ca="1" si="171"/>
        <v>#N/A</v>
      </c>
      <c r="AK583" s="55" t="e">
        <f t="shared" ca="1" si="177"/>
        <v>#N/A</v>
      </c>
      <c r="AL583" s="55" t="e">
        <f t="shared" ca="1" si="178"/>
        <v>#N/A</v>
      </c>
      <c r="AM583" s="55" t="e">
        <f t="shared" ca="1" si="179"/>
        <v>#N/A</v>
      </c>
    </row>
    <row r="584" spans="18:39">
      <c r="R584" s="55" t="e">
        <f ca="1"/>
        <v>#N/A</v>
      </c>
      <c r="S584" s="55" t="e">
        <f t="shared" ca="1" si="161"/>
        <v>#N/A</v>
      </c>
      <c r="T584" s="55" t="e">
        <f t="shared" ca="1" si="162"/>
        <v>#N/A</v>
      </c>
      <c r="U584" s="55" t="e">
        <f t="shared" ca="1" si="163"/>
        <v>#N/A</v>
      </c>
      <c r="V584" s="55" t="e">
        <f t="shared" ca="1" si="164"/>
        <v>#N/A</v>
      </c>
      <c r="W584" s="55" t="e">
        <f t="shared" ca="1" si="173"/>
        <v>#N/A</v>
      </c>
      <c r="X584" s="55" t="e">
        <f t="shared" ca="1" si="174"/>
        <v>#N/A</v>
      </c>
      <c r="Y584" s="55" t="e">
        <f t="shared" ca="1" si="175"/>
        <v>#N/A</v>
      </c>
      <c r="Z584" s="55" t="e">
        <f t="shared" ca="1" si="176"/>
        <v>#N/A</v>
      </c>
      <c r="AB584" t="e">
        <f t="shared" ca="1" si="172"/>
        <v>#N/A</v>
      </c>
      <c r="AC584" t="e">
        <f t="shared" ca="1" si="165"/>
        <v>#N/A</v>
      </c>
      <c r="AD584" t="e">
        <f t="shared" ca="1" si="166"/>
        <v>#N/A</v>
      </c>
      <c r="AE584" t="e">
        <f t="shared" ca="1" si="167"/>
        <v>#N/A</v>
      </c>
      <c r="AF584" s="83" t="e">
        <f ca="1"/>
        <v>#N/A</v>
      </c>
      <c r="AG584" s="55" t="e">
        <f t="shared" ca="1" si="168"/>
        <v>#N/A</v>
      </c>
      <c r="AH584" s="55" t="e">
        <f t="shared" ca="1" si="169"/>
        <v>#N/A</v>
      </c>
      <c r="AI584" s="55" t="e">
        <f t="shared" ca="1" si="170"/>
        <v>#N/A</v>
      </c>
      <c r="AJ584" s="55" t="e">
        <f t="shared" ca="1" si="171"/>
        <v>#N/A</v>
      </c>
      <c r="AK584" s="55" t="e">
        <f t="shared" ca="1" si="177"/>
        <v>#N/A</v>
      </c>
      <c r="AL584" s="55" t="e">
        <f t="shared" ca="1" si="178"/>
        <v>#N/A</v>
      </c>
      <c r="AM584" s="55" t="e">
        <f t="shared" ca="1" si="179"/>
        <v>#N/A</v>
      </c>
    </row>
    <row r="585" spans="18:39">
      <c r="R585" s="55" t="e">
        <f ca="1"/>
        <v>#N/A</v>
      </c>
      <c r="S585" s="55" t="e">
        <f t="shared" ca="1" si="161"/>
        <v>#N/A</v>
      </c>
      <c r="T585" s="55" t="e">
        <f t="shared" ca="1" si="162"/>
        <v>#N/A</v>
      </c>
      <c r="U585" s="55" t="e">
        <f t="shared" ca="1" si="163"/>
        <v>#N/A</v>
      </c>
      <c r="V585" s="55" t="e">
        <f t="shared" ca="1" si="164"/>
        <v>#N/A</v>
      </c>
      <c r="W585" s="55" t="e">
        <f t="shared" ca="1" si="173"/>
        <v>#N/A</v>
      </c>
      <c r="X585" s="55" t="e">
        <f t="shared" ca="1" si="174"/>
        <v>#N/A</v>
      </c>
      <c r="Y585" s="55" t="e">
        <f t="shared" ca="1" si="175"/>
        <v>#N/A</v>
      </c>
      <c r="Z585" s="55" t="e">
        <f t="shared" ca="1" si="176"/>
        <v>#N/A</v>
      </c>
      <c r="AB585" t="e">
        <f t="shared" ca="1" si="172"/>
        <v>#N/A</v>
      </c>
      <c r="AC585" t="e">
        <f t="shared" ca="1" si="165"/>
        <v>#N/A</v>
      </c>
      <c r="AD585" t="e">
        <f t="shared" ca="1" si="166"/>
        <v>#N/A</v>
      </c>
      <c r="AE585" t="e">
        <f t="shared" ca="1" si="167"/>
        <v>#N/A</v>
      </c>
      <c r="AF585" s="83" t="e">
        <f ca="1"/>
        <v>#N/A</v>
      </c>
      <c r="AG585" s="55" t="e">
        <f t="shared" ca="1" si="168"/>
        <v>#N/A</v>
      </c>
      <c r="AH585" s="55" t="e">
        <f t="shared" ca="1" si="169"/>
        <v>#N/A</v>
      </c>
      <c r="AI585" s="55" t="e">
        <f t="shared" ca="1" si="170"/>
        <v>#N/A</v>
      </c>
      <c r="AJ585" s="55" t="e">
        <f t="shared" ca="1" si="171"/>
        <v>#N/A</v>
      </c>
      <c r="AK585" s="55" t="e">
        <f t="shared" ca="1" si="177"/>
        <v>#N/A</v>
      </c>
      <c r="AL585" s="55" t="e">
        <f t="shared" ca="1" si="178"/>
        <v>#N/A</v>
      </c>
      <c r="AM585" s="55" t="e">
        <f t="shared" ca="1" si="179"/>
        <v>#N/A</v>
      </c>
    </row>
    <row r="586" spans="18:39">
      <c r="R586" s="55" t="e">
        <f ca="1"/>
        <v>#N/A</v>
      </c>
      <c r="S586" s="55" t="e">
        <f t="shared" ca="1" si="161"/>
        <v>#N/A</v>
      </c>
      <c r="T586" s="55" t="e">
        <f t="shared" ca="1" si="162"/>
        <v>#N/A</v>
      </c>
      <c r="U586" s="55" t="e">
        <f t="shared" ca="1" si="163"/>
        <v>#N/A</v>
      </c>
      <c r="V586" s="55" t="e">
        <f t="shared" ca="1" si="164"/>
        <v>#N/A</v>
      </c>
      <c r="W586" s="55" t="e">
        <f t="shared" ca="1" si="173"/>
        <v>#N/A</v>
      </c>
      <c r="X586" s="55" t="e">
        <f t="shared" ca="1" si="174"/>
        <v>#N/A</v>
      </c>
      <c r="Y586" s="55" t="e">
        <f t="shared" ca="1" si="175"/>
        <v>#N/A</v>
      </c>
      <c r="Z586" s="55" t="e">
        <f t="shared" ca="1" si="176"/>
        <v>#N/A</v>
      </c>
      <c r="AB586" t="e">
        <f t="shared" ca="1" si="172"/>
        <v>#N/A</v>
      </c>
      <c r="AC586" t="e">
        <f t="shared" ca="1" si="165"/>
        <v>#N/A</v>
      </c>
      <c r="AD586" t="e">
        <f t="shared" ca="1" si="166"/>
        <v>#N/A</v>
      </c>
      <c r="AE586" t="e">
        <f t="shared" ca="1" si="167"/>
        <v>#N/A</v>
      </c>
      <c r="AF586" s="83" t="e">
        <f ca="1"/>
        <v>#N/A</v>
      </c>
      <c r="AG586" s="55" t="e">
        <f t="shared" ca="1" si="168"/>
        <v>#N/A</v>
      </c>
      <c r="AH586" s="55" t="e">
        <f t="shared" ca="1" si="169"/>
        <v>#N/A</v>
      </c>
      <c r="AI586" s="55" t="e">
        <f t="shared" ca="1" si="170"/>
        <v>#N/A</v>
      </c>
      <c r="AJ586" s="55" t="e">
        <f t="shared" ca="1" si="171"/>
        <v>#N/A</v>
      </c>
      <c r="AK586" s="55" t="e">
        <f t="shared" ca="1" si="177"/>
        <v>#N/A</v>
      </c>
      <c r="AL586" s="55" t="e">
        <f t="shared" ca="1" si="178"/>
        <v>#N/A</v>
      </c>
      <c r="AM586" s="55" t="e">
        <f t="shared" ca="1" si="179"/>
        <v>#N/A</v>
      </c>
    </row>
    <row r="587" spans="18:39">
      <c r="R587" s="55" t="e">
        <f ca="1"/>
        <v>#N/A</v>
      </c>
      <c r="S587" s="55" t="e">
        <f t="shared" ca="1" si="161"/>
        <v>#N/A</v>
      </c>
      <c r="T587" s="55" t="e">
        <f t="shared" ca="1" si="162"/>
        <v>#N/A</v>
      </c>
      <c r="U587" s="55" t="e">
        <f t="shared" ca="1" si="163"/>
        <v>#N/A</v>
      </c>
      <c r="V587" s="55" t="e">
        <f t="shared" ca="1" si="164"/>
        <v>#N/A</v>
      </c>
      <c r="W587" s="55" t="e">
        <f t="shared" ca="1" si="173"/>
        <v>#N/A</v>
      </c>
      <c r="X587" s="55" t="e">
        <f t="shared" ca="1" si="174"/>
        <v>#N/A</v>
      </c>
      <c r="Y587" s="55" t="e">
        <f t="shared" ca="1" si="175"/>
        <v>#N/A</v>
      </c>
      <c r="Z587" s="55" t="e">
        <f t="shared" ca="1" si="176"/>
        <v>#N/A</v>
      </c>
      <c r="AB587" t="e">
        <f t="shared" ca="1" si="172"/>
        <v>#N/A</v>
      </c>
      <c r="AC587" t="e">
        <f t="shared" ca="1" si="165"/>
        <v>#N/A</v>
      </c>
      <c r="AD587" t="e">
        <f t="shared" ca="1" si="166"/>
        <v>#N/A</v>
      </c>
      <c r="AE587" t="e">
        <f t="shared" ca="1" si="167"/>
        <v>#N/A</v>
      </c>
      <c r="AF587" s="83" t="e">
        <f ca="1"/>
        <v>#N/A</v>
      </c>
      <c r="AG587" s="55" t="e">
        <f t="shared" ca="1" si="168"/>
        <v>#N/A</v>
      </c>
      <c r="AH587" s="55" t="e">
        <f t="shared" ca="1" si="169"/>
        <v>#N/A</v>
      </c>
      <c r="AI587" s="55" t="e">
        <f t="shared" ca="1" si="170"/>
        <v>#N/A</v>
      </c>
      <c r="AJ587" s="55" t="e">
        <f t="shared" ca="1" si="171"/>
        <v>#N/A</v>
      </c>
      <c r="AK587" s="55" t="e">
        <f t="shared" ca="1" si="177"/>
        <v>#N/A</v>
      </c>
      <c r="AL587" s="55" t="e">
        <f t="shared" ca="1" si="178"/>
        <v>#N/A</v>
      </c>
      <c r="AM587" s="55" t="e">
        <f t="shared" ca="1" si="179"/>
        <v>#N/A</v>
      </c>
    </row>
    <row r="588" spans="18:39">
      <c r="R588" s="55" t="e">
        <f ca="1"/>
        <v>#N/A</v>
      </c>
      <c r="S588" s="55" t="e">
        <f t="shared" ref="S588:S651" ca="1" si="180">IF(R588&gt;1,R588,"")</f>
        <v>#N/A</v>
      </c>
      <c r="T588" s="55" t="e">
        <f t="shared" ref="T588:T651" ca="1" si="181">VLOOKUP(S588,ModelOutputs,2,FALSE)</f>
        <v>#N/A</v>
      </c>
      <c r="U588" s="55" t="e">
        <f t="shared" ref="U588:U651" ca="1" si="182">VLOOKUP(S588,ModelOutputs,7,FALSE)</f>
        <v>#N/A</v>
      </c>
      <c r="V588" s="55" t="e">
        <f t="shared" ref="V588:V651" ca="1" si="183">VLOOKUP(S588,ModelOutputs,6,FALSE)</f>
        <v>#N/A</v>
      </c>
      <c r="W588" s="55" t="e">
        <f t="shared" ca="1" si="173"/>
        <v>#N/A</v>
      </c>
      <c r="X588" s="55" t="e">
        <f t="shared" ca="1" si="174"/>
        <v>#N/A</v>
      </c>
      <c r="Y588" s="55" t="e">
        <f t="shared" ca="1" si="175"/>
        <v>#N/A</v>
      </c>
      <c r="Z588" s="55" t="e">
        <f t="shared" ca="1" si="176"/>
        <v>#N/A</v>
      </c>
      <c r="AB588" t="e">
        <f t="shared" ca="1" si="172"/>
        <v>#N/A</v>
      </c>
      <c r="AC588" t="e">
        <f t="shared" ref="AC588:AC651" ca="1" si="184">VLOOKUP(S588,ModelOutputs,11,FALSE)+AC587</f>
        <v>#N/A</v>
      </c>
      <c r="AD588" t="e">
        <f t="shared" ref="AD588:AD651" ca="1" si="185">VLOOKUP(S588,ModelOutputs,12,FALSE)</f>
        <v>#N/A</v>
      </c>
      <c r="AE588" t="e">
        <f t="shared" ref="AE588:AE651" ca="1" si="186">VLOOKUP(S588,ModelOutputs,13,FALSE)</f>
        <v>#N/A</v>
      </c>
      <c r="AF588" s="83" t="e">
        <f ca="1"/>
        <v>#N/A</v>
      </c>
      <c r="AG588" s="55" t="e">
        <f t="shared" ref="AG588:AG651" ca="1" si="187">IF(AF588&gt;1,AF588,"")</f>
        <v>#N/A</v>
      </c>
      <c r="AH588" s="55" t="e">
        <f t="shared" ref="AH588:AH651" ca="1" si="188">VLOOKUP(AG588,ModelOutputs,2,FALSE)</f>
        <v>#N/A</v>
      </c>
      <c r="AI588" s="55" t="e">
        <f t="shared" ref="AI588:AI651" ca="1" si="189">VLOOKUP(AG588,ModelOutputs,7,FALSE)</f>
        <v>#N/A</v>
      </c>
      <c r="AJ588" s="55" t="e">
        <f t="shared" ref="AJ588:AJ651" ca="1" si="190">VLOOKUP(AG588,ModelOutputs,6,FALSE)</f>
        <v>#N/A</v>
      </c>
      <c r="AK588" s="55" t="e">
        <f t="shared" ca="1" si="177"/>
        <v>#N/A</v>
      </c>
      <c r="AL588" s="55" t="e">
        <f t="shared" ca="1" si="178"/>
        <v>#N/A</v>
      </c>
      <c r="AM588" s="55" t="e">
        <f t="shared" ca="1" si="179"/>
        <v>#N/A</v>
      </c>
    </row>
    <row r="589" spans="18:39">
      <c r="R589" s="55" t="e">
        <f ca="1"/>
        <v>#N/A</v>
      </c>
      <c r="S589" s="55" t="e">
        <f t="shared" ca="1" si="180"/>
        <v>#N/A</v>
      </c>
      <c r="T589" s="55" t="e">
        <f t="shared" ca="1" si="181"/>
        <v>#N/A</v>
      </c>
      <c r="U589" s="55" t="e">
        <f t="shared" ca="1" si="182"/>
        <v>#N/A</v>
      </c>
      <c r="V589" s="55" t="e">
        <f t="shared" ca="1" si="183"/>
        <v>#N/A</v>
      </c>
      <c r="W589" s="55" t="e">
        <f t="shared" ca="1" si="173"/>
        <v>#N/A</v>
      </c>
      <c r="X589" s="55" t="e">
        <f t="shared" ca="1" si="174"/>
        <v>#N/A</v>
      </c>
      <c r="Y589" s="55" t="e">
        <f t="shared" ca="1" si="175"/>
        <v>#N/A</v>
      </c>
      <c r="Z589" s="55" t="e">
        <f t="shared" ca="1" si="176"/>
        <v>#N/A</v>
      </c>
      <c r="AB589" t="e">
        <f t="shared" ca="1" si="172"/>
        <v>#N/A</v>
      </c>
      <c r="AC589" t="e">
        <f t="shared" ca="1" si="184"/>
        <v>#N/A</v>
      </c>
      <c r="AD589" t="e">
        <f t="shared" ca="1" si="185"/>
        <v>#N/A</v>
      </c>
      <c r="AE589" t="e">
        <f t="shared" ca="1" si="186"/>
        <v>#N/A</v>
      </c>
      <c r="AF589" s="83" t="e">
        <f ca="1"/>
        <v>#N/A</v>
      </c>
      <c r="AG589" s="55" t="e">
        <f t="shared" ca="1" si="187"/>
        <v>#N/A</v>
      </c>
      <c r="AH589" s="55" t="e">
        <f t="shared" ca="1" si="188"/>
        <v>#N/A</v>
      </c>
      <c r="AI589" s="55" t="e">
        <f t="shared" ca="1" si="189"/>
        <v>#N/A</v>
      </c>
      <c r="AJ589" s="55" t="e">
        <f t="shared" ca="1" si="190"/>
        <v>#N/A</v>
      </c>
      <c r="AK589" s="55" t="e">
        <f t="shared" ca="1" si="177"/>
        <v>#N/A</v>
      </c>
      <c r="AL589" s="55" t="e">
        <f t="shared" ca="1" si="178"/>
        <v>#N/A</v>
      </c>
      <c r="AM589" s="55" t="e">
        <f t="shared" ca="1" si="179"/>
        <v>#N/A</v>
      </c>
    </row>
    <row r="590" spans="18:39">
      <c r="R590" s="55" t="e">
        <f ca="1"/>
        <v>#N/A</v>
      </c>
      <c r="S590" s="55" t="e">
        <f t="shared" ca="1" si="180"/>
        <v>#N/A</v>
      </c>
      <c r="T590" s="55" t="e">
        <f t="shared" ca="1" si="181"/>
        <v>#N/A</v>
      </c>
      <c r="U590" s="55" t="e">
        <f t="shared" ca="1" si="182"/>
        <v>#N/A</v>
      </c>
      <c r="V590" s="55" t="e">
        <f t="shared" ca="1" si="183"/>
        <v>#N/A</v>
      </c>
      <c r="W590" s="55" t="e">
        <f t="shared" ca="1" si="173"/>
        <v>#N/A</v>
      </c>
      <c r="X590" s="55" t="e">
        <f t="shared" ca="1" si="174"/>
        <v>#N/A</v>
      </c>
      <c r="Y590" s="55" t="e">
        <f t="shared" ca="1" si="175"/>
        <v>#N/A</v>
      </c>
      <c r="Z590" s="55" t="e">
        <f t="shared" ca="1" si="176"/>
        <v>#N/A</v>
      </c>
      <c r="AB590" t="e">
        <f t="shared" ca="1" si="172"/>
        <v>#N/A</v>
      </c>
      <c r="AC590" t="e">
        <f t="shared" ca="1" si="184"/>
        <v>#N/A</v>
      </c>
      <c r="AD590" t="e">
        <f t="shared" ca="1" si="185"/>
        <v>#N/A</v>
      </c>
      <c r="AE590" t="e">
        <f t="shared" ca="1" si="186"/>
        <v>#N/A</v>
      </c>
      <c r="AF590" s="83" t="e">
        <f ca="1"/>
        <v>#N/A</v>
      </c>
      <c r="AG590" s="55" t="e">
        <f t="shared" ca="1" si="187"/>
        <v>#N/A</v>
      </c>
      <c r="AH590" s="55" t="e">
        <f t="shared" ca="1" si="188"/>
        <v>#N/A</v>
      </c>
      <c r="AI590" s="55" t="e">
        <f t="shared" ca="1" si="189"/>
        <v>#N/A</v>
      </c>
      <c r="AJ590" s="55" t="e">
        <f t="shared" ca="1" si="190"/>
        <v>#N/A</v>
      </c>
      <c r="AK590" s="55" t="e">
        <f t="shared" ca="1" si="177"/>
        <v>#N/A</v>
      </c>
      <c r="AL590" s="55" t="e">
        <f t="shared" ca="1" si="178"/>
        <v>#N/A</v>
      </c>
      <c r="AM590" s="55" t="e">
        <f t="shared" ca="1" si="179"/>
        <v>#N/A</v>
      </c>
    </row>
    <row r="591" spans="18:39">
      <c r="R591" s="55" t="e">
        <f ca="1"/>
        <v>#N/A</v>
      </c>
      <c r="S591" s="55" t="e">
        <f t="shared" ca="1" si="180"/>
        <v>#N/A</v>
      </c>
      <c r="T591" s="55" t="e">
        <f t="shared" ca="1" si="181"/>
        <v>#N/A</v>
      </c>
      <c r="U591" s="55" t="e">
        <f t="shared" ca="1" si="182"/>
        <v>#N/A</v>
      </c>
      <c r="V591" s="55" t="e">
        <f t="shared" ca="1" si="183"/>
        <v>#N/A</v>
      </c>
      <c r="W591" s="55" t="e">
        <f t="shared" ca="1" si="173"/>
        <v>#N/A</v>
      </c>
      <c r="X591" s="55" t="e">
        <f t="shared" ca="1" si="174"/>
        <v>#N/A</v>
      </c>
      <c r="Y591" s="55" t="e">
        <f t="shared" ca="1" si="175"/>
        <v>#N/A</v>
      </c>
      <c r="Z591" s="55" t="e">
        <f t="shared" ca="1" si="176"/>
        <v>#N/A</v>
      </c>
      <c r="AB591" t="e">
        <f t="shared" ca="1" si="172"/>
        <v>#N/A</v>
      </c>
      <c r="AC591" t="e">
        <f t="shared" ca="1" si="184"/>
        <v>#N/A</v>
      </c>
      <c r="AD591" t="e">
        <f t="shared" ca="1" si="185"/>
        <v>#N/A</v>
      </c>
      <c r="AE591" t="e">
        <f t="shared" ca="1" si="186"/>
        <v>#N/A</v>
      </c>
      <c r="AF591" s="83" t="e">
        <f ca="1"/>
        <v>#N/A</v>
      </c>
      <c r="AG591" s="55" t="e">
        <f t="shared" ca="1" si="187"/>
        <v>#N/A</v>
      </c>
      <c r="AH591" s="55" t="e">
        <f t="shared" ca="1" si="188"/>
        <v>#N/A</v>
      </c>
      <c r="AI591" s="55" t="e">
        <f t="shared" ca="1" si="189"/>
        <v>#N/A</v>
      </c>
      <c r="AJ591" s="55" t="e">
        <f t="shared" ca="1" si="190"/>
        <v>#N/A</v>
      </c>
      <c r="AK591" s="55" t="e">
        <f t="shared" ca="1" si="177"/>
        <v>#N/A</v>
      </c>
      <c r="AL591" s="55" t="e">
        <f t="shared" ca="1" si="178"/>
        <v>#N/A</v>
      </c>
      <c r="AM591" s="55" t="e">
        <f t="shared" ca="1" si="179"/>
        <v>#N/A</v>
      </c>
    </row>
    <row r="592" spans="18:39">
      <c r="R592" s="55" t="e">
        <f ca="1"/>
        <v>#N/A</v>
      </c>
      <c r="S592" s="55" t="e">
        <f t="shared" ca="1" si="180"/>
        <v>#N/A</v>
      </c>
      <c r="T592" s="55" t="e">
        <f t="shared" ca="1" si="181"/>
        <v>#N/A</v>
      </c>
      <c r="U592" s="55" t="e">
        <f t="shared" ca="1" si="182"/>
        <v>#N/A</v>
      </c>
      <c r="V592" s="55" t="e">
        <f t="shared" ca="1" si="183"/>
        <v>#N/A</v>
      </c>
      <c r="W592" s="55" t="e">
        <f t="shared" ca="1" si="173"/>
        <v>#N/A</v>
      </c>
      <c r="X592" s="55" t="e">
        <f t="shared" ca="1" si="174"/>
        <v>#N/A</v>
      </c>
      <c r="Y592" s="55" t="e">
        <f t="shared" ca="1" si="175"/>
        <v>#N/A</v>
      </c>
      <c r="Z592" s="55" t="e">
        <f t="shared" ca="1" si="176"/>
        <v>#N/A</v>
      </c>
      <c r="AB592" t="e">
        <f t="shared" ca="1" si="172"/>
        <v>#N/A</v>
      </c>
      <c r="AC592" t="e">
        <f t="shared" ca="1" si="184"/>
        <v>#N/A</v>
      </c>
      <c r="AD592" t="e">
        <f t="shared" ca="1" si="185"/>
        <v>#N/A</v>
      </c>
      <c r="AE592" t="e">
        <f t="shared" ca="1" si="186"/>
        <v>#N/A</v>
      </c>
      <c r="AF592" s="83" t="e">
        <f ca="1"/>
        <v>#N/A</v>
      </c>
      <c r="AG592" s="55" t="e">
        <f t="shared" ca="1" si="187"/>
        <v>#N/A</v>
      </c>
      <c r="AH592" s="55" t="e">
        <f t="shared" ca="1" si="188"/>
        <v>#N/A</v>
      </c>
      <c r="AI592" s="55" t="e">
        <f t="shared" ca="1" si="189"/>
        <v>#N/A</v>
      </c>
      <c r="AJ592" s="55" t="e">
        <f t="shared" ca="1" si="190"/>
        <v>#N/A</v>
      </c>
      <c r="AK592" s="55" t="e">
        <f t="shared" ca="1" si="177"/>
        <v>#N/A</v>
      </c>
      <c r="AL592" s="55" t="e">
        <f t="shared" ca="1" si="178"/>
        <v>#N/A</v>
      </c>
      <c r="AM592" s="55" t="e">
        <f t="shared" ca="1" si="179"/>
        <v>#N/A</v>
      </c>
    </row>
    <row r="593" spans="18:39">
      <c r="R593" s="55" t="e">
        <f ca="1"/>
        <v>#N/A</v>
      </c>
      <c r="S593" s="55" t="e">
        <f t="shared" ca="1" si="180"/>
        <v>#N/A</v>
      </c>
      <c r="T593" s="55" t="e">
        <f t="shared" ca="1" si="181"/>
        <v>#N/A</v>
      </c>
      <c r="U593" s="55" t="e">
        <f t="shared" ca="1" si="182"/>
        <v>#N/A</v>
      </c>
      <c r="V593" s="55" t="e">
        <f t="shared" ca="1" si="183"/>
        <v>#N/A</v>
      </c>
      <c r="W593" s="55" t="e">
        <f t="shared" ca="1" si="173"/>
        <v>#N/A</v>
      </c>
      <c r="X593" s="55" t="e">
        <f t="shared" ca="1" si="174"/>
        <v>#N/A</v>
      </c>
      <c r="Y593" s="55" t="e">
        <f t="shared" ca="1" si="175"/>
        <v>#N/A</v>
      </c>
      <c r="Z593" s="55" t="e">
        <f t="shared" ca="1" si="176"/>
        <v>#N/A</v>
      </c>
      <c r="AB593" t="e">
        <f t="shared" ca="1" si="172"/>
        <v>#N/A</v>
      </c>
      <c r="AC593" t="e">
        <f t="shared" ca="1" si="184"/>
        <v>#N/A</v>
      </c>
      <c r="AD593" t="e">
        <f t="shared" ca="1" si="185"/>
        <v>#N/A</v>
      </c>
      <c r="AE593" t="e">
        <f t="shared" ca="1" si="186"/>
        <v>#N/A</v>
      </c>
      <c r="AF593" s="83" t="e">
        <f ca="1"/>
        <v>#N/A</v>
      </c>
      <c r="AG593" s="55" t="e">
        <f t="shared" ca="1" si="187"/>
        <v>#N/A</v>
      </c>
      <c r="AH593" s="55" t="e">
        <f t="shared" ca="1" si="188"/>
        <v>#N/A</v>
      </c>
      <c r="AI593" s="55" t="e">
        <f t="shared" ca="1" si="189"/>
        <v>#N/A</v>
      </c>
      <c r="AJ593" s="55" t="e">
        <f t="shared" ca="1" si="190"/>
        <v>#N/A</v>
      </c>
      <c r="AK593" s="55" t="e">
        <f t="shared" ca="1" si="177"/>
        <v>#N/A</v>
      </c>
      <c r="AL593" s="55" t="e">
        <f t="shared" ca="1" si="178"/>
        <v>#N/A</v>
      </c>
      <c r="AM593" s="55" t="e">
        <f t="shared" ca="1" si="179"/>
        <v>#N/A</v>
      </c>
    </row>
    <row r="594" spans="18:39">
      <c r="R594" s="55" t="e">
        <f ca="1"/>
        <v>#N/A</v>
      </c>
      <c r="S594" s="55" t="e">
        <f t="shared" ca="1" si="180"/>
        <v>#N/A</v>
      </c>
      <c r="T594" s="55" t="e">
        <f t="shared" ca="1" si="181"/>
        <v>#N/A</v>
      </c>
      <c r="U594" s="55" t="e">
        <f t="shared" ca="1" si="182"/>
        <v>#N/A</v>
      </c>
      <c r="V594" s="55" t="e">
        <f t="shared" ca="1" si="183"/>
        <v>#N/A</v>
      </c>
      <c r="W594" s="55" t="e">
        <f t="shared" ca="1" si="173"/>
        <v>#N/A</v>
      </c>
      <c r="X594" s="55" t="e">
        <f t="shared" ca="1" si="174"/>
        <v>#N/A</v>
      </c>
      <c r="Y594" s="55" t="e">
        <f t="shared" ca="1" si="175"/>
        <v>#N/A</v>
      </c>
      <c r="Z594" s="55" t="e">
        <f t="shared" ca="1" si="176"/>
        <v>#N/A</v>
      </c>
      <c r="AB594" t="e">
        <f t="shared" ref="AB594:AB662" ca="1" si="191">VLOOKUP(S594,ModelOutputs,10,FALSE)*AWC</f>
        <v>#N/A</v>
      </c>
      <c r="AC594" t="e">
        <f t="shared" ca="1" si="184"/>
        <v>#N/A</v>
      </c>
      <c r="AD594" t="e">
        <f t="shared" ca="1" si="185"/>
        <v>#N/A</v>
      </c>
      <c r="AE594" t="e">
        <f t="shared" ca="1" si="186"/>
        <v>#N/A</v>
      </c>
      <c r="AF594" s="83" t="e">
        <f ca="1"/>
        <v>#N/A</v>
      </c>
      <c r="AG594" s="55" t="e">
        <f t="shared" ca="1" si="187"/>
        <v>#N/A</v>
      </c>
      <c r="AH594" s="55" t="e">
        <f t="shared" ca="1" si="188"/>
        <v>#N/A</v>
      </c>
      <c r="AI594" s="55" t="e">
        <f t="shared" ca="1" si="189"/>
        <v>#N/A</v>
      </c>
      <c r="AJ594" s="55" t="e">
        <f t="shared" ca="1" si="190"/>
        <v>#N/A</v>
      </c>
      <c r="AK594" s="55" t="e">
        <f t="shared" ca="1" si="177"/>
        <v>#N/A</v>
      </c>
      <c r="AL594" s="55" t="e">
        <f t="shared" ca="1" si="178"/>
        <v>#N/A</v>
      </c>
      <c r="AM594" s="55" t="e">
        <f t="shared" ca="1" si="179"/>
        <v>#N/A</v>
      </c>
    </row>
    <row r="595" spans="18:39">
      <c r="R595" s="55" t="e">
        <f ca="1"/>
        <v>#N/A</v>
      </c>
      <c r="S595" s="55" t="e">
        <f t="shared" ca="1" si="180"/>
        <v>#N/A</v>
      </c>
      <c r="T595" s="55" t="e">
        <f t="shared" ca="1" si="181"/>
        <v>#N/A</v>
      </c>
      <c r="U595" s="55" t="e">
        <f t="shared" ca="1" si="182"/>
        <v>#N/A</v>
      </c>
      <c r="V595" s="55" t="e">
        <f t="shared" ca="1" si="183"/>
        <v>#N/A</v>
      </c>
      <c r="W595" s="55" t="e">
        <f t="shared" ref="W595:W662" ca="1" si="192">-VLOOKUP(S595,ModelOutputs,9,FALSE)+W594</f>
        <v>#N/A</v>
      </c>
      <c r="X595" s="55" t="e">
        <f t="shared" ref="X595:X662" ca="1" si="193">VLOOKUP(S595,ModelOutputs,5,FALSE)+X594</f>
        <v>#N/A</v>
      </c>
      <c r="Y595" s="55" t="e">
        <f t="shared" ref="Y595:Y662" ca="1" si="194">VLOOKUP(S595,ModelOutputs,4,FALSE)+Y594</f>
        <v>#N/A</v>
      </c>
      <c r="Z595" s="55" t="e">
        <f t="shared" ref="Z595:Z662" ca="1" si="195">VLOOKUP(S595,ModelOutputs,3,FALSE)*10</f>
        <v>#N/A</v>
      </c>
      <c r="AB595" t="e">
        <f t="shared" ca="1" si="191"/>
        <v>#N/A</v>
      </c>
      <c r="AC595" t="e">
        <f t="shared" ca="1" si="184"/>
        <v>#N/A</v>
      </c>
      <c r="AD595" t="e">
        <f t="shared" ca="1" si="185"/>
        <v>#N/A</v>
      </c>
      <c r="AE595" t="e">
        <f t="shared" ca="1" si="186"/>
        <v>#N/A</v>
      </c>
      <c r="AF595" s="83" t="e">
        <f ca="1"/>
        <v>#N/A</v>
      </c>
      <c r="AG595" s="55" t="e">
        <f t="shared" ca="1" si="187"/>
        <v>#N/A</v>
      </c>
      <c r="AH595" s="55" t="e">
        <f t="shared" ca="1" si="188"/>
        <v>#N/A</v>
      </c>
      <c r="AI595" s="55" t="e">
        <f t="shared" ca="1" si="189"/>
        <v>#N/A</v>
      </c>
      <c r="AJ595" s="55" t="e">
        <f t="shared" ca="1" si="190"/>
        <v>#N/A</v>
      </c>
      <c r="AK595" s="55" t="e">
        <f t="shared" ref="AK595:AK662" ca="1" si="196">-VLOOKUP(AG595,ModelOutputs,9,FALSE)+AK594</f>
        <v>#N/A</v>
      </c>
      <c r="AL595" s="55" t="e">
        <f t="shared" ref="AL595:AL662" ca="1" si="197">VLOOKUP(AG595,ModelOutputs,5,FALSE)+AL594</f>
        <v>#N/A</v>
      </c>
      <c r="AM595" s="55" t="e">
        <f t="shared" ref="AM595:AM662" ca="1" si="198">VLOOKUP(AG595,ModelOutputs,4,FALSE)+AM594</f>
        <v>#N/A</v>
      </c>
    </row>
    <row r="596" spans="18:39">
      <c r="R596" s="55" t="e">
        <f ca="1"/>
        <v>#N/A</v>
      </c>
      <c r="S596" s="55" t="e">
        <f t="shared" ca="1" si="180"/>
        <v>#N/A</v>
      </c>
      <c r="T596" s="55" t="e">
        <f t="shared" ca="1" si="181"/>
        <v>#N/A</v>
      </c>
      <c r="U596" s="55" t="e">
        <f t="shared" ca="1" si="182"/>
        <v>#N/A</v>
      </c>
      <c r="V596" s="55" t="e">
        <f t="shared" ca="1" si="183"/>
        <v>#N/A</v>
      </c>
      <c r="W596" s="55" t="e">
        <f t="shared" ca="1" si="192"/>
        <v>#N/A</v>
      </c>
      <c r="X596" s="55" t="e">
        <f t="shared" ca="1" si="193"/>
        <v>#N/A</v>
      </c>
      <c r="Y596" s="55" t="e">
        <f t="shared" ca="1" si="194"/>
        <v>#N/A</v>
      </c>
      <c r="Z596" s="55" t="e">
        <f t="shared" ca="1" si="195"/>
        <v>#N/A</v>
      </c>
      <c r="AB596" t="e">
        <f t="shared" ca="1" si="191"/>
        <v>#N/A</v>
      </c>
      <c r="AC596" t="e">
        <f t="shared" ca="1" si="184"/>
        <v>#N/A</v>
      </c>
      <c r="AD596" t="e">
        <f t="shared" ca="1" si="185"/>
        <v>#N/A</v>
      </c>
      <c r="AE596" t="e">
        <f t="shared" ca="1" si="186"/>
        <v>#N/A</v>
      </c>
      <c r="AF596" s="83" t="e">
        <f ca="1"/>
        <v>#N/A</v>
      </c>
      <c r="AG596" s="55" t="e">
        <f t="shared" ca="1" si="187"/>
        <v>#N/A</v>
      </c>
      <c r="AH596" s="55" t="e">
        <f t="shared" ca="1" si="188"/>
        <v>#N/A</v>
      </c>
      <c r="AI596" s="55" t="e">
        <f t="shared" ca="1" si="189"/>
        <v>#N/A</v>
      </c>
      <c r="AJ596" s="55" t="e">
        <f t="shared" ca="1" si="190"/>
        <v>#N/A</v>
      </c>
      <c r="AK596" s="55" t="e">
        <f t="shared" ca="1" si="196"/>
        <v>#N/A</v>
      </c>
      <c r="AL596" s="55" t="e">
        <f t="shared" ca="1" si="197"/>
        <v>#N/A</v>
      </c>
      <c r="AM596" s="55" t="e">
        <f t="shared" ca="1" si="198"/>
        <v>#N/A</v>
      </c>
    </row>
    <row r="597" spans="18:39">
      <c r="R597" s="55" t="e">
        <f ca="1"/>
        <v>#N/A</v>
      </c>
      <c r="S597" s="55" t="e">
        <f t="shared" ca="1" si="180"/>
        <v>#N/A</v>
      </c>
      <c r="T597" s="55" t="e">
        <f t="shared" ca="1" si="181"/>
        <v>#N/A</v>
      </c>
      <c r="U597" s="55" t="e">
        <f t="shared" ca="1" si="182"/>
        <v>#N/A</v>
      </c>
      <c r="V597" s="55" t="e">
        <f t="shared" ca="1" si="183"/>
        <v>#N/A</v>
      </c>
      <c r="W597" s="55" t="e">
        <f t="shared" ca="1" si="192"/>
        <v>#N/A</v>
      </c>
      <c r="X597" s="55" t="e">
        <f t="shared" ca="1" si="193"/>
        <v>#N/A</v>
      </c>
      <c r="Y597" s="55" t="e">
        <f t="shared" ca="1" si="194"/>
        <v>#N/A</v>
      </c>
      <c r="Z597" s="55" t="e">
        <f t="shared" ca="1" si="195"/>
        <v>#N/A</v>
      </c>
      <c r="AB597" t="e">
        <f t="shared" ca="1" si="191"/>
        <v>#N/A</v>
      </c>
      <c r="AC597" t="e">
        <f t="shared" ca="1" si="184"/>
        <v>#N/A</v>
      </c>
      <c r="AD597" t="e">
        <f t="shared" ca="1" si="185"/>
        <v>#N/A</v>
      </c>
      <c r="AE597" t="e">
        <f t="shared" ca="1" si="186"/>
        <v>#N/A</v>
      </c>
      <c r="AF597" s="83" t="e">
        <f ca="1"/>
        <v>#N/A</v>
      </c>
      <c r="AG597" s="55" t="e">
        <f t="shared" ca="1" si="187"/>
        <v>#N/A</v>
      </c>
      <c r="AH597" s="55" t="e">
        <f t="shared" ca="1" si="188"/>
        <v>#N/A</v>
      </c>
      <c r="AI597" s="55" t="e">
        <f t="shared" ca="1" si="189"/>
        <v>#N/A</v>
      </c>
      <c r="AJ597" s="55" t="e">
        <f t="shared" ca="1" si="190"/>
        <v>#N/A</v>
      </c>
      <c r="AK597" s="55" t="e">
        <f t="shared" ca="1" si="196"/>
        <v>#N/A</v>
      </c>
      <c r="AL597" s="55" t="e">
        <f t="shared" ca="1" si="197"/>
        <v>#N/A</v>
      </c>
      <c r="AM597" s="55" t="e">
        <f t="shared" ca="1" si="198"/>
        <v>#N/A</v>
      </c>
    </row>
    <row r="598" spans="18:39">
      <c r="R598" s="55" t="e">
        <f ca="1"/>
        <v>#N/A</v>
      </c>
      <c r="S598" s="55" t="e">
        <f t="shared" ca="1" si="180"/>
        <v>#N/A</v>
      </c>
      <c r="T598" s="55" t="e">
        <f t="shared" ca="1" si="181"/>
        <v>#N/A</v>
      </c>
      <c r="U598" s="55" t="e">
        <f t="shared" ca="1" si="182"/>
        <v>#N/A</v>
      </c>
      <c r="V598" s="55" t="e">
        <f t="shared" ca="1" si="183"/>
        <v>#N/A</v>
      </c>
      <c r="W598" s="55" t="e">
        <f t="shared" ca="1" si="192"/>
        <v>#N/A</v>
      </c>
      <c r="X598" s="55" t="e">
        <f t="shared" ca="1" si="193"/>
        <v>#N/A</v>
      </c>
      <c r="Y598" s="55" t="e">
        <f t="shared" ca="1" si="194"/>
        <v>#N/A</v>
      </c>
      <c r="Z598" s="55" t="e">
        <f t="shared" ca="1" si="195"/>
        <v>#N/A</v>
      </c>
      <c r="AB598" t="e">
        <f t="shared" ca="1" si="191"/>
        <v>#N/A</v>
      </c>
      <c r="AC598" t="e">
        <f t="shared" ca="1" si="184"/>
        <v>#N/A</v>
      </c>
      <c r="AD598" t="e">
        <f t="shared" ca="1" si="185"/>
        <v>#N/A</v>
      </c>
      <c r="AE598" t="e">
        <f t="shared" ca="1" si="186"/>
        <v>#N/A</v>
      </c>
      <c r="AF598" s="83" t="e">
        <f ca="1"/>
        <v>#N/A</v>
      </c>
      <c r="AG598" s="55" t="e">
        <f t="shared" ca="1" si="187"/>
        <v>#N/A</v>
      </c>
      <c r="AH598" s="55" t="e">
        <f t="shared" ca="1" si="188"/>
        <v>#N/A</v>
      </c>
      <c r="AI598" s="55" t="e">
        <f t="shared" ca="1" si="189"/>
        <v>#N/A</v>
      </c>
      <c r="AJ598" s="55" t="e">
        <f t="shared" ca="1" si="190"/>
        <v>#N/A</v>
      </c>
      <c r="AK598" s="55" t="e">
        <f t="shared" ca="1" si="196"/>
        <v>#N/A</v>
      </c>
      <c r="AL598" s="55" t="e">
        <f t="shared" ca="1" si="197"/>
        <v>#N/A</v>
      </c>
      <c r="AM598" s="55" t="e">
        <f t="shared" ca="1" si="198"/>
        <v>#N/A</v>
      </c>
    </row>
    <row r="599" spans="18:39">
      <c r="R599" s="55" t="e">
        <f ca="1"/>
        <v>#N/A</v>
      </c>
      <c r="S599" s="55" t="e">
        <f t="shared" ca="1" si="180"/>
        <v>#N/A</v>
      </c>
      <c r="T599" s="55" t="e">
        <f t="shared" ca="1" si="181"/>
        <v>#N/A</v>
      </c>
      <c r="U599" s="55" t="e">
        <f t="shared" ca="1" si="182"/>
        <v>#N/A</v>
      </c>
      <c r="V599" s="55" t="e">
        <f t="shared" ca="1" si="183"/>
        <v>#N/A</v>
      </c>
      <c r="W599" s="55" t="e">
        <f t="shared" ca="1" si="192"/>
        <v>#N/A</v>
      </c>
      <c r="X599" s="55" t="e">
        <f t="shared" ca="1" si="193"/>
        <v>#N/A</v>
      </c>
      <c r="Y599" s="55" t="e">
        <f t="shared" ca="1" si="194"/>
        <v>#N/A</v>
      </c>
      <c r="Z599" s="55" t="e">
        <f t="shared" ca="1" si="195"/>
        <v>#N/A</v>
      </c>
      <c r="AB599" t="e">
        <f t="shared" ca="1" si="191"/>
        <v>#N/A</v>
      </c>
      <c r="AC599" t="e">
        <f t="shared" ca="1" si="184"/>
        <v>#N/A</v>
      </c>
      <c r="AD599" t="e">
        <f t="shared" ca="1" si="185"/>
        <v>#N/A</v>
      </c>
      <c r="AE599" t="e">
        <f t="shared" ca="1" si="186"/>
        <v>#N/A</v>
      </c>
      <c r="AF599" s="83" t="e">
        <f ca="1"/>
        <v>#N/A</v>
      </c>
      <c r="AG599" s="55" t="e">
        <f t="shared" ca="1" si="187"/>
        <v>#N/A</v>
      </c>
      <c r="AH599" s="55" t="e">
        <f t="shared" ca="1" si="188"/>
        <v>#N/A</v>
      </c>
      <c r="AI599" s="55" t="e">
        <f t="shared" ca="1" si="189"/>
        <v>#N/A</v>
      </c>
      <c r="AJ599" s="55" t="e">
        <f t="shared" ca="1" si="190"/>
        <v>#N/A</v>
      </c>
      <c r="AK599" s="55" t="e">
        <f t="shared" ca="1" si="196"/>
        <v>#N/A</v>
      </c>
      <c r="AL599" s="55" t="e">
        <f t="shared" ca="1" si="197"/>
        <v>#N/A</v>
      </c>
      <c r="AM599" s="55" t="e">
        <f t="shared" ca="1" si="198"/>
        <v>#N/A</v>
      </c>
    </row>
    <row r="600" spans="18:39">
      <c r="R600" s="55" t="e">
        <f ca="1"/>
        <v>#N/A</v>
      </c>
      <c r="S600" s="55" t="e">
        <f t="shared" ca="1" si="180"/>
        <v>#N/A</v>
      </c>
      <c r="T600" s="55" t="e">
        <f t="shared" ca="1" si="181"/>
        <v>#N/A</v>
      </c>
      <c r="U600" s="55" t="e">
        <f t="shared" ca="1" si="182"/>
        <v>#N/A</v>
      </c>
      <c r="V600" s="55" t="e">
        <f t="shared" ca="1" si="183"/>
        <v>#N/A</v>
      </c>
      <c r="W600" s="55" t="e">
        <f t="shared" ca="1" si="192"/>
        <v>#N/A</v>
      </c>
      <c r="X600" s="55" t="e">
        <f t="shared" ca="1" si="193"/>
        <v>#N/A</v>
      </c>
      <c r="Y600" s="55" t="e">
        <f t="shared" ca="1" si="194"/>
        <v>#N/A</v>
      </c>
      <c r="Z600" s="55" t="e">
        <f t="shared" ca="1" si="195"/>
        <v>#N/A</v>
      </c>
      <c r="AB600" t="e">
        <f t="shared" ca="1" si="191"/>
        <v>#N/A</v>
      </c>
      <c r="AC600" t="e">
        <f t="shared" ca="1" si="184"/>
        <v>#N/A</v>
      </c>
      <c r="AD600" t="e">
        <f t="shared" ca="1" si="185"/>
        <v>#N/A</v>
      </c>
      <c r="AE600" t="e">
        <f t="shared" ca="1" si="186"/>
        <v>#N/A</v>
      </c>
      <c r="AF600" s="83" t="e">
        <f ca="1"/>
        <v>#N/A</v>
      </c>
      <c r="AG600" s="55" t="e">
        <f t="shared" ca="1" si="187"/>
        <v>#N/A</v>
      </c>
      <c r="AH600" s="55" t="e">
        <f t="shared" ca="1" si="188"/>
        <v>#N/A</v>
      </c>
      <c r="AI600" s="55" t="e">
        <f t="shared" ca="1" si="189"/>
        <v>#N/A</v>
      </c>
      <c r="AJ600" s="55" t="e">
        <f t="shared" ca="1" si="190"/>
        <v>#N/A</v>
      </c>
      <c r="AK600" s="55" t="e">
        <f t="shared" ca="1" si="196"/>
        <v>#N/A</v>
      </c>
      <c r="AL600" s="55" t="e">
        <f t="shared" ca="1" si="197"/>
        <v>#N/A</v>
      </c>
      <c r="AM600" s="55" t="e">
        <f t="shared" ca="1" si="198"/>
        <v>#N/A</v>
      </c>
    </row>
    <row r="601" spans="18:39">
      <c r="R601" s="55" t="e">
        <f ca="1"/>
        <v>#N/A</v>
      </c>
      <c r="S601" s="55" t="e">
        <f t="shared" ca="1" si="180"/>
        <v>#N/A</v>
      </c>
      <c r="T601" s="55" t="e">
        <f t="shared" ca="1" si="181"/>
        <v>#N/A</v>
      </c>
      <c r="U601" s="55" t="e">
        <f t="shared" ca="1" si="182"/>
        <v>#N/A</v>
      </c>
      <c r="V601" s="55" t="e">
        <f t="shared" ca="1" si="183"/>
        <v>#N/A</v>
      </c>
      <c r="W601" s="55" t="e">
        <f t="shared" ca="1" si="192"/>
        <v>#N/A</v>
      </c>
      <c r="X601" s="55" t="e">
        <f t="shared" ca="1" si="193"/>
        <v>#N/A</v>
      </c>
      <c r="Y601" s="55" t="e">
        <f t="shared" ca="1" si="194"/>
        <v>#N/A</v>
      </c>
      <c r="Z601" s="55" t="e">
        <f t="shared" ca="1" si="195"/>
        <v>#N/A</v>
      </c>
      <c r="AB601" t="e">
        <f t="shared" ca="1" si="191"/>
        <v>#N/A</v>
      </c>
      <c r="AC601" t="e">
        <f t="shared" ca="1" si="184"/>
        <v>#N/A</v>
      </c>
      <c r="AD601" t="e">
        <f t="shared" ca="1" si="185"/>
        <v>#N/A</v>
      </c>
      <c r="AE601" t="e">
        <f t="shared" ca="1" si="186"/>
        <v>#N/A</v>
      </c>
      <c r="AF601" s="83" t="e">
        <f ca="1"/>
        <v>#N/A</v>
      </c>
      <c r="AG601" s="55" t="e">
        <f t="shared" ca="1" si="187"/>
        <v>#N/A</v>
      </c>
      <c r="AH601" s="55" t="e">
        <f t="shared" ca="1" si="188"/>
        <v>#N/A</v>
      </c>
      <c r="AI601" s="55" t="e">
        <f t="shared" ca="1" si="189"/>
        <v>#N/A</v>
      </c>
      <c r="AJ601" s="55" t="e">
        <f t="shared" ca="1" si="190"/>
        <v>#N/A</v>
      </c>
      <c r="AK601" s="55" t="e">
        <f t="shared" ca="1" si="196"/>
        <v>#N/A</v>
      </c>
      <c r="AL601" s="55" t="e">
        <f t="shared" ca="1" si="197"/>
        <v>#N/A</v>
      </c>
      <c r="AM601" s="55" t="e">
        <f t="shared" ca="1" si="198"/>
        <v>#N/A</v>
      </c>
    </row>
    <row r="602" spans="18:39">
      <c r="R602" s="55" t="e">
        <f ca="1"/>
        <v>#N/A</v>
      </c>
      <c r="S602" s="55" t="e">
        <f t="shared" ca="1" si="180"/>
        <v>#N/A</v>
      </c>
      <c r="T602" s="55" t="e">
        <f t="shared" ca="1" si="181"/>
        <v>#N/A</v>
      </c>
      <c r="U602" s="55" t="e">
        <f t="shared" ca="1" si="182"/>
        <v>#N/A</v>
      </c>
      <c r="V602" s="55" t="e">
        <f t="shared" ca="1" si="183"/>
        <v>#N/A</v>
      </c>
      <c r="W602" s="55" t="e">
        <f t="shared" ca="1" si="192"/>
        <v>#N/A</v>
      </c>
      <c r="X602" s="55" t="e">
        <f t="shared" ca="1" si="193"/>
        <v>#N/A</v>
      </c>
      <c r="Y602" s="55" t="e">
        <f t="shared" ca="1" si="194"/>
        <v>#N/A</v>
      </c>
      <c r="Z602" s="55" t="e">
        <f t="shared" ca="1" si="195"/>
        <v>#N/A</v>
      </c>
      <c r="AB602" t="e">
        <f t="shared" ca="1" si="191"/>
        <v>#N/A</v>
      </c>
      <c r="AC602" t="e">
        <f t="shared" ca="1" si="184"/>
        <v>#N/A</v>
      </c>
      <c r="AD602" t="e">
        <f t="shared" ca="1" si="185"/>
        <v>#N/A</v>
      </c>
      <c r="AE602" t="e">
        <f t="shared" ca="1" si="186"/>
        <v>#N/A</v>
      </c>
      <c r="AF602" s="83" t="e">
        <f ca="1"/>
        <v>#N/A</v>
      </c>
      <c r="AG602" s="55" t="e">
        <f t="shared" ca="1" si="187"/>
        <v>#N/A</v>
      </c>
      <c r="AH602" s="55" t="e">
        <f t="shared" ca="1" si="188"/>
        <v>#N/A</v>
      </c>
      <c r="AI602" s="55" t="e">
        <f t="shared" ca="1" si="189"/>
        <v>#N/A</v>
      </c>
      <c r="AJ602" s="55" t="e">
        <f t="shared" ca="1" si="190"/>
        <v>#N/A</v>
      </c>
      <c r="AK602" s="55" t="e">
        <f t="shared" ca="1" si="196"/>
        <v>#N/A</v>
      </c>
      <c r="AL602" s="55" t="e">
        <f t="shared" ca="1" si="197"/>
        <v>#N/A</v>
      </c>
      <c r="AM602" s="55" t="e">
        <f t="shared" ca="1" si="198"/>
        <v>#N/A</v>
      </c>
    </row>
    <row r="603" spans="18:39">
      <c r="R603" s="55" t="e">
        <f ca="1"/>
        <v>#N/A</v>
      </c>
      <c r="S603" s="55" t="e">
        <f t="shared" ca="1" si="180"/>
        <v>#N/A</v>
      </c>
      <c r="T603" s="55" t="e">
        <f t="shared" ca="1" si="181"/>
        <v>#N/A</v>
      </c>
      <c r="U603" s="55" t="e">
        <f t="shared" ca="1" si="182"/>
        <v>#N/A</v>
      </c>
      <c r="V603" s="55" t="e">
        <f t="shared" ca="1" si="183"/>
        <v>#N/A</v>
      </c>
      <c r="W603" s="55" t="e">
        <f t="shared" ca="1" si="192"/>
        <v>#N/A</v>
      </c>
      <c r="X603" s="55" t="e">
        <f t="shared" ca="1" si="193"/>
        <v>#N/A</v>
      </c>
      <c r="Y603" s="55" t="e">
        <f t="shared" ca="1" si="194"/>
        <v>#N/A</v>
      </c>
      <c r="Z603" s="55" t="e">
        <f t="shared" ca="1" si="195"/>
        <v>#N/A</v>
      </c>
      <c r="AB603" t="e">
        <f t="shared" ca="1" si="191"/>
        <v>#N/A</v>
      </c>
      <c r="AC603" t="e">
        <f t="shared" ca="1" si="184"/>
        <v>#N/A</v>
      </c>
      <c r="AD603" t="e">
        <f t="shared" ca="1" si="185"/>
        <v>#N/A</v>
      </c>
      <c r="AE603" t="e">
        <f t="shared" ca="1" si="186"/>
        <v>#N/A</v>
      </c>
      <c r="AF603" s="83" t="e">
        <f ca="1"/>
        <v>#N/A</v>
      </c>
      <c r="AG603" s="55" t="e">
        <f t="shared" ca="1" si="187"/>
        <v>#N/A</v>
      </c>
      <c r="AH603" s="55" t="e">
        <f t="shared" ca="1" si="188"/>
        <v>#N/A</v>
      </c>
      <c r="AI603" s="55" t="e">
        <f t="shared" ca="1" si="189"/>
        <v>#N/A</v>
      </c>
      <c r="AJ603" s="55" t="e">
        <f t="shared" ca="1" si="190"/>
        <v>#N/A</v>
      </c>
      <c r="AK603" s="55" t="e">
        <f t="shared" ca="1" si="196"/>
        <v>#N/A</v>
      </c>
      <c r="AL603" s="55" t="e">
        <f t="shared" ca="1" si="197"/>
        <v>#N/A</v>
      </c>
      <c r="AM603" s="55" t="e">
        <f t="shared" ca="1" si="198"/>
        <v>#N/A</v>
      </c>
    </row>
    <row r="604" spans="18:39">
      <c r="R604" s="55" t="e">
        <f ca="1"/>
        <v>#N/A</v>
      </c>
      <c r="S604" s="55" t="e">
        <f t="shared" ca="1" si="180"/>
        <v>#N/A</v>
      </c>
      <c r="T604" s="55" t="e">
        <f t="shared" ca="1" si="181"/>
        <v>#N/A</v>
      </c>
      <c r="U604" s="55" t="e">
        <f t="shared" ca="1" si="182"/>
        <v>#N/A</v>
      </c>
      <c r="V604" s="55" t="e">
        <f t="shared" ca="1" si="183"/>
        <v>#N/A</v>
      </c>
      <c r="W604" s="55" t="e">
        <f t="shared" ca="1" si="192"/>
        <v>#N/A</v>
      </c>
      <c r="X604" s="55" t="e">
        <f t="shared" ca="1" si="193"/>
        <v>#N/A</v>
      </c>
      <c r="Y604" s="55" t="e">
        <f t="shared" ca="1" si="194"/>
        <v>#N/A</v>
      </c>
      <c r="Z604" s="55" t="e">
        <f t="shared" ca="1" si="195"/>
        <v>#N/A</v>
      </c>
      <c r="AB604" t="e">
        <f t="shared" ca="1" si="191"/>
        <v>#N/A</v>
      </c>
      <c r="AC604" t="e">
        <f t="shared" ca="1" si="184"/>
        <v>#N/A</v>
      </c>
      <c r="AD604" t="e">
        <f t="shared" ca="1" si="185"/>
        <v>#N/A</v>
      </c>
      <c r="AE604" t="e">
        <f t="shared" ca="1" si="186"/>
        <v>#N/A</v>
      </c>
      <c r="AF604" s="83" t="e">
        <f ca="1"/>
        <v>#N/A</v>
      </c>
      <c r="AG604" s="55" t="e">
        <f t="shared" ca="1" si="187"/>
        <v>#N/A</v>
      </c>
      <c r="AH604" s="55" t="e">
        <f t="shared" ca="1" si="188"/>
        <v>#N/A</v>
      </c>
      <c r="AI604" s="55" t="e">
        <f t="shared" ca="1" si="189"/>
        <v>#N/A</v>
      </c>
      <c r="AJ604" s="55" t="e">
        <f t="shared" ca="1" si="190"/>
        <v>#N/A</v>
      </c>
      <c r="AK604" s="55" t="e">
        <f t="shared" ca="1" si="196"/>
        <v>#N/A</v>
      </c>
      <c r="AL604" s="55" t="e">
        <f t="shared" ca="1" si="197"/>
        <v>#N/A</v>
      </c>
      <c r="AM604" s="55" t="e">
        <f t="shared" ca="1" si="198"/>
        <v>#N/A</v>
      </c>
    </row>
    <row r="605" spans="18:39">
      <c r="R605" s="55" t="e">
        <f ca="1"/>
        <v>#N/A</v>
      </c>
      <c r="S605" s="55" t="e">
        <f t="shared" ca="1" si="180"/>
        <v>#N/A</v>
      </c>
      <c r="T605" s="55" t="e">
        <f t="shared" ca="1" si="181"/>
        <v>#N/A</v>
      </c>
      <c r="U605" s="55" t="e">
        <f t="shared" ca="1" si="182"/>
        <v>#N/A</v>
      </c>
      <c r="V605" s="55" t="e">
        <f t="shared" ca="1" si="183"/>
        <v>#N/A</v>
      </c>
      <c r="W605" s="55" t="e">
        <f t="shared" ca="1" si="192"/>
        <v>#N/A</v>
      </c>
      <c r="X605" s="55" t="e">
        <f t="shared" ca="1" si="193"/>
        <v>#N/A</v>
      </c>
      <c r="Y605" s="55" t="e">
        <f t="shared" ca="1" si="194"/>
        <v>#N/A</v>
      </c>
      <c r="Z605" s="55" t="e">
        <f t="shared" ca="1" si="195"/>
        <v>#N/A</v>
      </c>
      <c r="AB605" t="e">
        <f t="shared" ca="1" si="191"/>
        <v>#N/A</v>
      </c>
      <c r="AC605" t="e">
        <f t="shared" ca="1" si="184"/>
        <v>#N/A</v>
      </c>
      <c r="AD605" t="e">
        <f t="shared" ca="1" si="185"/>
        <v>#N/A</v>
      </c>
      <c r="AE605" t="e">
        <f t="shared" ca="1" si="186"/>
        <v>#N/A</v>
      </c>
      <c r="AF605" s="83" t="e">
        <f ca="1"/>
        <v>#N/A</v>
      </c>
      <c r="AG605" s="55" t="e">
        <f t="shared" ca="1" si="187"/>
        <v>#N/A</v>
      </c>
      <c r="AH605" s="55" t="e">
        <f t="shared" ca="1" si="188"/>
        <v>#N/A</v>
      </c>
      <c r="AI605" s="55" t="e">
        <f t="shared" ca="1" si="189"/>
        <v>#N/A</v>
      </c>
      <c r="AJ605" s="55" t="e">
        <f t="shared" ca="1" si="190"/>
        <v>#N/A</v>
      </c>
      <c r="AK605" s="55" t="e">
        <f t="shared" ca="1" si="196"/>
        <v>#N/A</v>
      </c>
      <c r="AL605" s="55" t="e">
        <f t="shared" ca="1" si="197"/>
        <v>#N/A</v>
      </c>
      <c r="AM605" s="55" t="e">
        <f t="shared" ca="1" si="198"/>
        <v>#N/A</v>
      </c>
    </row>
    <row r="606" spans="18:39">
      <c r="R606" s="55" t="e">
        <f ca="1"/>
        <v>#N/A</v>
      </c>
      <c r="S606" s="55" t="e">
        <f t="shared" ca="1" si="180"/>
        <v>#N/A</v>
      </c>
      <c r="T606" s="55" t="e">
        <f t="shared" ca="1" si="181"/>
        <v>#N/A</v>
      </c>
      <c r="U606" s="55" t="e">
        <f t="shared" ca="1" si="182"/>
        <v>#N/A</v>
      </c>
      <c r="V606" s="55" t="e">
        <f t="shared" ca="1" si="183"/>
        <v>#N/A</v>
      </c>
      <c r="W606" s="55" t="e">
        <f t="shared" ca="1" si="192"/>
        <v>#N/A</v>
      </c>
      <c r="X606" s="55" t="e">
        <f t="shared" ca="1" si="193"/>
        <v>#N/A</v>
      </c>
      <c r="Y606" s="55" t="e">
        <f t="shared" ca="1" si="194"/>
        <v>#N/A</v>
      </c>
      <c r="Z606" s="55" t="e">
        <f t="shared" ca="1" si="195"/>
        <v>#N/A</v>
      </c>
      <c r="AB606" t="e">
        <f t="shared" ca="1" si="191"/>
        <v>#N/A</v>
      </c>
      <c r="AC606" t="e">
        <f t="shared" ca="1" si="184"/>
        <v>#N/A</v>
      </c>
      <c r="AD606" t="e">
        <f t="shared" ca="1" si="185"/>
        <v>#N/A</v>
      </c>
      <c r="AE606" t="e">
        <f t="shared" ca="1" si="186"/>
        <v>#N/A</v>
      </c>
      <c r="AF606" s="83" t="e">
        <f ca="1"/>
        <v>#N/A</v>
      </c>
      <c r="AG606" s="55" t="e">
        <f t="shared" ca="1" si="187"/>
        <v>#N/A</v>
      </c>
      <c r="AH606" s="55" t="e">
        <f t="shared" ca="1" si="188"/>
        <v>#N/A</v>
      </c>
      <c r="AI606" s="55" t="e">
        <f t="shared" ca="1" si="189"/>
        <v>#N/A</v>
      </c>
      <c r="AJ606" s="55" t="e">
        <f t="shared" ca="1" si="190"/>
        <v>#N/A</v>
      </c>
      <c r="AK606" s="55" t="e">
        <f t="shared" ca="1" si="196"/>
        <v>#N/A</v>
      </c>
      <c r="AL606" s="55" t="e">
        <f t="shared" ca="1" si="197"/>
        <v>#N/A</v>
      </c>
      <c r="AM606" s="55" t="e">
        <f t="shared" ca="1" si="198"/>
        <v>#N/A</v>
      </c>
    </row>
    <row r="607" spans="18:39">
      <c r="R607" s="55" t="e">
        <f ca="1"/>
        <v>#N/A</v>
      </c>
      <c r="S607" s="55" t="e">
        <f t="shared" ca="1" si="180"/>
        <v>#N/A</v>
      </c>
      <c r="T607" s="55" t="e">
        <f t="shared" ca="1" si="181"/>
        <v>#N/A</v>
      </c>
      <c r="U607" s="55" t="e">
        <f t="shared" ca="1" si="182"/>
        <v>#N/A</v>
      </c>
      <c r="V607" s="55" t="e">
        <f t="shared" ca="1" si="183"/>
        <v>#N/A</v>
      </c>
      <c r="W607" s="55" t="e">
        <f t="shared" ca="1" si="192"/>
        <v>#N/A</v>
      </c>
      <c r="X607" s="55" t="e">
        <f t="shared" ca="1" si="193"/>
        <v>#N/A</v>
      </c>
      <c r="Y607" s="55" t="e">
        <f t="shared" ca="1" si="194"/>
        <v>#N/A</v>
      </c>
      <c r="Z607" s="55" t="e">
        <f t="shared" ca="1" si="195"/>
        <v>#N/A</v>
      </c>
      <c r="AB607" t="e">
        <f t="shared" ca="1" si="191"/>
        <v>#N/A</v>
      </c>
      <c r="AC607" t="e">
        <f t="shared" ca="1" si="184"/>
        <v>#N/A</v>
      </c>
      <c r="AD607" t="e">
        <f t="shared" ca="1" si="185"/>
        <v>#N/A</v>
      </c>
      <c r="AE607" t="e">
        <f t="shared" ca="1" si="186"/>
        <v>#N/A</v>
      </c>
      <c r="AF607" s="83" t="e">
        <f ca="1"/>
        <v>#N/A</v>
      </c>
      <c r="AG607" s="55" t="e">
        <f t="shared" ca="1" si="187"/>
        <v>#N/A</v>
      </c>
      <c r="AH607" s="55" t="e">
        <f t="shared" ca="1" si="188"/>
        <v>#N/A</v>
      </c>
      <c r="AI607" s="55" t="e">
        <f t="shared" ca="1" si="189"/>
        <v>#N/A</v>
      </c>
      <c r="AJ607" s="55" t="e">
        <f t="shared" ca="1" si="190"/>
        <v>#N/A</v>
      </c>
      <c r="AK607" s="55" t="e">
        <f t="shared" ca="1" si="196"/>
        <v>#N/A</v>
      </c>
      <c r="AL607" s="55" t="e">
        <f t="shared" ca="1" si="197"/>
        <v>#N/A</v>
      </c>
      <c r="AM607" s="55" t="e">
        <f t="shared" ca="1" si="198"/>
        <v>#N/A</v>
      </c>
    </row>
    <row r="608" spans="18:39">
      <c r="R608" s="55" t="e">
        <f ca="1"/>
        <v>#N/A</v>
      </c>
      <c r="S608" s="55" t="e">
        <f t="shared" ca="1" si="180"/>
        <v>#N/A</v>
      </c>
      <c r="T608" s="55" t="e">
        <f t="shared" ca="1" si="181"/>
        <v>#N/A</v>
      </c>
      <c r="U608" s="55" t="e">
        <f t="shared" ca="1" si="182"/>
        <v>#N/A</v>
      </c>
      <c r="V608" s="55" t="e">
        <f t="shared" ca="1" si="183"/>
        <v>#N/A</v>
      </c>
      <c r="W608" s="55" t="e">
        <f t="shared" ca="1" si="192"/>
        <v>#N/A</v>
      </c>
      <c r="X608" s="55" t="e">
        <f t="shared" ca="1" si="193"/>
        <v>#N/A</v>
      </c>
      <c r="Y608" s="55" t="e">
        <f t="shared" ca="1" si="194"/>
        <v>#N/A</v>
      </c>
      <c r="Z608" s="55" t="e">
        <f t="shared" ca="1" si="195"/>
        <v>#N/A</v>
      </c>
      <c r="AB608" t="e">
        <f t="shared" ca="1" si="191"/>
        <v>#N/A</v>
      </c>
      <c r="AC608" t="e">
        <f t="shared" ca="1" si="184"/>
        <v>#N/A</v>
      </c>
      <c r="AD608" t="e">
        <f t="shared" ca="1" si="185"/>
        <v>#N/A</v>
      </c>
      <c r="AE608" t="e">
        <f t="shared" ca="1" si="186"/>
        <v>#N/A</v>
      </c>
      <c r="AF608" s="83" t="e">
        <f ca="1"/>
        <v>#N/A</v>
      </c>
      <c r="AG608" s="55" t="e">
        <f t="shared" ca="1" si="187"/>
        <v>#N/A</v>
      </c>
      <c r="AH608" s="55" t="e">
        <f t="shared" ca="1" si="188"/>
        <v>#N/A</v>
      </c>
      <c r="AI608" s="55" t="e">
        <f t="shared" ca="1" si="189"/>
        <v>#N/A</v>
      </c>
      <c r="AJ608" s="55" t="e">
        <f t="shared" ca="1" si="190"/>
        <v>#N/A</v>
      </c>
      <c r="AK608" s="55" t="e">
        <f t="shared" ca="1" si="196"/>
        <v>#N/A</v>
      </c>
      <c r="AL608" s="55" t="e">
        <f t="shared" ca="1" si="197"/>
        <v>#N/A</v>
      </c>
      <c r="AM608" s="55" t="e">
        <f t="shared" ca="1" si="198"/>
        <v>#N/A</v>
      </c>
    </row>
    <row r="609" spans="18:39">
      <c r="R609" s="55" t="e">
        <f ca="1"/>
        <v>#N/A</v>
      </c>
      <c r="S609" s="55" t="e">
        <f t="shared" ca="1" si="180"/>
        <v>#N/A</v>
      </c>
      <c r="T609" s="55" t="e">
        <f t="shared" ca="1" si="181"/>
        <v>#N/A</v>
      </c>
      <c r="U609" s="55" t="e">
        <f t="shared" ca="1" si="182"/>
        <v>#N/A</v>
      </c>
      <c r="V609" s="55" t="e">
        <f t="shared" ca="1" si="183"/>
        <v>#N/A</v>
      </c>
      <c r="W609" s="55" t="e">
        <f t="shared" ca="1" si="192"/>
        <v>#N/A</v>
      </c>
      <c r="X609" s="55" t="e">
        <f t="shared" ca="1" si="193"/>
        <v>#N/A</v>
      </c>
      <c r="Y609" s="55" t="e">
        <f t="shared" ca="1" si="194"/>
        <v>#N/A</v>
      </c>
      <c r="Z609" s="55" t="e">
        <f t="shared" ca="1" si="195"/>
        <v>#N/A</v>
      </c>
      <c r="AB609" t="e">
        <f t="shared" ca="1" si="191"/>
        <v>#N/A</v>
      </c>
      <c r="AC609" t="e">
        <f t="shared" ca="1" si="184"/>
        <v>#N/A</v>
      </c>
      <c r="AD609" t="e">
        <f t="shared" ca="1" si="185"/>
        <v>#N/A</v>
      </c>
      <c r="AE609" t="e">
        <f t="shared" ca="1" si="186"/>
        <v>#N/A</v>
      </c>
      <c r="AF609" s="83" t="e">
        <f ca="1"/>
        <v>#N/A</v>
      </c>
      <c r="AG609" s="55" t="e">
        <f t="shared" ca="1" si="187"/>
        <v>#N/A</v>
      </c>
      <c r="AH609" s="55" t="e">
        <f t="shared" ca="1" si="188"/>
        <v>#N/A</v>
      </c>
      <c r="AI609" s="55" t="e">
        <f t="shared" ca="1" si="189"/>
        <v>#N/A</v>
      </c>
      <c r="AJ609" s="55" t="e">
        <f t="shared" ca="1" si="190"/>
        <v>#N/A</v>
      </c>
      <c r="AK609" s="55" t="e">
        <f t="shared" ca="1" si="196"/>
        <v>#N/A</v>
      </c>
      <c r="AL609" s="55" t="e">
        <f t="shared" ca="1" si="197"/>
        <v>#N/A</v>
      </c>
      <c r="AM609" s="55" t="e">
        <f t="shared" ca="1" si="198"/>
        <v>#N/A</v>
      </c>
    </row>
    <row r="610" spans="18:39">
      <c r="R610" s="55" t="e">
        <f ca="1"/>
        <v>#N/A</v>
      </c>
      <c r="S610" s="55" t="e">
        <f t="shared" ca="1" si="180"/>
        <v>#N/A</v>
      </c>
      <c r="T610" s="55" t="e">
        <f t="shared" ca="1" si="181"/>
        <v>#N/A</v>
      </c>
      <c r="U610" s="55" t="e">
        <f t="shared" ca="1" si="182"/>
        <v>#N/A</v>
      </c>
      <c r="V610" s="55" t="e">
        <f t="shared" ca="1" si="183"/>
        <v>#N/A</v>
      </c>
      <c r="W610" s="55" t="e">
        <f t="shared" ca="1" si="192"/>
        <v>#N/A</v>
      </c>
      <c r="X610" s="55" t="e">
        <f t="shared" ca="1" si="193"/>
        <v>#N/A</v>
      </c>
      <c r="Y610" s="55" t="e">
        <f t="shared" ca="1" si="194"/>
        <v>#N/A</v>
      </c>
      <c r="Z610" s="55" t="e">
        <f t="shared" ca="1" si="195"/>
        <v>#N/A</v>
      </c>
      <c r="AB610" t="e">
        <f t="shared" ca="1" si="191"/>
        <v>#N/A</v>
      </c>
      <c r="AC610" t="e">
        <f t="shared" ca="1" si="184"/>
        <v>#N/A</v>
      </c>
      <c r="AD610" t="e">
        <f t="shared" ca="1" si="185"/>
        <v>#N/A</v>
      </c>
      <c r="AE610" t="e">
        <f t="shared" ca="1" si="186"/>
        <v>#N/A</v>
      </c>
      <c r="AF610" s="83" t="e">
        <f ca="1"/>
        <v>#N/A</v>
      </c>
      <c r="AG610" s="55" t="e">
        <f t="shared" ca="1" si="187"/>
        <v>#N/A</v>
      </c>
      <c r="AH610" s="55" t="e">
        <f t="shared" ca="1" si="188"/>
        <v>#N/A</v>
      </c>
      <c r="AI610" s="55" t="e">
        <f t="shared" ca="1" si="189"/>
        <v>#N/A</v>
      </c>
      <c r="AJ610" s="55" t="e">
        <f t="shared" ca="1" si="190"/>
        <v>#N/A</v>
      </c>
      <c r="AK610" s="55" t="e">
        <f t="shared" ca="1" si="196"/>
        <v>#N/A</v>
      </c>
      <c r="AL610" s="55" t="e">
        <f t="shared" ca="1" si="197"/>
        <v>#N/A</v>
      </c>
      <c r="AM610" s="55" t="e">
        <f t="shared" ca="1" si="198"/>
        <v>#N/A</v>
      </c>
    </row>
    <row r="611" spans="18:39">
      <c r="R611" s="55" t="e">
        <f ca="1"/>
        <v>#N/A</v>
      </c>
      <c r="S611" s="55" t="e">
        <f t="shared" ca="1" si="180"/>
        <v>#N/A</v>
      </c>
      <c r="T611" s="55" t="e">
        <f t="shared" ca="1" si="181"/>
        <v>#N/A</v>
      </c>
      <c r="U611" s="55" t="e">
        <f t="shared" ca="1" si="182"/>
        <v>#N/A</v>
      </c>
      <c r="V611" s="55" t="e">
        <f t="shared" ca="1" si="183"/>
        <v>#N/A</v>
      </c>
      <c r="W611" s="55" t="e">
        <f t="shared" ca="1" si="192"/>
        <v>#N/A</v>
      </c>
      <c r="X611" s="55" t="e">
        <f t="shared" ca="1" si="193"/>
        <v>#N/A</v>
      </c>
      <c r="Y611" s="55" t="e">
        <f t="shared" ca="1" si="194"/>
        <v>#N/A</v>
      </c>
      <c r="Z611" s="55" t="e">
        <f t="shared" ca="1" si="195"/>
        <v>#N/A</v>
      </c>
      <c r="AB611" t="e">
        <f t="shared" ca="1" si="191"/>
        <v>#N/A</v>
      </c>
      <c r="AC611" t="e">
        <f t="shared" ca="1" si="184"/>
        <v>#N/A</v>
      </c>
      <c r="AD611" t="e">
        <f t="shared" ca="1" si="185"/>
        <v>#N/A</v>
      </c>
      <c r="AE611" t="e">
        <f t="shared" ca="1" si="186"/>
        <v>#N/A</v>
      </c>
      <c r="AF611" s="83" t="e">
        <f ca="1"/>
        <v>#N/A</v>
      </c>
      <c r="AG611" s="55" t="e">
        <f t="shared" ca="1" si="187"/>
        <v>#N/A</v>
      </c>
      <c r="AH611" s="55" t="e">
        <f t="shared" ca="1" si="188"/>
        <v>#N/A</v>
      </c>
      <c r="AI611" s="55" t="e">
        <f t="shared" ca="1" si="189"/>
        <v>#N/A</v>
      </c>
      <c r="AJ611" s="55" t="e">
        <f t="shared" ca="1" si="190"/>
        <v>#N/A</v>
      </c>
      <c r="AK611" s="55" t="e">
        <f t="shared" ca="1" si="196"/>
        <v>#N/A</v>
      </c>
      <c r="AL611" s="55" t="e">
        <f t="shared" ca="1" si="197"/>
        <v>#N/A</v>
      </c>
      <c r="AM611" s="55" t="e">
        <f t="shared" ca="1" si="198"/>
        <v>#N/A</v>
      </c>
    </row>
    <row r="612" spans="18:39">
      <c r="R612" s="55" t="e">
        <f ca="1"/>
        <v>#N/A</v>
      </c>
      <c r="S612" s="55" t="e">
        <f t="shared" ca="1" si="180"/>
        <v>#N/A</v>
      </c>
      <c r="T612" s="55" t="e">
        <f t="shared" ca="1" si="181"/>
        <v>#N/A</v>
      </c>
      <c r="U612" s="55" t="e">
        <f t="shared" ca="1" si="182"/>
        <v>#N/A</v>
      </c>
      <c r="V612" s="55" t="e">
        <f t="shared" ca="1" si="183"/>
        <v>#N/A</v>
      </c>
      <c r="W612" s="55" t="e">
        <f t="shared" ca="1" si="192"/>
        <v>#N/A</v>
      </c>
      <c r="X612" s="55" t="e">
        <f t="shared" ca="1" si="193"/>
        <v>#N/A</v>
      </c>
      <c r="Y612" s="55" t="e">
        <f t="shared" ca="1" si="194"/>
        <v>#N/A</v>
      </c>
      <c r="Z612" s="55" t="e">
        <f t="shared" ca="1" si="195"/>
        <v>#N/A</v>
      </c>
      <c r="AB612" t="e">
        <f t="shared" ca="1" si="191"/>
        <v>#N/A</v>
      </c>
      <c r="AC612" t="e">
        <f t="shared" ca="1" si="184"/>
        <v>#N/A</v>
      </c>
      <c r="AD612" t="e">
        <f t="shared" ca="1" si="185"/>
        <v>#N/A</v>
      </c>
      <c r="AE612" t="e">
        <f t="shared" ca="1" si="186"/>
        <v>#N/A</v>
      </c>
      <c r="AF612" s="83" t="e">
        <f ca="1"/>
        <v>#N/A</v>
      </c>
      <c r="AG612" s="55" t="e">
        <f t="shared" ca="1" si="187"/>
        <v>#N/A</v>
      </c>
      <c r="AH612" s="55" t="e">
        <f t="shared" ca="1" si="188"/>
        <v>#N/A</v>
      </c>
      <c r="AI612" s="55" t="e">
        <f t="shared" ca="1" si="189"/>
        <v>#N/A</v>
      </c>
      <c r="AJ612" s="55" t="e">
        <f t="shared" ca="1" si="190"/>
        <v>#N/A</v>
      </c>
      <c r="AK612" s="55" t="e">
        <f t="shared" ca="1" si="196"/>
        <v>#N/A</v>
      </c>
      <c r="AL612" s="55" t="e">
        <f t="shared" ca="1" si="197"/>
        <v>#N/A</v>
      </c>
      <c r="AM612" s="55" t="e">
        <f t="shared" ca="1" si="198"/>
        <v>#N/A</v>
      </c>
    </row>
    <row r="613" spans="18:39">
      <c r="R613" s="55" t="e">
        <f ca="1"/>
        <v>#N/A</v>
      </c>
      <c r="S613" s="55" t="e">
        <f t="shared" ca="1" si="180"/>
        <v>#N/A</v>
      </c>
      <c r="T613" s="55" t="e">
        <f t="shared" ca="1" si="181"/>
        <v>#N/A</v>
      </c>
      <c r="U613" s="55" t="e">
        <f t="shared" ca="1" si="182"/>
        <v>#N/A</v>
      </c>
      <c r="V613" s="55" t="e">
        <f t="shared" ca="1" si="183"/>
        <v>#N/A</v>
      </c>
      <c r="W613" s="55" t="e">
        <f t="shared" ca="1" si="192"/>
        <v>#N/A</v>
      </c>
      <c r="X613" s="55" t="e">
        <f t="shared" ca="1" si="193"/>
        <v>#N/A</v>
      </c>
      <c r="Y613" s="55" t="e">
        <f t="shared" ca="1" si="194"/>
        <v>#N/A</v>
      </c>
      <c r="Z613" s="55" t="e">
        <f t="shared" ca="1" si="195"/>
        <v>#N/A</v>
      </c>
      <c r="AB613" t="e">
        <f t="shared" ca="1" si="191"/>
        <v>#N/A</v>
      </c>
      <c r="AC613" t="e">
        <f t="shared" ca="1" si="184"/>
        <v>#N/A</v>
      </c>
      <c r="AD613" t="e">
        <f t="shared" ca="1" si="185"/>
        <v>#N/A</v>
      </c>
      <c r="AE613" t="e">
        <f t="shared" ca="1" si="186"/>
        <v>#N/A</v>
      </c>
      <c r="AF613" s="83" t="e">
        <f ca="1"/>
        <v>#N/A</v>
      </c>
      <c r="AG613" s="55" t="e">
        <f t="shared" ca="1" si="187"/>
        <v>#N/A</v>
      </c>
      <c r="AH613" s="55" t="e">
        <f t="shared" ca="1" si="188"/>
        <v>#N/A</v>
      </c>
      <c r="AI613" s="55" t="e">
        <f t="shared" ca="1" si="189"/>
        <v>#N/A</v>
      </c>
      <c r="AJ613" s="55" t="e">
        <f t="shared" ca="1" si="190"/>
        <v>#N/A</v>
      </c>
      <c r="AK613" s="55" t="e">
        <f t="shared" ca="1" si="196"/>
        <v>#N/A</v>
      </c>
      <c r="AL613" s="55" t="e">
        <f t="shared" ca="1" si="197"/>
        <v>#N/A</v>
      </c>
      <c r="AM613" s="55" t="e">
        <f t="shared" ca="1" si="198"/>
        <v>#N/A</v>
      </c>
    </row>
    <row r="614" spans="18:39">
      <c r="R614" s="55" t="e">
        <f ca="1"/>
        <v>#N/A</v>
      </c>
      <c r="S614" s="55" t="e">
        <f t="shared" ca="1" si="180"/>
        <v>#N/A</v>
      </c>
      <c r="T614" s="55" t="e">
        <f t="shared" ca="1" si="181"/>
        <v>#N/A</v>
      </c>
      <c r="U614" s="55" t="e">
        <f t="shared" ca="1" si="182"/>
        <v>#N/A</v>
      </c>
      <c r="V614" s="55" t="e">
        <f t="shared" ca="1" si="183"/>
        <v>#N/A</v>
      </c>
      <c r="W614" s="55" t="e">
        <f t="shared" ca="1" si="192"/>
        <v>#N/A</v>
      </c>
      <c r="X614" s="55" t="e">
        <f t="shared" ca="1" si="193"/>
        <v>#N/A</v>
      </c>
      <c r="Y614" s="55" t="e">
        <f t="shared" ca="1" si="194"/>
        <v>#N/A</v>
      </c>
      <c r="Z614" s="55" t="e">
        <f t="shared" ca="1" si="195"/>
        <v>#N/A</v>
      </c>
      <c r="AB614" t="e">
        <f t="shared" ca="1" si="191"/>
        <v>#N/A</v>
      </c>
      <c r="AC614" t="e">
        <f t="shared" ca="1" si="184"/>
        <v>#N/A</v>
      </c>
      <c r="AD614" t="e">
        <f t="shared" ca="1" si="185"/>
        <v>#N/A</v>
      </c>
      <c r="AE614" t="e">
        <f t="shared" ca="1" si="186"/>
        <v>#N/A</v>
      </c>
      <c r="AF614" s="83" t="e">
        <f ca="1"/>
        <v>#N/A</v>
      </c>
      <c r="AG614" s="55" t="e">
        <f t="shared" ca="1" si="187"/>
        <v>#N/A</v>
      </c>
      <c r="AH614" s="55" t="e">
        <f t="shared" ca="1" si="188"/>
        <v>#N/A</v>
      </c>
      <c r="AI614" s="55" t="e">
        <f t="shared" ca="1" si="189"/>
        <v>#N/A</v>
      </c>
      <c r="AJ614" s="55" t="e">
        <f t="shared" ca="1" si="190"/>
        <v>#N/A</v>
      </c>
      <c r="AK614" s="55" t="e">
        <f t="shared" ca="1" si="196"/>
        <v>#N/A</v>
      </c>
      <c r="AL614" s="55" t="e">
        <f t="shared" ca="1" si="197"/>
        <v>#N/A</v>
      </c>
      <c r="AM614" s="55" t="e">
        <f t="shared" ca="1" si="198"/>
        <v>#N/A</v>
      </c>
    </row>
    <row r="615" spans="18:39">
      <c r="R615" s="55" t="e">
        <f ca="1"/>
        <v>#N/A</v>
      </c>
      <c r="S615" s="55" t="e">
        <f t="shared" ca="1" si="180"/>
        <v>#N/A</v>
      </c>
      <c r="T615" s="55" t="e">
        <f t="shared" ca="1" si="181"/>
        <v>#N/A</v>
      </c>
      <c r="U615" s="55" t="e">
        <f t="shared" ca="1" si="182"/>
        <v>#N/A</v>
      </c>
      <c r="V615" s="55" t="e">
        <f t="shared" ca="1" si="183"/>
        <v>#N/A</v>
      </c>
      <c r="W615" s="55" t="e">
        <f t="shared" ca="1" si="192"/>
        <v>#N/A</v>
      </c>
      <c r="X615" s="55" t="e">
        <f t="shared" ca="1" si="193"/>
        <v>#N/A</v>
      </c>
      <c r="Y615" s="55" t="e">
        <f t="shared" ca="1" si="194"/>
        <v>#N/A</v>
      </c>
      <c r="Z615" s="55" t="e">
        <f t="shared" ca="1" si="195"/>
        <v>#N/A</v>
      </c>
      <c r="AB615" t="e">
        <f t="shared" ca="1" si="191"/>
        <v>#N/A</v>
      </c>
      <c r="AC615" t="e">
        <f t="shared" ca="1" si="184"/>
        <v>#N/A</v>
      </c>
      <c r="AD615" t="e">
        <f t="shared" ca="1" si="185"/>
        <v>#N/A</v>
      </c>
      <c r="AE615" t="e">
        <f t="shared" ca="1" si="186"/>
        <v>#N/A</v>
      </c>
      <c r="AF615" s="83" t="e">
        <f ca="1"/>
        <v>#N/A</v>
      </c>
      <c r="AG615" s="55" t="e">
        <f t="shared" ca="1" si="187"/>
        <v>#N/A</v>
      </c>
      <c r="AH615" s="55" t="e">
        <f t="shared" ca="1" si="188"/>
        <v>#N/A</v>
      </c>
      <c r="AI615" s="55" t="e">
        <f t="shared" ca="1" si="189"/>
        <v>#N/A</v>
      </c>
      <c r="AJ615" s="55" t="e">
        <f t="shared" ca="1" si="190"/>
        <v>#N/A</v>
      </c>
      <c r="AK615" s="55" t="e">
        <f t="shared" ca="1" si="196"/>
        <v>#N/A</v>
      </c>
      <c r="AL615" s="55" t="e">
        <f t="shared" ca="1" si="197"/>
        <v>#N/A</v>
      </c>
      <c r="AM615" s="55" t="e">
        <f t="shared" ca="1" si="198"/>
        <v>#N/A</v>
      </c>
    </row>
    <row r="616" spans="18:39">
      <c r="R616" s="55" t="e">
        <f ca="1"/>
        <v>#N/A</v>
      </c>
      <c r="S616" s="55" t="e">
        <f t="shared" ca="1" si="180"/>
        <v>#N/A</v>
      </c>
      <c r="T616" s="55" t="e">
        <f t="shared" ca="1" si="181"/>
        <v>#N/A</v>
      </c>
      <c r="U616" s="55" t="e">
        <f t="shared" ca="1" si="182"/>
        <v>#N/A</v>
      </c>
      <c r="V616" s="55" t="e">
        <f t="shared" ca="1" si="183"/>
        <v>#N/A</v>
      </c>
      <c r="W616" s="55" t="e">
        <f t="shared" ca="1" si="192"/>
        <v>#N/A</v>
      </c>
      <c r="X616" s="55" t="e">
        <f t="shared" ca="1" si="193"/>
        <v>#N/A</v>
      </c>
      <c r="Y616" s="55" t="e">
        <f t="shared" ca="1" si="194"/>
        <v>#N/A</v>
      </c>
      <c r="Z616" s="55" t="e">
        <f t="shared" ca="1" si="195"/>
        <v>#N/A</v>
      </c>
      <c r="AB616" t="e">
        <f t="shared" ca="1" si="191"/>
        <v>#N/A</v>
      </c>
      <c r="AC616" t="e">
        <f t="shared" ca="1" si="184"/>
        <v>#N/A</v>
      </c>
      <c r="AD616" t="e">
        <f t="shared" ca="1" si="185"/>
        <v>#N/A</v>
      </c>
      <c r="AE616" t="e">
        <f t="shared" ca="1" si="186"/>
        <v>#N/A</v>
      </c>
      <c r="AF616" s="83" t="e">
        <f ca="1"/>
        <v>#N/A</v>
      </c>
      <c r="AG616" s="55" t="e">
        <f t="shared" ca="1" si="187"/>
        <v>#N/A</v>
      </c>
      <c r="AH616" s="55" t="e">
        <f t="shared" ca="1" si="188"/>
        <v>#N/A</v>
      </c>
      <c r="AI616" s="55" t="e">
        <f t="shared" ca="1" si="189"/>
        <v>#N/A</v>
      </c>
      <c r="AJ616" s="55" t="e">
        <f t="shared" ca="1" si="190"/>
        <v>#N/A</v>
      </c>
      <c r="AK616" s="55" t="e">
        <f t="shared" ca="1" si="196"/>
        <v>#N/A</v>
      </c>
      <c r="AL616" s="55" t="e">
        <f t="shared" ca="1" si="197"/>
        <v>#N/A</v>
      </c>
      <c r="AM616" s="55" t="e">
        <f t="shared" ca="1" si="198"/>
        <v>#N/A</v>
      </c>
    </row>
    <row r="617" spans="18:39">
      <c r="R617" s="55" t="e">
        <f ca="1"/>
        <v>#N/A</v>
      </c>
      <c r="S617" s="55" t="e">
        <f t="shared" ca="1" si="180"/>
        <v>#N/A</v>
      </c>
      <c r="T617" s="55" t="e">
        <f t="shared" ca="1" si="181"/>
        <v>#N/A</v>
      </c>
      <c r="U617" s="55" t="e">
        <f t="shared" ca="1" si="182"/>
        <v>#N/A</v>
      </c>
      <c r="V617" s="55" t="e">
        <f t="shared" ca="1" si="183"/>
        <v>#N/A</v>
      </c>
      <c r="W617" s="55" t="e">
        <f t="shared" ca="1" si="192"/>
        <v>#N/A</v>
      </c>
      <c r="X617" s="55" t="e">
        <f t="shared" ca="1" si="193"/>
        <v>#N/A</v>
      </c>
      <c r="Y617" s="55" t="e">
        <f t="shared" ca="1" si="194"/>
        <v>#N/A</v>
      </c>
      <c r="Z617" s="55" t="e">
        <f t="shared" ca="1" si="195"/>
        <v>#N/A</v>
      </c>
      <c r="AB617" t="e">
        <f t="shared" ca="1" si="191"/>
        <v>#N/A</v>
      </c>
      <c r="AC617" t="e">
        <f t="shared" ca="1" si="184"/>
        <v>#N/A</v>
      </c>
      <c r="AD617" t="e">
        <f t="shared" ca="1" si="185"/>
        <v>#N/A</v>
      </c>
      <c r="AE617" t="e">
        <f t="shared" ca="1" si="186"/>
        <v>#N/A</v>
      </c>
      <c r="AF617" s="83" t="e">
        <f ca="1"/>
        <v>#N/A</v>
      </c>
      <c r="AG617" s="55" t="e">
        <f t="shared" ca="1" si="187"/>
        <v>#N/A</v>
      </c>
      <c r="AH617" s="55" t="e">
        <f t="shared" ca="1" si="188"/>
        <v>#N/A</v>
      </c>
      <c r="AI617" s="55" t="e">
        <f t="shared" ca="1" si="189"/>
        <v>#N/A</v>
      </c>
      <c r="AJ617" s="55" t="e">
        <f t="shared" ca="1" si="190"/>
        <v>#N/A</v>
      </c>
      <c r="AK617" s="55" t="e">
        <f t="shared" ca="1" si="196"/>
        <v>#N/A</v>
      </c>
      <c r="AL617" s="55" t="e">
        <f t="shared" ca="1" si="197"/>
        <v>#N/A</v>
      </c>
      <c r="AM617" s="55" t="e">
        <f t="shared" ca="1" si="198"/>
        <v>#N/A</v>
      </c>
    </row>
    <row r="618" spans="18:39">
      <c r="R618" s="55" t="e">
        <f ca="1"/>
        <v>#N/A</v>
      </c>
      <c r="S618" s="55" t="e">
        <f t="shared" ca="1" si="180"/>
        <v>#N/A</v>
      </c>
      <c r="T618" s="55" t="e">
        <f t="shared" ca="1" si="181"/>
        <v>#N/A</v>
      </c>
      <c r="U618" s="55" t="e">
        <f t="shared" ca="1" si="182"/>
        <v>#N/A</v>
      </c>
      <c r="V618" s="55" t="e">
        <f t="shared" ca="1" si="183"/>
        <v>#N/A</v>
      </c>
      <c r="W618" s="55" t="e">
        <f t="shared" ca="1" si="192"/>
        <v>#N/A</v>
      </c>
      <c r="X618" s="55" t="e">
        <f t="shared" ca="1" si="193"/>
        <v>#N/A</v>
      </c>
      <c r="Y618" s="55" t="e">
        <f t="shared" ca="1" si="194"/>
        <v>#N/A</v>
      </c>
      <c r="Z618" s="55" t="e">
        <f t="shared" ca="1" si="195"/>
        <v>#N/A</v>
      </c>
      <c r="AB618" t="e">
        <f t="shared" ca="1" si="191"/>
        <v>#N/A</v>
      </c>
      <c r="AC618" t="e">
        <f t="shared" ca="1" si="184"/>
        <v>#N/A</v>
      </c>
      <c r="AD618" t="e">
        <f t="shared" ca="1" si="185"/>
        <v>#N/A</v>
      </c>
      <c r="AE618" t="e">
        <f t="shared" ca="1" si="186"/>
        <v>#N/A</v>
      </c>
      <c r="AF618" s="83" t="e">
        <f ca="1"/>
        <v>#N/A</v>
      </c>
      <c r="AG618" s="55" t="e">
        <f t="shared" ca="1" si="187"/>
        <v>#N/A</v>
      </c>
      <c r="AH618" s="55" t="e">
        <f t="shared" ca="1" si="188"/>
        <v>#N/A</v>
      </c>
      <c r="AI618" s="55" t="e">
        <f t="shared" ca="1" si="189"/>
        <v>#N/A</v>
      </c>
      <c r="AJ618" s="55" t="e">
        <f t="shared" ca="1" si="190"/>
        <v>#N/A</v>
      </c>
      <c r="AK618" s="55" t="e">
        <f t="shared" ca="1" si="196"/>
        <v>#N/A</v>
      </c>
      <c r="AL618" s="55" t="e">
        <f t="shared" ca="1" si="197"/>
        <v>#N/A</v>
      </c>
      <c r="AM618" s="55" t="e">
        <f t="shared" ca="1" si="198"/>
        <v>#N/A</v>
      </c>
    </row>
    <row r="619" spans="18:39">
      <c r="R619" s="55" t="e">
        <f ca="1"/>
        <v>#N/A</v>
      </c>
      <c r="S619" s="55" t="e">
        <f t="shared" ca="1" si="180"/>
        <v>#N/A</v>
      </c>
      <c r="T619" s="55" t="e">
        <f t="shared" ca="1" si="181"/>
        <v>#N/A</v>
      </c>
      <c r="U619" s="55" t="e">
        <f t="shared" ca="1" si="182"/>
        <v>#N/A</v>
      </c>
      <c r="V619" s="55" t="e">
        <f t="shared" ca="1" si="183"/>
        <v>#N/A</v>
      </c>
      <c r="W619" s="55" t="e">
        <f t="shared" ca="1" si="192"/>
        <v>#N/A</v>
      </c>
      <c r="X619" s="55" t="e">
        <f t="shared" ca="1" si="193"/>
        <v>#N/A</v>
      </c>
      <c r="Y619" s="55" t="e">
        <f t="shared" ca="1" si="194"/>
        <v>#N/A</v>
      </c>
      <c r="Z619" s="55" t="e">
        <f t="shared" ca="1" si="195"/>
        <v>#N/A</v>
      </c>
      <c r="AB619" t="e">
        <f t="shared" ca="1" si="191"/>
        <v>#N/A</v>
      </c>
      <c r="AC619" t="e">
        <f t="shared" ca="1" si="184"/>
        <v>#N/A</v>
      </c>
      <c r="AD619" t="e">
        <f t="shared" ca="1" si="185"/>
        <v>#N/A</v>
      </c>
      <c r="AE619" t="e">
        <f t="shared" ca="1" si="186"/>
        <v>#N/A</v>
      </c>
      <c r="AF619" s="83" t="e">
        <f ca="1"/>
        <v>#N/A</v>
      </c>
      <c r="AG619" s="55" t="e">
        <f t="shared" ca="1" si="187"/>
        <v>#N/A</v>
      </c>
      <c r="AH619" s="55" t="e">
        <f t="shared" ca="1" si="188"/>
        <v>#N/A</v>
      </c>
      <c r="AI619" s="55" t="e">
        <f t="shared" ca="1" si="189"/>
        <v>#N/A</v>
      </c>
      <c r="AJ619" s="55" t="e">
        <f t="shared" ca="1" si="190"/>
        <v>#N/A</v>
      </c>
      <c r="AK619" s="55" t="e">
        <f t="shared" ca="1" si="196"/>
        <v>#N/A</v>
      </c>
      <c r="AL619" s="55" t="e">
        <f t="shared" ca="1" si="197"/>
        <v>#N/A</v>
      </c>
      <c r="AM619" s="55" t="e">
        <f t="shared" ca="1" si="198"/>
        <v>#N/A</v>
      </c>
    </row>
    <row r="620" spans="18:39">
      <c r="R620" s="55" t="e">
        <f ca="1"/>
        <v>#N/A</v>
      </c>
      <c r="S620" s="55" t="e">
        <f t="shared" ca="1" si="180"/>
        <v>#N/A</v>
      </c>
      <c r="T620" s="55" t="e">
        <f t="shared" ca="1" si="181"/>
        <v>#N/A</v>
      </c>
      <c r="U620" s="55" t="e">
        <f t="shared" ca="1" si="182"/>
        <v>#N/A</v>
      </c>
      <c r="V620" s="55" t="e">
        <f t="shared" ca="1" si="183"/>
        <v>#N/A</v>
      </c>
      <c r="W620" s="55" t="e">
        <f t="shared" ca="1" si="192"/>
        <v>#N/A</v>
      </c>
      <c r="X620" s="55" t="e">
        <f t="shared" ca="1" si="193"/>
        <v>#N/A</v>
      </c>
      <c r="Y620" s="55" t="e">
        <f t="shared" ca="1" si="194"/>
        <v>#N/A</v>
      </c>
      <c r="Z620" s="55" t="e">
        <f t="shared" ca="1" si="195"/>
        <v>#N/A</v>
      </c>
      <c r="AB620" t="e">
        <f t="shared" ca="1" si="191"/>
        <v>#N/A</v>
      </c>
      <c r="AC620" t="e">
        <f t="shared" ca="1" si="184"/>
        <v>#N/A</v>
      </c>
      <c r="AD620" t="e">
        <f t="shared" ca="1" si="185"/>
        <v>#N/A</v>
      </c>
      <c r="AE620" t="e">
        <f t="shared" ca="1" si="186"/>
        <v>#N/A</v>
      </c>
      <c r="AF620" s="83" t="e">
        <f ca="1"/>
        <v>#N/A</v>
      </c>
      <c r="AG620" s="55" t="e">
        <f t="shared" ca="1" si="187"/>
        <v>#N/A</v>
      </c>
      <c r="AH620" s="55" t="e">
        <f t="shared" ca="1" si="188"/>
        <v>#N/A</v>
      </c>
      <c r="AI620" s="55" t="e">
        <f t="shared" ca="1" si="189"/>
        <v>#N/A</v>
      </c>
      <c r="AJ620" s="55" t="e">
        <f t="shared" ca="1" si="190"/>
        <v>#N/A</v>
      </c>
      <c r="AK620" s="55" t="e">
        <f t="shared" ca="1" si="196"/>
        <v>#N/A</v>
      </c>
      <c r="AL620" s="55" t="e">
        <f t="shared" ca="1" si="197"/>
        <v>#N/A</v>
      </c>
      <c r="AM620" s="55" t="e">
        <f t="shared" ca="1" si="198"/>
        <v>#N/A</v>
      </c>
    </row>
    <row r="621" spans="18:39">
      <c r="R621" s="55" t="e">
        <f ca="1"/>
        <v>#N/A</v>
      </c>
      <c r="S621" s="55" t="e">
        <f t="shared" ca="1" si="180"/>
        <v>#N/A</v>
      </c>
      <c r="T621" s="55" t="e">
        <f t="shared" ca="1" si="181"/>
        <v>#N/A</v>
      </c>
      <c r="U621" s="55" t="e">
        <f t="shared" ca="1" si="182"/>
        <v>#N/A</v>
      </c>
      <c r="V621" s="55" t="e">
        <f t="shared" ca="1" si="183"/>
        <v>#N/A</v>
      </c>
      <c r="W621" s="55" t="e">
        <f t="shared" ca="1" si="192"/>
        <v>#N/A</v>
      </c>
      <c r="X621" s="55" t="e">
        <f t="shared" ca="1" si="193"/>
        <v>#N/A</v>
      </c>
      <c r="Y621" s="55" t="e">
        <f t="shared" ca="1" si="194"/>
        <v>#N/A</v>
      </c>
      <c r="Z621" s="55" t="e">
        <f t="shared" ca="1" si="195"/>
        <v>#N/A</v>
      </c>
      <c r="AB621" t="e">
        <f t="shared" ca="1" si="191"/>
        <v>#N/A</v>
      </c>
      <c r="AC621" t="e">
        <f t="shared" ca="1" si="184"/>
        <v>#N/A</v>
      </c>
      <c r="AD621" t="e">
        <f t="shared" ca="1" si="185"/>
        <v>#N/A</v>
      </c>
      <c r="AE621" t="e">
        <f t="shared" ca="1" si="186"/>
        <v>#N/A</v>
      </c>
      <c r="AF621" s="83" t="e">
        <f ca="1"/>
        <v>#N/A</v>
      </c>
      <c r="AG621" s="55" t="e">
        <f t="shared" ca="1" si="187"/>
        <v>#N/A</v>
      </c>
      <c r="AH621" s="55" t="e">
        <f t="shared" ca="1" si="188"/>
        <v>#N/A</v>
      </c>
      <c r="AI621" s="55" t="e">
        <f t="shared" ca="1" si="189"/>
        <v>#N/A</v>
      </c>
      <c r="AJ621" s="55" t="e">
        <f t="shared" ca="1" si="190"/>
        <v>#N/A</v>
      </c>
      <c r="AK621" s="55" t="e">
        <f t="shared" ca="1" si="196"/>
        <v>#N/A</v>
      </c>
      <c r="AL621" s="55" t="e">
        <f t="shared" ca="1" si="197"/>
        <v>#N/A</v>
      </c>
      <c r="AM621" s="55" t="e">
        <f t="shared" ca="1" si="198"/>
        <v>#N/A</v>
      </c>
    </row>
    <row r="622" spans="18:39">
      <c r="R622" s="55" t="e">
        <f ca="1"/>
        <v>#N/A</v>
      </c>
      <c r="S622" s="55" t="e">
        <f t="shared" ca="1" si="180"/>
        <v>#N/A</v>
      </c>
      <c r="T622" s="55" t="e">
        <f t="shared" ca="1" si="181"/>
        <v>#N/A</v>
      </c>
      <c r="U622" s="55" t="e">
        <f t="shared" ca="1" si="182"/>
        <v>#N/A</v>
      </c>
      <c r="V622" s="55" t="e">
        <f t="shared" ca="1" si="183"/>
        <v>#N/A</v>
      </c>
      <c r="W622" s="55" t="e">
        <f t="shared" ca="1" si="192"/>
        <v>#N/A</v>
      </c>
      <c r="X622" s="55" t="e">
        <f t="shared" ca="1" si="193"/>
        <v>#N/A</v>
      </c>
      <c r="Y622" s="55" t="e">
        <f t="shared" ca="1" si="194"/>
        <v>#N/A</v>
      </c>
      <c r="Z622" s="55" t="e">
        <f t="shared" ca="1" si="195"/>
        <v>#N/A</v>
      </c>
      <c r="AB622" t="e">
        <f t="shared" ca="1" si="191"/>
        <v>#N/A</v>
      </c>
      <c r="AC622" t="e">
        <f t="shared" ca="1" si="184"/>
        <v>#N/A</v>
      </c>
      <c r="AD622" t="e">
        <f t="shared" ca="1" si="185"/>
        <v>#N/A</v>
      </c>
      <c r="AE622" t="e">
        <f t="shared" ca="1" si="186"/>
        <v>#N/A</v>
      </c>
      <c r="AF622" s="83" t="e">
        <f ca="1"/>
        <v>#N/A</v>
      </c>
      <c r="AG622" s="55" t="e">
        <f t="shared" ca="1" si="187"/>
        <v>#N/A</v>
      </c>
      <c r="AH622" s="55" t="e">
        <f t="shared" ca="1" si="188"/>
        <v>#N/A</v>
      </c>
      <c r="AI622" s="55" t="e">
        <f t="shared" ca="1" si="189"/>
        <v>#N/A</v>
      </c>
      <c r="AJ622" s="55" t="e">
        <f t="shared" ca="1" si="190"/>
        <v>#N/A</v>
      </c>
      <c r="AK622" s="55" t="e">
        <f t="shared" ca="1" si="196"/>
        <v>#N/A</v>
      </c>
      <c r="AL622" s="55" t="e">
        <f t="shared" ca="1" si="197"/>
        <v>#N/A</v>
      </c>
      <c r="AM622" s="55" t="e">
        <f t="shared" ca="1" si="198"/>
        <v>#N/A</v>
      </c>
    </row>
    <row r="623" spans="18:39">
      <c r="R623" s="55" t="e">
        <f ca="1"/>
        <v>#N/A</v>
      </c>
      <c r="S623" s="55" t="e">
        <f t="shared" ca="1" si="180"/>
        <v>#N/A</v>
      </c>
      <c r="T623" s="55" t="e">
        <f t="shared" ca="1" si="181"/>
        <v>#N/A</v>
      </c>
      <c r="U623" s="55" t="e">
        <f t="shared" ca="1" si="182"/>
        <v>#N/A</v>
      </c>
      <c r="V623" s="55" t="e">
        <f t="shared" ca="1" si="183"/>
        <v>#N/A</v>
      </c>
      <c r="W623" s="55" t="e">
        <f t="shared" ca="1" si="192"/>
        <v>#N/A</v>
      </c>
      <c r="X623" s="55" t="e">
        <f t="shared" ca="1" si="193"/>
        <v>#N/A</v>
      </c>
      <c r="Y623" s="55" t="e">
        <f t="shared" ca="1" si="194"/>
        <v>#N/A</v>
      </c>
      <c r="Z623" s="55" t="e">
        <f t="shared" ca="1" si="195"/>
        <v>#N/A</v>
      </c>
      <c r="AB623" t="e">
        <f t="shared" ca="1" si="191"/>
        <v>#N/A</v>
      </c>
      <c r="AC623" t="e">
        <f t="shared" ca="1" si="184"/>
        <v>#N/A</v>
      </c>
      <c r="AD623" t="e">
        <f t="shared" ca="1" si="185"/>
        <v>#N/A</v>
      </c>
      <c r="AE623" t="e">
        <f t="shared" ca="1" si="186"/>
        <v>#N/A</v>
      </c>
      <c r="AF623" s="83" t="e">
        <f ca="1"/>
        <v>#N/A</v>
      </c>
      <c r="AG623" s="55" t="e">
        <f t="shared" ca="1" si="187"/>
        <v>#N/A</v>
      </c>
      <c r="AH623" s="55" t="e">
        <f t="shared" ca="1" si="188"/>
        <v>#N/A</v>
      </c>
      <c r="AI623" s="55" t="e">
        <f t="shared" ca="1" si="189"/>
        <v>#N/A</v>
      </c>
      <c r="AJ623" s="55" t="e">
        <f t="shared" ca="1" si="190"/>
        <v>#N/A</v>
      </c>
      <c r="AK623" s="55" t="e">
        <f t="shared" ca="1" si="196"/>
        <v>#N/A</v>
      </c>
      <c r="AL623" s="55" t="e">
        <f t="shared" ca="1" si="197"/>
        <v>#N/A</v>
      </c>
      <c r="AM623" s="55" t="e">
        <f t="shared" ca="1" si="198"/>
        <v>#N/A</v>
      </c>
    </row>
    <row r="624" spans="18:39">
      <c r="R624" s="55" t="e">
        <f ca="1"/>
        <v>#N/A</v>
      </c>
      <c r="S624" s="55" t="e">
        <f t="shared" ca="1" si="180"/>
        <v>#N/A</v>
      </c>
      <c r="T624" s="55" t="e">
        <f t="shared" ca="1" si="181"/>
        <v>#N/A</v>
      </c>
      <c r="U624" s="55" t="e">
        <f t="shared" ca="1" si="182"/>
        <v>#N/A</v>
      </c>
      <c r="V624" s="55" t="e">
        <f t="shared" ca="1" si="183"/>
        <v>#N/A</v>
      </c>
      <c r="W624" s="55" t="e">
        <f t="shared" ca="1" si="192"/>
        <v>#N/A</v>
      </c>
      <c r="X624" s="55" t="e">
        <f t="shared" ca="1" si="193"/>
        <v>#N/A</v>
      </c>
      <c r="Y624" s="55" t="e">
        <f t="shared" ca="1" si="194"/>
        <v>#N/A</v>
      </c>
      <c r="Z624" s="55" t="e">
        <f t="shared" ca="1" si="195"/>
        <v>#N/A</v>
      </c>
      <c r="AB624" t="e">
        <f t="shared" ca="1" si="191"/>
        <v>#N/A</v>
      </c>
      <c r="AC624" t="e">
        <f t="shared" ca="1" si="184"/>
        <v>#N/A</v>
      </c>
      <c r="AD624" t="e">
        <f t="shared" ca="1" si="185"/>
        <v>#N/A</v>
      </c>
      <c r="AE624" t="e">
        <f t="shared" ca="1" si="186"/>
        <v>#N/A</v>
      </c>
      <c r="AF624" s="83" t="e">
        <f ca="1"/>
        <v>#N/A</v>
      </c>
      <c r="AG624" s="55" t="e">
        <f t="shared" ca="1" si="187"/>
        <v>#N/A</v>
      </c>
      <c r="AH624" s="55" t="e">
        <f t="shared" ca="1" si="188"/>
        <v>#N/A</v>
      </c>
      <c r="AI624" s="55" t="e">
        <f t="shared" ca="1" si="189"/>
        <v>#N/A</v>
      </c>
      <c r="AJ624" s="55" t="e">
        <f t="shared" ca="1" si="190"/>
        <v>#N/A</v>
      </c>
      <c r="AK624" s="55" t="e">
        <f t="shared" ca="1" si="196"/>
        <v>#N/A</v>
      </c>
      <c r="AL624" s="55" t="e">
        <f t="shared" ca="1" si="197"/>
        <v>#N/A</v>
      </c>
      <c r="AM624" s="55" t="e">
        <f t="shared" ca="1" si="198"/>
        <v>#N/A</v>
      </c>
    </row>
    <row r="625" spans="18:39">
      <c r="R625" s="55" t="e">
        <f ca="1"/>
        <v>#N/A</v>
      </c>
      <c r="S625" s="55" t="e">
        <f t="shared" ca="1" si="180"/>
        <v>#N/A</v>
      </c>
      <c r="T625" s="55" t="e">
        <f t="shared" ca="1" si="181"/>
        <v>#N/A</v>
      </c>
      <c r="U625" s="55" t="e">
        <f t="shared" ca="1" si="182"/>
        <v>#N/A</v>
      </c>
      <c r="V625" s="55" t="e">
        <f t="shared" ca="1" si="183"/>
        <v>#N/A</v>
      </c>
      <c r="W625" s="55" t="e">
        <f t="shared" ca="1" si="192"/>
        <v>#N/A</v>
      </c>
      <c r="X625" s="55" t="e">
        <f t="shared" ca="1" si="193"/>
        <v>#N/A</v>
      </c>
      <c r="Y625" s="55" t="e">
        <f t="shared" ca="1" si="194"/>
        <v>#N/A</v>
      </c>
      <c r="Z625" s="55" t="e">
        <f t="shared" ca="1" si="195"/>
        <v>#N/A</v>
      </c>
      <c r="AB625" t="e">
        <f t="shared" ca="1" si="191"/>
        <v>#N/A</v>
      </c>
      <c r="AC625" t="e">
        <f t="shared" ca="1" si="184"/>
        <v>#N/A</v>
      </c>
      <c r="AD625" t="e">
        <f t="shared" ca="1" si="185"/>
        <v>#N/A</v>
      </c>
      <c r="AE625" t="e">
        <f t="shared" ca="1" si="186"/>
        <v>#N/A</v>
      </c>
      <c r="AF625" s="83" t="e">
        <f ca="1"/>
        <v>#N/A</v>
      </c>
      <c r="AG625" s="55" t="e">
        <f t="shared" ca="1" si="187"/>
        <v>#N/A</v>
      </c>
      <c r="AH625" s="55" t="e">
        <f t="shared" ca="1" si="188"/>
        <v>#N/A</v>
      </c>
      <c r="AI625" s="55" t="e">
        <f t="shared" ca="1" si="189"/>
        <v>#N/A</v>
      </c>
      <c r="AJ625" s="55" t="e">
        <f t="shared" ca="1" si="190"/>
        <v>#N/A</v>
      </c>
      <c r="AK625" s="55" t="e">
        <f t="shared" ca="1" si="196"/>
        <v>#N/A</v>
      </c>
      <c r="AL625" s="55" t="e">
        <f t="shared" ca="1" si="197"/>
        <v>#N/A</v>
      </c>
      <c r="AM625" s="55" t="e">
        <f t="shared" ca="1" si="198"/>
        <v>#N/A</v>
      </c>
    </row>
    <row r="626" spans="18:39">
      <c r="R626" s="55" t="e">
        <f ca="1"/>
        <v>#N/A</v>
      </c>
      <c r="S626" s="55" t="e">
        <f t="shared" ca="1" si="180"/>
        <v>#N/A</v>
      </c>
      <c r="T626" s="55" t="e">
        <f t="shared" ca="1" si="181"/>
        <v>#N/A</v>
      </c>
      <c r="U626" s="55" t="e">
        <f t="shared" ca="1" si="182"/>
        <v>#N/A</v>
      </c>
      <c r="V626" s="55" t="e">
        <f t="shared" ca="1" si="183"/>
        <v>#N/A</v>
      </c>
      <c r="W626" s="55" t="e">
        <f t="shared" ca="1" si="192"/>
        <v>#N/A</v>
      </c>
      <c r="X626" s="55" t="e">
        <f t="shared" ca="1" si="193"/>
        <v>#N/A</v>
      </c>
      <c r="Y626" s="55" t="e">
        <f t="shared" ca="1" si="194"/>
        <v>#N/A</v>
      </c>
      <c r="Z626" s="55" t="e">
        <f t="shared" ca="1" si="195"/>
        <v>#N/A</v>
      </c>
      <c r="AB626" t="e">
        <f t="shared" ca="1" si="191"/>
        <v>#N/A</v>
      </c>
      <c r="AC626" t="e">
        <f t="shared" ca="1" si="184"/>
        <v>#N/A</v>
      </c>
      <c r="AD626" t="e">
        <f t="shared" ca="1" si="185"/>
        <v>#N/A</v>
      </c>
      <c r="AE626" t="e">
        <f t="shared" ca="1" si="186"/>
        <v>#N/A</v>
      </c>
      <c r="AF626" s="83" t="e">
        <f ca="1"/>
        <v>#N/A</v>
      </c>
      <c r="AG626" s="55" t="e">
        <f t="shared" ca="1" si="187"/>
        <v>#N/A</v>
      </c>
      <c r="AH626" s="55" t="e">
        <f t="shared" ca="1" si="188"/>
        <v>#N/A</v>
      </c>
      <c r="AI626" s="55" t="e">
        <f t="shared" ca="1" si="189"/>
        <v>#N/A</v>
      </c>
      <c r="AJ626" s="55" t="e">
        <f t="shared" ca="1" si="190"/>
        <v>#N/A</v>
      </c>
      <c r="AK626" s="55" t="e">
        <f t="shared" ca="1" si="196"/>
        <v>#N/A</v>
      </c>
      <c r="AL626" s="55" t="e">
        <f t="shared" ca="1" si="197"/>
        <v>#N/A</v>
      </c>
      <c r="AM626" s="55" t="e">
        <f t="shared" ca="1" si="198"/>
        <v>#N/A</v>
      </c>
    </row>
    <row r="627" spans="18:39">
      <c r="R627" s="55" t="e">
        <f ca="1"/>
        <v>#N/A</v>
      </c>
      <c r="S627" s="55" t="e">
        <f t="shared" ca="1" si="180"/>
        <v>#N/A</v>
      </c>
      <c r="T627" s="55" t="e">
        <f t="shared" ca="1" si="181"/>
        <v>#N/A</v>
      </c>
      <c r="U627" s="55" t="e">
        <f t="shared" ca="1" si="182"/>
        <v>#N/A</v>
      </c>
      <c r="V627" s="55" t="e">
        <f t="shared" ca="1" si="183"/>
        <v>#N/A</v>
      </c>
      <c r="W627" s="55" t="e">
        <f t="shared" ca="1" si="192"/>
        <v>#N/A</v>
      </c>
      <c r="X627" s="55" t="e">
        <f t="shared" ca="1" si="193"/>
        <v>#N/A</v>
      </c>
      <c r="Y627" s="55" t="e">
        <f t="shared" ca="1" si="194"/>
        <v>#N/A</v>
      </c>
      <c r="Z627" s="55" t="e">
        <f t="shared" ca="1" si="195"/>
        <v>#N/A</v>
      </c>
      <c r="AB627" t="e">
        <f t="shared" ca="1" si="191"/>
        <v>#N/A</v>
      </c>
      <c r="AC627" t="e">
        <f t="shared" ca="1" si="184"/>
        <v>#N/A</v>
      </c>
      <c r="AD627" t="e">
        <f t="shared" ca="1" si="185"/>
        <v>#N/A</v>
      </c>
      <c r="AE627" t="e">
        <f t="shared" ca="1" si="186"/>
        <v>#N/A</v>
      </c>
      <c r="AF627" s="83" t="e">
        <f ca="1"/>
        <v>#N/A</v>
      </c>
      <c r="AG627" s="55" t="e">
        <f t="shared" ca="1" si="187"/>
        <v>#N/A</v>
      </c>
      <c r="AH627" s="55" t="e">
        <f t="shared" ca="1" si="188"/>
        <v>#N/A</v>
      </c>
      <c r="AI627" s="55" t="e">
        <f t="shared" ca="1" si="189"/>
        <v>#N/A</v>
      </c>
      <c r="AJ627" s="55" t="e">
        <f t="shared" ca="1" si="190"/>
        <v>#N/A</v>
      </c>
      <c r="AK627" s="55" t="e">
        <f t="shared" ca="1" si="196"/>
        <v>#N/A</v>
      </c>
      <c r="AL627" s="55" t="e">
        <f t="shared" ca="1" si="197"/>
        <v>#N/A</v>
      </c>
      <c r="AM627" s="55" t="e">
        <f t="shared" ca="1" si="198"/>
        <v>#N/A</v>
      </c>
    </row>
    <row r="628" spans="18:39">
      <c r="R628" s="55" t="e">
        <f ca="1"/>
        <v>#N/A</v>
      </c>
      <c r="S628" s="55" t="e">
        <f t="shared" ca="1" si="180"/>
        <v>#N/A</v>
      </c>
      <c r="T628" s="55" t="e">
        <f t="shared" ca="1" si="181"/>
        <v>#N/A</v>
      </c>
      <c r="U628" s="55" t="e">
        <f t="shared" ca="1" si="182"/>
        <v>#N/A</v>
      </c>
      <c r="V628" s="55" t="e">
        <f t="shared" ca="1" si="183"/>
        <v>#N/A</v>
      </c>
      <c r="W628" s="55" t="e">
        <f t="shared" ca="1" si="192"/>
        <v>#N/A</v>
      </c>
      <c r="X628" s="55" t="e">
        <f t="shared" ca="1" si="193"/>
        <v>#N/A</v>
      </c>
      <c r="Y628" s="55" t="e">
        <f t="shared" ca="1" si="194"/>
        <v>#N/A</v>
      </c>
      <c r="Z628" s="55" t="e">
        <f t="shared" ca="1" si="195"/>
        <v>#N/A</v>
      </c>
      <c r="AB628" t="e">
        <f t="shared" ca="1" si="191"/>
        <v>#N/A</v>
      </c>
      <c r="AC628" t="e">
        <f t="shared" ca="1" si="184"/>
        <v>#N/A</v>
      </c>
      <c r="AD628" t="e">
        <f t="shared" ca="1" si="185"/>
        <v>#N/A</v>
      </c>
      <c r="AE628" t="e">
        <f t="shared" ca="1" si="186"/>
        <v>#N/A</v>
      </c>
      <c r="AF628" s="83" t="e">
        <f ca="1"/>
        <v>#N/A</v>
      </c>
      <c r="AG628" s="55" t="e">
        <f t="shared" ca="1" si="187"/>
        <v>#N/A</v>
      </c>
      <c r="AH628" s="55" t="e">
        <f t="shared" ca="1" si="188"/>
        <v>#N/A</v>
      </c>
      <c r="AI628" s="55" t="e">
        <f t="shared" ca="1" si="189"/>
        <v>#N/A</v>
      </c>
      <c r="AJ628" s="55" t="e">
        <f t="shared" ca="1" si="190"/>
        <v>#N/A</v>
      </c>
      <c r="AK628" s="55" t="e">
        <f t="shared" ca="1" si="196"/>
        <v>#N/A</v>
      </c>
      <c r="AL628" s="55" t="e">
        <f t="shared" ca="1" si="197"/>
        <v>#N/A</v>
      </c>
      <c r="AM628" s="55" t="e">
        <f t="shared" ca="1" si="198"/>
        <v>#N/A</v>
      </c>
    </row>
    <row r="629" spans="18:39">
      <c r="R629" s="55" t="e">
        <f ca="1"/>
        <v>#N/A</v>
      </c>
      <c r="S629" s="55" t="e">
        <f t="shared" ca="1" si="180"/>
        <v>#N/A</v>
      </c>
      <c r="T629" s="55" t="e">
        <f t="shared" ca="1" si="181"/>
        <v>#N/A</v>
      </c>
      <c r="U629" s="55" t="e">
        <f t="shared" ca="1" si="182"/>
        <v>#N/A</v>
      </c>
      <c r="V629" s="55" t="e">
        <f t="shared" ca="1" si="183"/>
        <v>#N/A</v>
      </c>
      <c r="W629" s="55" t="e">
        <f t="shared" ca="1" si="192"/>
        <v>#N/A</v>
      </c>
      <c r="X629" s="55" t="e">
        <f t="shared" ca="1" si="193"/>
        <v>#N/A</v>
      </c>
      <c r="Y629" s="55" t="e">
        <f t="shared" ca="1" si="194"/>
        <v>#N/A</v>
      </c>
      <c r="Z629" s="55" t="e">
        <f t="shared" ca="1" si="195"/>
        <v>#N/A</v>
      </c>
      <c r="AB629" t="e">
        <f t="shared" ca="1" si="191"/>
        <v>#N/A</v>
      </c>
      <c r="AC629" t="e">
        <f t="shared" ca="1" si="184"/>
        <v>#N/A</v>
      </c>
      <c r="AD629" t="e">
        <f t="shared" ca="1" si="185"/>
        <v>#N/A</v>
      </c>
      <c r="AE629" t="e">
        <f t="shared" ca="1" si="186"/>
        <v>#N/A</v>
      </c>
      <c r="AF629" s="83" t="e">
        <f ca="1"/>
        <v>#N/A</v>
      </c>
      <c r="AG629" s="55" t="e">
        <f t="shared" ca="1" si="187"/>
        <v>#N/A</v>
      </c>
      <c r="AH629" s="55" t="e">
        <f t="shared" ca="1" si="188"/>
        <v>#N/A</v>
      </c>
      <c r="AI629" s="55" t="e">
        <f t="shared" ca="1" si="189"/>
        <v>#N/A</v>
      </c>
      <c r="AJ629" s="55" t="e">
        <f t="shared" ca="1" si="190"/>
        <v>#N/A</v>
      </c>
      <c r="AK629" s="55" t="e">
        <f t="shared" ca="1" si="196"/>
        <v>#N/A</v>
      </c>
      <c r="AL629" s="55" t="e">
        <f t="shared" ca="1" si="197"/>
        <v>#N/A</v>
      </c>
      <c r="AM629" s="55" t="e">
        <f t="shared" ca="1" si="198"/>
        <v>#N/A</v>
      </c>
    </row>
    <row r="630" spans="18:39">
      <c r="R630" s="55" t="e">
        <f ca="1"/>
        <v>#N/A</v>
      </c>
      <c r="S630" s="55" t="e">
        <f t="shared" ca="1" si="180"/>
        <v>#N/A</v>
      </c>
      <c r="T630" s="55" t="e">
        <f t="shared" ca="1" si="181"/>
        <v>#N/A</v>
      </c>
      <c r="U630" s="55" t="e">
        <f t="shared" ca="1" si="182"/>
        <v>#N/A</v>
      </c>
      <c r="V630" s="55" t="e">
        <f t="shared" ca="1" si="183"/>
        <v>#N/A</v>
      </c>
      <c r="W630" s="55" t="e">
        <f t="shared" ca="1" si="192"/>
        <v>#N/A</v>
      </c>
      <c r="X630" s="55" t="e">
        <f t="shared" ca="1" si="193"/>
        <v>#N/A</v>
      </c>
      <c r="Y630" s="55" t="e">
        <f t="shared" ca="1" si="194"/>
        <v>#N/A</v>
      </c>
      <c r="Z630" s="55" t="e">
        <f t="shared" ca="1" si="195"/>
        <v>#N/A</v>
      </c>
      <c r="AB630" t="e">
        <f t="shared" ca="1" si="191"/>
        <v>#N/A</v>
      </c>
      <c r="AC630" t="e">
        <f t="shared" ca="1" si="184"/>
        <v>#N/A</v>
      </c>
      <c r="AD630" t="e">
        <f t="shared" ca="1" si="185"/>
        <v>#N/A</v>
      </c>
      <c r="AE630" t="e">
        <f t="shared" ca="1" si="186"/>
        <v>#N/A</v>
      </c>
      <c r="AF630" s="83" t="e">
        <f ca="1"/>
        <v>#N/A</v>
      </c>
      <c r="AG630" s="55" t="e">
        <f t="shared" ca="1" si="187"/>
        <v>#N/A</v>
      </c>
      <c r="AH630" s="55" t="e">
        <f t="shared" ca="1" si="188"/>
        <v>#N/A</v>
      </c>
      <c r="AI630" s="55" t="e">
        <f t="shared" ca="1" si="189"/>
        <v>#N/A</v>
      </c>
      <c r="AJ630" s="55" t="e">
        <f t="shared" ca="1" si="190"/>
        <v>#N/A</v>
      </c>
      <c r="AK630" s="55" t="e">
        <f t="shared" ca="1" si="196"/>
        <v>#N/A</v>
      </c>
      <c r="AL630" s="55" t="e">
        <f t="shared" ca="1" si="197"/>
        <v>#N/A</v>
      </c>
      <c r="AM630" s="55" t="e">
        <f t="shared" ca="1" si="198"/>
        <v>#N/A</v>
      </c>
    </row>
    <row r="631" spans="18:39">
      <c r="R631" s="55" t="e">
        <f ca="1"/>
        <v>#N/A</v>
      </c>
      <c r="S631" s="55" t="e">
        <f t="shared" ca="1" si="180"/>
        <v>#N/A</v>
      </c>
      <c r="T631" s="55" t="e">
        <f t="shared" ca="1" si="181"/>
        <v>#N/A</v>
      </c>
      <c r="U631" s="55" t="e">
        <f t="shared" ca="1" si="182"/>
        <v>#N/A</v>
      </c>
      <c r="V631" s="55" t="e">
        <f t="shared" ca="1" si="183"/>
        <v>#N/A</v>
      </c>
      <c r="W631" s="55" t="e">
        <f t="shared" ca="1" si="192"/>
        <v>#N/A</v>
      </c>
      <c r="X631" s="55" t="e">
        <f t="shared" ca="1" si="193"/>
        <v>#N/A</v>
      </c>
      <c r="Y631" s="55" t="e">
        <f t="shared" ca="1" si="194"/>
        <v>#N/A</v>
      </c>
      <c r="Z631" s="55" t="e">
        <f t="shared" ca="1" si="195"/>
        <v>#N/A</v>
      </c>
      <c r="AB631" t="e">
        <f t="shared" ca="1" si="191"/>
        <v>#N/A</v>
      </c>
      <c r="AC631" t="e">
        <f t="shared" ca="1" si="184"/>
        <v>#N/A</v>
      </c>
      <c r="AD631" t="e">
        <f t="shared" ca="1" si="185"/>
        <v>#N/A</v>
      </c>
      <c r="AE631" t="e">
        <f t="shared" ca="1" si="186"/>
        <v>#N/A</v>
      </c>
      <c r="AF631" s="83" t="e">
        <f ca="1"/>
        <v>#N/A</v>
      </c>
      <c r="AG631" s="55" t="e">
        <f t="shared" ca="1" si="187"/>
        <v>#N/A</v>
      </c>
      <c r="AH631" s="55" t="e">
        <f t="shared" ca="1" si="188"/>
        <v>#N/A</v>
      </c>
      <c r="AI631" s="55" t="e">
        <f t="shared" ca="1" si="189"/>
        <v>#N/A</v>
      </c>
      <c r="AJ631" s="55" t="e">
        <f t="shared" ca="1" si="190"/>
        <v>#N/A</v>
      </c>
      <c r="AK631" s="55" t="e">
        <f t="shared" ca="1" si="196"/>
        <v>#N/A</v>
      </c>
      <c r="AL631" s="55" t="e">
        <f t="shared" ca="1" si="197"/>
        <v>#N/A</v>
      </c>
      <c r="AM631" s="55" t="e">
        <f t="shared" ca="1" si="198"/>
        <v>#N/A</v>
      </c>
    </row>
    <row r="632" spans="18:39">
      <c r="R632" s="55" t="e">
        <f ca="1"/>
        <v>#N/A</v>
      </c>
      <c r="S632" s="55" t="e">
        <f t="shared" ca="1" si="180"/>
        <v>#N/A</v>
      </c>
      <c r="T632" s="55" t="e">
        <f t="shared" ca="1" si="181"/>
        <v>#N/A</v>
      </c>
      <c r="U632" s="55" t="e">
        <f t="shared" ca="1" si="182"/>
        <v>#N/A</v>
      </c>
      <c r="V632" s="55" t="e">
        <f t="shared" ca="1" si="183"/>
        <v>#N/A</v>
      </c>
      <c r="W632" s="55" t="e">
        <f t="shared" ca="1" si="192"/>
        <v>#N/A</v>
      </c>
      <c r="X632" s="55" t="e">
        <f t="shared" ca="1" si="193"/>
        <v>#N/A</v>
      </c>
      <c r="Y632" s="55" t="e">
        <f t="shared" ca="1" si="194"/>
        <v>#N/A</v>
      </c>
      <c r="Z632" s="55" t="e">
        <f t="shared" ca="1" si="195"/>
        <v>#N/A</v>
      </c>
      <c r="AB632" t="e">
        <f t="shared" ca="1" si="191"/>
        <v>#N/A</v>
      </c>
      <c r="AC632" t="e">
        <f t="shared" ca="1" si="184"/>
        <v>#N/A</v>
      </c>
      <c r="AD632" t="e">
        <f t="shared" ca="1" si="185"/>
        <v>#N/A</v>
      </c>
      <c r="AE632" t="e">
        <f t="shared" ca="1" si="186"/>
        <v>#N/A</v>
      </c>
      <c r="AF632" s="83" t="e">
        <f ca="1"/>
        <v>#N/A</v>
      </c>
      <c r="AG632" s="55" t="e">
        <f t="shared" ca="1" si="187"/>
        <v>#N/A</v>
      </c>
      <c r="AH632" s="55" t="e">
        <f t="shared" ca="1" si="188"/>
        <v>#N/A</v>
      </c>
      <c r="AI632" s="55" t="e">
        <f t="shared" ca="1" si="189"/>
        <v>#N/A</v>
      </c>
      <c r="AJ632" s="55" t="e">
        <f t="shared" ca="1" si="190"/>
        <v>#N/A</v>
      </c>
      <c r="AK632" s="55" t="e">
        <f t="shared" ca="1" si="196"/>
        <v>#N/A</v>
      </c>
      <c r="AL632" s="55" t="e">
        <f t="shared" ca="1" si="197"/>
        <v>#N/A</v>
      </c>
      <c r="AM632" s="55" t="e">
        <f t="shared" ca="1" si="198"/>
        <v>#N/A</v>
      </c>
    </row>
    <row r="633" spans="18:39">
      <c r="R633" s="55" t="e">
        <f ca="1"/>
        <v>#N/A</v>
      </c>
      <c r="S633" s="55" t="e">
        <f t="shared" ca="1" si="180"/>
        <v>#N/A</v>
      </c>
      <c r="T633" s="55" t="e">
        <f t="shared" ca="1" si="181"/>
        <v>#N/A</v>
      </c>
      <c r="U633" s="55" t="e">
        <f t="shared" ca="1" si="182"/>
        <v>#N/A</v>
      </c>
      <c r="V633" s="55" t="e">
        <f t="shared" ca="1" si="183"/>
        <v>#N/A</v>
      </c>
      <c r="W633" s="55" t="e">
        <f t="shared" ca="1" si="192"/>
        <v>#N/A</v>
      </c>
      <c r="X633" s="55" t="e">
        <f t="shared" ca="1" si="193"/>
        <v>#N/A</v>
      </c>
      <c r="Y633" s="55" t="e">
        <f t="shared" ca="1" si="194"/>
        <v>#N/A</v>
      </c>
      <c r="Z633" s="55" t="e">
        <f t="shared" ca="1" si="195"/>
        <v>#N/A</v>
      </c>
      <c r="AB633" t="e">
        <f t="shared" ca="1" si="191"/>
        <v>#N/A</v>
      </c>
      <c r="AC633" t="e">
        <f t="shared" ca="1" si="184"/>
        <v>#N/A</v>
      </c>
      <c r="AD633" t="e">
        <f t="shared" ca="1" si="185"/>
        <v>#N/A</v>
      </c>
      <c r="AE633" t="e">
        <f t="shared" ca="1" si="186"/>
        <v>#N/A</v>
      </c>
      <c r="AF633" s="83" t="e">
        <f ca="1"/>
        <v>#N/A</v>
      </c>
      <c r="AG633" s="55" t="e">
        <f t="shared" ca="1" si="187"/>
        <v>#N/A</v>
      </c>
      <c r="AH633" s="55" t="e">
        <f t="shared" ca="1" si="188"/>
        <v>#N/A</v>
      </c>
      <c r="AI633" s="55" t="e">
        <f t="shared" ca="1" si="189"/>
        <v>#N/A</v>
      </c>
      <c r="AJ633" s="55" t="e">
        <f t="shared" ca="1" si="190"/>
        <v>#N/A</v>
      </c>
      <c r="AK633" s="55" t="e">
        <f t="shared" ca="1" si="196"/>
        <v>#N/A</v>
      </c>
      <c r="AL633" s="55" t="e">
        <f t="shared" ca="1" si="197"/>
        <v>#N/A</v>
      </c>
      <c r="AM633" s="55" t="e">
        <f t="shared" ca="1" si="198"/>
        <v>#N/A</v>
      </c>
    </row>
    <row r="634" spans="18:39">
      <c r="R634" s="55" t="e">
        <f ca="1"/>
        <v>#N/A</v>
      </c>
      <c r="S634" s="55" t="e">
        <f t="shared" ca="1" si="180"/>
        <v>#N/A</v>
      </c>
      <c r="T634" s="55" t="e">
        <f t="shared" ca="1" si="181"/>
        <v>#N/A</v>
      </c>
      <c r="U634" s="55" t="e">
        <f t="shared" ca="1" si="182"/>
        <v>#N/A</v>
      </c>
      <c r="V634" s="55" t="e">
        <f t="shared" ca="1" si="183"/>
        <v>#N/A</v>
      </c>
      <c r="W634" s="55" t="e">
        <f t="shared" ca="1" si="192"/>
        <v>#N/A</v>
      </c>
      <c r="X634" s="55" t="e">
        <f t="shared" ca="1" si="193"/>
        <v>#N/A</v>
      </c>
      <c r="Y634" s="55" t="e">
        <f t="shared" ca="1" si="194"/>
        <v>#N/A</v>
      </c>
      <c r="Z634" s="55" t="e">
        <f t="shared" ca="1" si="195"/>
        <v>#N/A</v>
      </c>
      <c r="AB634" t="e">
        <f t="shared" ca="1" si="191"/>
        <v>#N/A</v>
      </c>
      <c r="AC634" t="e">
        <f t="shared" ca="1" si="184"/>
        <v>#N/A</v>
      </c>
      <c r="AD634" t="e">
        <f t="shared" ca="1" si="185"/>
        <v>#N/A</v>
      </c>
      <c r="AE634" t="e">
        <f t="shared" ca="1" si="186"/>
        <v>#N/A</v>
      </c>
      <c r="AF634" s="83" t="e">
        <f ca="1"/>
        <v>#N/A</v>
      </c>
      <c r="AG634" s="55" t="e">
        <f t="shared" ca="1" si="187"/>
        <v>#N/A</v>
      </c>
      <c r="AH634" s="55" t="e">
        <f t="shared" ca="1" si="188"/>
        <v>#N/A</v>
      </c>
      <c r="AI634" s="55" t="e">
        <f t="shared" ca="1" si="189"/>
        <v>#N/A</v>
      </c>
      <c r="AJ634" s="55" t="e">
        <f t="shared" ca="1" si="190"/>
        <v>#N/A</v>
      </c>
      <c r="AK634" s="55" t="e">
        <f t="shared" ca="1" si="196"/>
        <v>#N/A</v>
      </c>
      <c r="AL634" s="55" t="e">
        <f t="shared" ca="1" si="197"/>
        <v>#N/A</v>
      </c>
      <c r="AM634" s="55" t="e">
        <f t="shared" ca="1" si="198"/>
        <v>#N/A</v>
      </c>
    </row>
    <row r="635" spans="18:39">
      <c r="R635" s="55" t="e">
        <f ca="1"/>
        <v>#N/A</v>
      </c>
      <c r="S635" s="55" t="e">
        <f t="shared" ca="1" si="180"/>
        <v>#N/A</v>
      </c>
      <c r="T635" s="55" t="e">
        <f t="shared" ca="1" si="181"/>
        <v>#N/A</v>
      </c>
      <c r="U635" s="55" t="e">
        <f t="shared" ca="1" si="182"/>
        <v>#N/A</v>
      </c>
      <c r="V635" s="55" t="e">
        <f t="shared" ca="1" si="183"/>
        <v>#N/A</v>
      </c>
      <c r="W635" s="55" t="e">
        <f t="shared" ca="1" si="192"/>
        <v>#N/A</v>
      </c>
      <c r="X635" s="55" t="e">
        <f t="shared" ca="1" si="193"/>
        <v>#N/A</v>
      </c>
      <c r="Y635" s="55" t="e">
        <f t="shared" ca="1" si="194"/>
        <v>#N/A</v>
      </c>
      <c r="Z635" s="55" t="e">
        <f t="shared" ca="1" si="195"/>
        <v>#N/A</v>
      </c>
      <c r="AB635" t="e">
        <f t="shared" ca="1" si="191"/>
        <v>#N/A</v>
      </c>
      <c r="AC635" t="e">
        <f t="shared" ca="1" si="184"/>
        <v>#N/A</v>
      </c>
      <c r="AD635" t="e">
        <f t="shared" ca="1" si="185"/>
        <v>#N/A</v>
      </c>
      <c r="AE635" t="e">
        <f t="shared" ca="1" si="186"/>
        <v>#N/A</v>
      </c>
      <c r="AF635" s="83" t="e">
        <f ca="1"/>
        <v>#N/A</v>
      </c>
      <c r="AG635" s="55" t="e">
        <f t="shared" ca="1" si="187"/>
        <v>#N/A</v>
      </c>
      <c r="AH635" s="55" t="e">
        <f t="shared" ca="1" si="188"/>
        <v>#N/A</v>
      </c>
      <c r="AI635" s="55" t="e">
        <f t="shared" ca="1" si="189"/>
        <v>#N/A</v>
      </c>
      <c r="AJ635" s="55" t="e">
        <f t="shared" ca="1" si="190"/>
        <v>#N/A</v>
      </c>
      <c r="AK635" s="55" t="e">
        <f t="shared" ca="1" si="196"/>
        <v>#N/A</v>
      </c>
      <c r="AL635" s="55" t="e">
        <f t="shared" ca="1" si="197"/>
        <v>#N/A</v>
      </c>
      <c r="AM635" s="55" t="e">
        <f t="shared" ca="1" si="198"/>
        <v>#N/A</v>
      </c>
    </row>
    <row r="636" spans="18:39">
      <c r="R636" s="55" t="e">
        <f ca="1"/>
        <v>#N/A</v>
      </c>
      <c r="S636" s="55" t="e">
        <f t="shared" ca="1" si="180"/>
        <v>#N/A</v>
      </c>
      <c r="T636" s="55" t="e">
        <f t="shared" ca="1" si="181"/>
        <v>#N/A</v>
      </c>
      <c r="U636" s="55" t="e">
        <f t="shared" ca="1" si="182"/>
        <v>#N/A</v>
      </c>
      <c r="V636" s="55" t="e">
        <f t="shared" ca="1" si="183"/>
        <v>#N/A</v>
      </c>
      <c r="W636" s="55" t="e">
        <f t="shared" ca="1" si="192"/>
        <v>#N/A</v>
      </c>
      <c r="X636" s="55" t="e">
        <f t="shared" ca="1" si="193"/>
        <v>#N/A</v>
      </c>
      <c r="Y636" s="55" t="e">
        <f t="shared" ca="1" si="194"/>
        <v>#N/A</v>
      </c>
      <c r="Z636" s="55" t="e">
        <f t="shared" ca="1" si="195"/>
        <v>#N/A</v>
      </c>
      <c r="AB636" t="e">
        <f t="shared" ca="1" si="191"/>
        <v>#N/A</v>
      </c>
      <c r="AC636" t="e">
        <f t="shared" ca="1" si="184"/>
        <v>#N/A</v>
      </c>
      <c r="AD636" t="e">
        <f t="shared" ca="1" si="185"/>
        <v>#N/A</v>
      </c>
      <c r="AE636" t="e">
        <f t="shared" ca="1" si="186"/>
        <v>#N/A</v>
      </c>
      <c r="AF636" s="83" t="e">
        <f ca="1"/>
        <v>#N/A</v>
      </c>
      <c r="AG636" s="55" t="e">
        <f t="shared" ca="1" si="187"/>
        <v>#N/A</v>
      </c>
      <c r="AH636" s="55" t="e">
        <f t="shared" ca="1" si="188"/>
        <v>#N/A</v>
      </c>
      <c r="AI636" s="55" t="e">
        <f t="shared" ca="1" si="189"/>
        <v>#N/A</v>
      </c>
      <c r="AJ636" s="55" t="e">
        <f t="shared" ca="1" si="190"/>
        <v>#N/A</v>
      </c>
      <c r="AK636" s="55" t="e">
        <f t="shared" ca="1" si="196"/>
        <v>#N/A</v>
      </c>
      <c r="AL636" s="55" t="e">
        <f t="shared" ca="1" si="197"/>
        <v>#N/A</v>
      </c>
      <c r="AM636" s="55" t="e">
        <f t="shared" ca="1" si="198"/>
        <v>#N/A</v>
      </c>
    </row>
    <row r="637" spans="18:39">
      <c r="R637" s="55" t="e">
        <f ca="1"/>
        <v>#N/A</v>
      </c>
      <c r="S637" s="55" t="e">
        <f t="shared" ca="1" si="180"/>
        <v>#N/A</v>
      </c>
      <c r="T637" s="55" t="e">
        <f t="shared" ca="1" si="181"/>
        <v>#N/A</v>
      </c>
      <c r="U637" s="55" t="e">
        <f t="shared" ca="1" si="182"/>
        <v>#N/A</v>
      </c>
      <c r="V637" s="55" t="e">
        <f t="shared" ca="1" si="183"/>
        <v>#N/A</v>
      </c>
      <c r="W637" s="55" t="e">
        <f t="shared" ca="1" si="192"/>
        <v>#N/A</v>
      </c>
      <c r="X637" s="55" t="e">
        <f t="shared" ca="1" si="193"/>
        <v>#N/A</v>
      </c>
      <c r="Y637" s="55" t="e">
        <f t="shared" ca="1" si="194"/>
        <v>#N/A</v>
      </c>
      <c r="Z637" s="55" t="e">
        <f t="shared" ca="1" si="195"/>
        <v>#N/A</v>
      </c>
      <c r="AB637" t="e">
        <f t="shared" ca="1" si="191"/>
        <v>#N/A</v>
      </c>
      <c r="AC637" t="e">
        <f t="shared" ca="1" si="184"/>
        <v>#N/A</v>
      </c>
      <c r="AD637" t="e">
        <f t="shared" ca="1" si="185"/>
        <v>#N/A</v>
      </c>
      <c r="AE637" t="e">
        <f t="shared" ca="1" si="186"/>
        <v>#N/A</v>
      </c>
      <c r="AF637" s="83" t="e">
        <f ca="1"/>
        <v>#N/A</v>
      </c>
      <c r="AG637" s="55" t="e">
        <f t="shared" ca="1" si="187"/>
        <v>#N/A</v>
      </c>
      <c r="AH637" s="55" t="e">
        <f t="shared" ca="1" si="188"/>
        <v>#N/A</v>
      </c>
      <c r="AI637" s="55" t="e">
        <f t="shared" ca="1" si="189"/>
        <v>#N/A</v>
      </c>
      <c r="AJ637" s="55" t="e">
        <f t="shared" ca="1" si="190"/>
        <v>#N/A</v>
      </c>
      <c r="AK637" s="55" t="e">
        <f t="shared" ca="1" si="196"/>
        <v>#N/A</v>
      </c>
      <c r="AL637" s="55" t="e">
        <f t="shared" ca="1" si="197"/>
        <v>#N/A</v>
      </c>
      <c r="AM637" s="55" t="e">
        <f t="shared" ca="1" si="198"/>
        <v>#N/A</v>
      </c>
    </row>
    <row r="638" spans="18:39">
      <c r="R638" s="55" t="e">
        <f ca="1"/>
        <v>#N/A</v>
      </c>
      <c r="S638" s="55" t="e">
        <f t="shared" ca="1" si="180"/>
        <v>#N/A</v>
      </c>
      <c r="T638" s="55" t="e">
        <f t="shared" ca="1" si="181"/>
        <v>#N/A</v>
      </c>
      <c r="U638" s="55" t="e">
        <f t="shared" ca="1" si="182"/>
        <v>#N/A</v>
      </c>
      <c r="V638" s="55" t="e">
        <f t="shared" ca="1" si="183"/>
        <v>#N/A</v>
      </c>
      <c r="W638" s="55" t="e">
        <f t="shared" ca="1" si="192"/>
        <v>#N/A</v>
      </c>
      <c r="X638" s="55" t="e">
        <f t="shared" ca="1" si="193"/>
        <v>#N/A</v>
      </c>
      <c r="Y638" s="55" t="e">
        <f t="shared" ca="1" si="194"/>
        <v>#N/A</v>
      </c>
      <c r="Z638" s="55" t="e">
        <f t="shared" ca="1" si="195"/>
        <v>#N/A</v>
      </c>
      <c r="AB638" t="e">
        <f t="shared" ca="1" si="191"/>
        <v>#N/A</v>
      </c>
      <c r="AC638" t="e">
        <f t="shared" ca="1" si="184"/>
        <v>#N/A</v>
      </c>
      <c r="AD638" t="e">
        <f t="shared" ca="1" si="185"/>
        <v>#N/A</v>
      </c>
      <c r="AE638" t="e">
        <f t="shared" ca="1" si="186"/>
        <v>#N/A</v>
      </c>
      <c r="AF638" s="83" t="e">
        <f ca="1"/>
        <v>#N/A</v>
      </c>
      <c r="AG638" s="55" t="e">
        <f t="shared" ca="1" si="187"/>
        <v>#N/A</v>
      </c>
      <c r="AH638" s="55" t="e">
        <f t="shared" ca="1" si="188"/>
        <v>#N/A</v>
      </c>
      <c r="AI638" s="55" t="e">
        <f t="shared" ca="1" si="189"/>
        <v>#N/A</v>
      </c>
      <c r="AJ638" s="55" t="e">
        <f t="shared" ca="1" si="190"/>
        <v>#N/A</v>
      </c>
      <c r="AK638" s="55" t="e">
        <f t="shared" ca="1" si="196"/>
        <v>#N/A</v>
      </c>
      <c r="AL638" s="55" t="e">
        <f t="shared" ca="1" si="197"/>
        <v>#N/A</v>
      </c>
      <c r="AM638" s="55" t="e">
        <f t="shared" ca="1" si="198"/>
        <v>#N/A</v>
      </c>
    </row>
    <row r="639" spans="18:39">
      <c r="R639" s="55" t="e">
        <f ca="1"/>
        <v>#N/A</v>
      </c>
      <c r="S639" s="55" t="e">
        <f t="shared" ca="1" si="180"/>
        <v>#N/A</v>
      </c>
      <c r="T639" s="55" t="e">
        <f t="shared" ca="1" si="181"/>
        <v>#N/A</v>
      </c>
      <c r="U639" s="55" t="e">
        <f t="shared" ca="1" si="182"/>
        <v>#N/A</v>
      </c>
      <c r="V639" s="55" t="e">
        <f t="shared" ca="1" si="183"/>
        <v>#N/A</v>
      </c>
      <c r="W639" s="55" t="e">
        <f t="shared" ca="1" si="192"/>
        <v>#N/A</v>
      </c>
      <c r="X639" s="55" t="e">
        <f t="shared" ca="1" si="193"/>
        <v>#N/A</v>
      </c>
      <c r="Y639" s="55" t="e">
        <f t="shared" ca="1" si="194"/>
        <v>#N/A</v>
      </c>
      <c r="Z639" s="55" t="e">
        <f t="shared" ca="1" si="195"/>
        <v>#N/A</v>
      </c>
      <c r="AB639" t="e">
        <f t="shared" ca="1" si="191"/>
        <v>#N/A</v>
      </c>
      <c r="AC639" t="e">
        <f t="shared" ca="1" si="184"/>
        <v>#N/A</v>
      </c>
      <c r="AD639" t="e">
        <f t="shared" ca="1" si="185"/>
        <v>#N/A</v>
      </c>
      <c r="AE639" t="e">
        <f t="shared" ca="1" si="186"/>
        <v>#N/A</v>
      </c>
      <c r="AF639" s="83" t="e">
        <f ca="1"/>
        <v>#N/A</v>
      </c>
      <c r="AG639" s="55" t="e">
        <f t="shared" ca="1" si="187"/>
        <v>#N/A</v>
      </c>
      <c r="AH639" s="55" t="e">
        <f t="shared" ca="1" si="188"/>
        <v>#N/A</v>
      </c>
      <c r="AI639" s="55" t="e">
        <f t="shared" ca="1" si="189"/>
        <v>#N/A</v>
      </c>
      <c r="AJ639" s="55" t="e">
        <f t="shared" ca="1" si="190"/>
        <v>#N/A</v>
      </c>
      <c r="AK639" s="55" t="e">
        <f t="shared" ca="1" si="196"/>
        <v>#N/A</v>
      </c>
      <c r="AL639" s="55" t="e">
        <f t="shared" ca="1" si="197"/>
        <v>#N/A</v>
      </c>
      <c r="AM639" s="55" t="e">
        <f t="shared" ca="1" si="198"/>
        <v>#N/A</v>
      </c>
    </row>
    <row r="640" spans="18:39">
      <c r="R640" s="55" t="e">
        <f ca="1"/>
        <v>#N/A</v>
      </c>
      <c r="S640" s="55" t="e">
        <f t="shared" ca="1" si="180"/>
        <v>#N/A</v>
      </c>
      <c r="T640" s="55" t="e">
        <f t="shared" ca="1" si="181"/>
        <v>#N/A</v>
      </c>
      <c r="U640" s="55" t="e">
        <f t="shared" ca="1" si="182"/>
        <v>#N/A</v>
      </c>
      <c r="V640" s="55" t="e">
        <f t="shared" ca="1" si="183"/>
        <v>#N/A</v>
      </c>
      <c r="W640" s="55" t="e">
        <f t="shared" ca="1" si="192"/>
        <v>#N/A</v>
      </c>
      <c r="X640" s="55" t="e">
        <f t="shared" ca="1" si="193"/>
        <v>#N/A</v>
      </c>
      <c r="Y640" s="55" t="e">
        <f t="shared" ca="1" si="194"/>
        <v>#N/A</v>
      </c>
      <c r="Z640" s="55" t="e">
        <f t="shared" ca="1" si="195"/>
        <v>#N/A</v>
      </c>
      <c r="AB640" t="e">
        <f t="shared" ca="1" si="191"/>
        <v>#N/A</v>
      </c>
      <c r="AC640" t="e">
        <f t="shared" ca="1" si="184"/>
        <v>#N/A</v>
      </c>
      <c r="AD640" t="e">
        <f t="shared" ca="1" si="185"/>
        <v>#N/A</v>
      </c>
      <c r="AE640" t="e">
        <f t="shared" ca="1" si="186"/>
        <v>#N/A</v>
      </c>
      <c r="AF640" s="83" t="e">
        <f ca="1"/>
        <v>#N/A</v>
      </c>
      <c r="AG640" s="55" t="e">
        <f t="shared" ca="1" si="187"/>
        <v>#N/A</v>
      </c>
      <c r="AH640" s="55" t="e">
        <f t="shared" ca="1" si="188"/>
        <v>#N/A</v>
      </c>
      <c r="AI640" s="55" t="e">
        <f t="shared" ca="1" si="189"/>
        <v>#N/A</v>
      </c>
      <c r="AJ640" s="55" t="e">
        <f t="shared" ca="1" si="190"/>
        <v>#N/A</v>
      </c>
      <c r="AK640" s="55" t="e">
        <f t="shared" ca="1" si="196"/>
        <v>#N/A</v>
      </c>
      <c r="AL640" s="55" t="e">
        <f t="shared" ca="1" si="197"/>
        <v>#N/A</v>
      </c>
      <c r="AM640" s="55" t="e">
        <f t="shared" ca="1" si="198"/>
        <v>#N/A</v>
      </c>
    </row>
    <row r="641" spans="18:39">
      <c r="R641" s="55" t="e">
        <f ca="1"/>
        <v>#N/A</v>
      </c>
      <c r="S641" s="55" t="e">
        <f t="shared" ca="1" si="180"/>
        <v>#N/A</v>
      </c>
      <c r="T641" s="55" t="e">
        <f t="shared" ca="1" si="181"/>
        <v>#N/A</v>
      </c>
      <c r="U641" s="55" t="e">
        <f t="shared" ca="1" si="182"/>
        <v>#N/A</v>
      </c>
      <c r="V641" s="55" t="e">
        <f t="shared" ca="1" si="183"/>
        <v>#N/A</v>
      </c>
      <c r="W641" s="55" t="e">
        <f t="shared" ca="1" si="192"/>
        <v>#N/A</v>
      </c>
      <c r="X641" s="55" t="e">
        <f t="shared" ca="1" si="193"/>
        <v>#N/A</v>
      </c>
      <c r="Y641" s="55" t="e">
        <f t="shared" ca="1" si="194"/>
        <v>#N/A</v>
      </c>
      <c r="Z641" s="55" t="e">
        <f t="shared" ca="1" si="195"/>
        <v>#N/A</v>
      </c>
      <c r="AB641" t="e">
        <f t="shared" ca="1" si="191"/>
        <v>#N/A</v>
      </c>
      <c r="AC641" t="e">
        <f t="shared" ca="1" si="184"/>
        <v>#N/A</v>
      </c>
      <c r="AD641" t="e">
        <f t="shared" ca="1" si="185"/>
        <v>#N/A</v>
      </c>
      <c r="AE641" t="e">
        <f t="shared" ca="1" si="186"/>
        <v>#N/A</v>
      </c>
      <c r="AF641" s="83" t="e">
        <f ca="1"/>
        <v>#N/A</v>
      </c>
      <c r="AG641" s="55" t="e">
        <f t="shared" ca="1" si="187"/>
        <v>#N/A</v>
      </c>
      <c r="AH641" s="55" t="e">
        <f t="shared" ca="1" si="188"/>
        <v>#N/A</v>
      </c>
      <c r="AI641" s="55" t="e">
        <f t="shared" ca="1" si="189"/>
        <v>#N/A</v>
      </c>
      <c r="AJ641" s="55" t="e">
        <f t="shared" ca="1" si="190"/>
        <v>#N/A</v>
      </c>
      <c r="AK641" s="55" t="e">
        <f t="shared" ca="1" si="196"/>
        <v>#N/A</v>
      </c>
      <c r="AL641" s="55" t="e">
        <f t="shared" ca="1" si="197"/>
        <v>#N/A</v>
      </c>
      <c r="AM641" s="55" t="e">
        <f t="shared" ca="1" si="198"/>
        <v>#N/A</v>
      </c>
    </row>
    <row r="642" spans="18:39">
      <c r="R642" s="55" t="e">
        <f ca="1"/>
        <v>#N/A</v>
      </c>
      <c r="S642" s="55" t="e">
        <f t="shared" ca="1" si="180"/>
        <v>#N/A</v>
      </c>
      <c r="T642" s="55" t="e">
        <f t="shared" ca="1" si="181"/>
        <v>#N/A</v>
      </c>
      <c r="U642" s="55" t="e">
        <f t="shared" ca="1" si="182"/>
        <v>#N/A</v>
      </c>
      <c r="V642" s="55" t="e">
        <f t="shared" ca="1" si="183"/>
        <v>#N/A</v>
      </c>
      <c r="W642" s="55" t="e">
        <f t="shared" ca="1" si="192"/>
        <v>#N/A</v>
      </c>
      <c r="X642" s="55" t="e">
        <f t="shared" ca="1" si="193"/>
        <v>#N/A</v>
      </c>
      <c r="Y642" s="55" t="e">
        <f t="shared" ca="1" si="194"/>
        <v>#N/A</v>
      </c>
      <c r="Z642" s="55" t="e">
        <f t="shared" ca="1" si="195"/>
        <v>#N/A</v>
      </c>
      <c r="AB642" t="e">
        <f t="shared" ca="1" si="191"/>
        <v>#N/A</v>
      </c>
      <c r="AC642" t="e">
        <f t="shared" ca="1" si="184"/>
        <v>#N/A</v>
      </c>
      <c r="AD642" t="e">
        <f t="shared" ca="1" si="185"/>
        <v>#N/A</v>
      </c>
      <c r="AE642" t="e">
        <f t="shared" ca="1" si="186"/>
        <v>#N/A</v>
      </c>
      <c r="AF642" s="83" t="e">
        <f ca="1"/>
        <v>#N/A</v>
      </c>
      <c r="AG642" s="55" t="e">
        <f t="shared" ca="1" si="187"/>
        <v>#N/A</v>
      </c>
      <c r="AH642" s="55" t="e">
        <f t="shared" ca="1" si="188"/>
        <v>#N/A</v>
      </c>
      <c r="AI642" s="55" t="e">
        <f t="shared" ca="1" si="189"/>
        <v>#N/A</v>
      </c>
      <c r="AJ642" s="55" t="e">
        <f t="shared" ca="1" si="190"/>
        <v>#N/A</v>
      </c>
      <c r="AK642" s="55" t="e">
        <f t="shared" ca="1" si="196"/>
        <v>#N/A</v>
      </c>
      <c r="AL642" s="55" t="e">
        <f t="shared" ca="1" si="197"/>
        <v>#N/A</v>
      </c>
      <c r="AM642" s="55" t="e">
        <f t="shared" ca="1" si="198"/>
        <v>#N/A</v>
      </c>
    </row>
    <row r="643" spans="18:39">
      <c r="R643" s="55" t="e">
        <f ca="1"/>
        <v>#N/A</v>
      </c>
      <c r="S643" s="55" t="e">
        <f t="shared" ca="1" si="180"/>
        <v>#N/A</v>
      </c>
      <c r="T643" s="55" t="e">
        <f t="shared" ca="1" si="181"/>
        <v>#N/A</v>
      </c>
      <c r="U643" s="55" t="e">
        <f t="shared" ca="1" si="182"/>
        <v>#N/A</v>
      </c>
      <c r="V643" s="55" t="e">
        <f t="shared" ca="1" si="183"/>
        <v>#N/A</v>
      </c>
      <c r="W643" s="55" t="e">
        <f t="shared" ca="1" si="192"/>
        <v>#N/A</v>
      </c>
      <c r="X643" s="55" t="e">
        <f t="shared" ca="1" si="193"/>
        <v>#N/A</v>
      </c>
      <c r="Y643" s="55" t="e">
        <f t="shared" ca="1" si="194"/>
        <v>#N/A</v>
      </c>
      <c r="Z643" s="55" t="e">
        <f t="shared" ca="1" si="195"/>
        <v>#N/A</v>
      </c>
      <c r="AB643" t="e">
        <f t="shared" ca="1" si="191"/>
        <v>#N/A</v>
      </c>
      <c r="AC643" t="e">
        <f t="shared" ca="1" si="184"/>
        <v>#N/A</v>
      </c>
      <c r="AD643" t="e">
        <f t="shared" ca="1" si="185"/>
        <v>#N/A</v>
      </c>
      <c r="AE643" t="e">
        <f t="shared" ca="1" si="186"/>
        <v>#N/A</v>
      </c>
      <c r="AF643" s="83" t="e">
        <f ca="1"/>
        <v>#N/A</v>
      </c>
      <c r="AG643" s="55" t="e">
        <f t="shared" ca="1" si="187"/>
        <v>#N/A</v>
      </c>
      <c r="AH643" s="55" t="e">
        <f t="shared" ca="1" si="188"/>
        <v>#N/A</v>
      </c>
      <c r="AI643" s="55" t="e">
        <f t="shared" ca="1" si="189"/>
        <v>#N/A</v>
      </c>
      <c r="AJ643" s="55" t="e">
        <f t="shared" ca="1" si="190"/>
        <v>#N/A</v>
      </c>
      <c r="AK643" s="55" t="e">
        <f t="shared" ca="1" si="196"/>
        <v>#N/A</v>
      </c>
      <c r="AL643" s="55" t="e">
        <f t="shared" ca="1" si="197"/>
        <v>#N/A</v>
      </c>
      <c r="AM643" s="55" t="e">
        <f t="shared" ca="1" si="198"/>
        <v>#N/A</v>
      </c>
    </row>
    <row r="644" spans="18:39">
      <c r="R644" s="55" t="e">
        <f ca="1"/>
        <v>#N/A</v>
      </c>
      <c r="S644" s="55" t="e">
        <f t="shared" ca="1" si="180"/>
        <v>#N/A</v>
      </c>
      <c r="T644" s="55" t="e">
        <f t="shared" ca="1" si="181"/>
        <v>#N/A</v>
      </c>
      <c r="U644" s="55" t="e">
        <f t="shared" ca="1" si="182"/>
        <v>#N/A</v>
      </c>
      <c r="V644" s="55" t="e">
        <f t="shared" ca="1" si="183"/>
        <v>#N/A</v>
      </c>
      <c r="W644" s="55" t="e">
        <f t="shared" ca="1" si="192"/>
        <v>#N/A</v>
      </c>
      <c r="X644" s="55" t="e">
        <f t="shared" ca="1" si="193"/>
        <v>#N/A</v>
      </c>
      <c r="Y644" s="55" t="e">
        <f t="shared" ca="1" si="194"/>
        <v>#N/A</v>
      </c>
      <c r="Z644" s="55" t="e">
        <f t="shared" ca="1" si="195"/>
        <v>#N/A</v>
      </c>
      <c r="AB644" t="e">
        <f t="shared" ca="1" si="191"/>
        <v>#N/A</v>
      </c>
      <c r="AC644" t="e">
        <f t="shared" ca="1" si="184"/>
        <v>#N/A</v>
      </c>
      <c r="AD644" t="e">
        <f t="shared" ca="1" si="185"/>
        <v>#N/A</v>
      </c>
      <c r="AE644" t="e">
        <f t="shared" ca="1" si="186"/>
        <v>#N/A</v>
      </c>
      <c r="AF644" s="83" t="e">
        <f ca="1"/>
        <v>#N/A</v>
      </c>
      <c r="AG644" s="55" t="e">
        <f t="shared" ca="1" si="187"/>
        <v>#N/A</v>
      </c>
      <c r="AH644" s="55" t="e">
        <f t="shared" ca="1" si="188"/>
        <v>#N/A</v>
      </c>
      <c r="AI644" s="55" t="e">
        <f t="shared" ca="1" si="189"/>
        <v>#N/A</v>
      </c>
      <c r="AJ644" s="55" t="e">
        <f t="shared" ca="1" si="190"/>
        <v>#N/A</v>
      </c>
      <c r="AK644" s="55" t="e">
        <f t="shared" ca="1" si="196"/>
        <v>#N/A</v>
      </c>
      <c r="AL644" s="55" t="e">
        <f t="shared" ca="1" si="197"/>
        <v>#N/A</v>
      </c>
      <c r="AM644" s="55" t="e">
        <f t="shared" ca="1" si="198"/>
        <v>#N/A</v>
      </c>
    </row>
    <row r="645" spans="18:39">
      <c r="R645" s="55" t="e">
        <f ca="1"/>
        <v>#N/A</v>
      </c>
      <c r="S645" s="55" t="e">
        <f t="shared" ca="1" si="180"/>
        <v>#N/A</v>
      </c>
      <c r="T645" s="55" t="e">
        <f t="shared" ca="1" si="181"/>
        <v>#N/A</v>
      </c>
      <c r="U645" s="55" t="e">
        <f t="shared" ca="1" si="182"/>
        <v>#N/A</v>
      </c>
      <c r="V645" s="55" t="e">
        <f t="shared" ca="1" si="183"/>
        <v>#N/A</v>
      </c>
      <c r="W645" s="55" t="e">
        <f t="shared" ca="1" si="192"/>
        <v>#N/A</v>
      </c>
      <c r="X645" s="55" t="e">
        <f t="shared" ca="1" si="193"/>
        <v>#N/A</v>
      </c>
      <c r="Y645" s="55" t="e">
        <f t="shared" ca="1" si="194"/>
        <v>#N/A</v>
      </c>
      <c r="Z645" s="55" t="e">
        <f t="shared" ca="1" si="195"/>
        <v>#N/A</v>
      </c>
      <c r="AB645" t="e">
        <f t="shared" ca="1" si="191"/>
        <v>#N/A</v>
      </c>
      <c r="AC645" t="e">
        <f t="shared" ca="1" si="184"/>
        <v>#N/A</v>
      </c>
      <c r="AD645" t="e">
        <f t="shared" ca="1" si="185"/>
        <v>#N/A</v>
      </c>
      <c r="AE645" t="e">
        <f t="shared" ca="1" si="186"/>
        <v>#N/A</v>
      </c>
      <c r="AF645" s="83" t="e">
        <f ca="1"/>
        <v>#N/A</v>
      </c>
      <c r="AG645" s="55" t="e">
        <f t="shared" ca="1" si="187"/>
        <v>#N/A</v>
      </c>
      <c r="AH645" s="55" t="e">
        <f t="shared" ca="1" si="188"/>
        <v>#N/A</v>
      </c>
      <c r="AI645" s="55" t="e">
        <f t="shared" ca="1" si="189"/>
        <v>#N/A</v>
      </c>
      <c r="AJ645" s="55" t="e">
        <f t="shared" ca="1" si="190"/>
        <v>#N/A</v>
      </c>
      <c r="AK645" s="55" t="e">
        <f t="shared" ca="1" si="196"/>
        <v>#N/A</v>
      </c>
      <c r="AL645" s="55" t="e">
        <f t="shared" ca="1" si="197"/>
        <v>#N/A</v>
      </c>
      <c r="AM645" s="55" t="e">
        <f t="shared" ca="1" si="198"/>
        <v>#N/A</v>
      </c>
    </row>
    <row r="646" spans="18:39">
      <c r="R646" s="55" t="e">
        <f ca="1"/>
        <v>#N/A</v>
      </c>
      <c r="S646" s="55" t="e">
        <f t="shared" ca="1" si="180"/>
        <v>#N/A</v>
      </c>
      <c r="T646" s="55" t="e">
        <f t="shared" ca="1" si="181"/>
        <v>#N/A</v>
      </c>
      <c r="U646" s="55" t="e">
        <f t="shared" ca="1" si="182"/>
        <v>#N/A</v>
      </c>
      <c r="V646" s="55" t="e">
        <f t="shared" ca="1" si="183"/>
        <v>#N/A</v>
      </c>
      <c r="W646" s="55" t="e">
        <f t="shared" ca="1" si="192"/>
        <v>#N/A</v>
      </c>
      <c r="X646" s="55" t="e">
        <f t="shared" ca="1" si="193"/>
        <v>#N/A</v>
      </c>
      <c r="Y646" s="55" t="e">
        <f t="shared" ca="1" si="194"/>
        <v>#N/A</v>
      </c>
      <c r="Z646" s="55" t="e">
        <f t="shared" ca="1" si="195"/>
        <v>#N/A</v>
      </c>
      <c r="AB646" t="e">
        <f t="shared" ca="1" si="191"/>
        <v>#N/A</v>
      </c>
      <c r="AC646" t="e">
        <f t="shared" ca="1" si="184"/>
        <v>#N/A</v>
      </c>
      <c r="AD646" t="e">
        <f t="shared" ca="1" si="185"/>
        <v>#N/A</v>
      </c>
      <c r="AE646" t="e">
        <f t="shared" ca="1" si="186"/>
        <v>#N/A</v>
      </c>
      <c r="AF646" s="83" t="e">
        <f ca="1"/>
        <v>#N/A</v>
      </c>
      <c r="AG646" s="55" t="e">
        <f t="shared" ca="1" si="187"/>
        <v>#N/A</v>
      </c>
      <c r="AH646" s="55" t="e">
        <f t="shared" ca="1" si="188"/>
        <v>#N/A</v>
      </c>
      <c r="AI646" s="55" t="e">
        <f t="shared" ca="1" si="189"/>
        <v>#N/A</v>
      </c>
      <c r="AJ646" s="55" t="e">
        <f t="shared" ca="1" si="190"/>
        <v>#N/A</v>
      </c>
      <c r="AK646" s="55" t="e">
        <f t="shared" ca="1" si="196"/>
        <v>#N/A</v>
      </c>
      <c r="AL646" s="55" t="e">
        <f t="shared" ca="1" si="197"/>
        <v>#N/A</v>
      </c>
      <c r="AM646" s="55" t="e">
        <f t="shared" ca="1" si="198"/>
        <v>#N/A</v>
      </c>
    </row>
    <row r="647" spans="18:39">
      <c r="R647" s="55" t="e">
        <f ca="1"/>
        <v>#N/A</v>
      </c>
      <c r="S647" s="55" t="e">
        <f t="shared" ca="1" si="180"/>
        <v>#N/A</v>
      </c>
      <c r="T647" s="55" t="e">
        <f t="shared" ca="1" si="181"/>
        <v>#N/A</v>
      </c>
      <c r="U647" s="55" t="e">
        <f t="shared" ca="1" si="182"/>
        <v>#N/A</v>
      </c>
      <c r="V647" s="55" t="e">
        <f t="shared" ca="1" si="183"/>
        <v>#N/A</v>
      </c>
      <c r="W647" s="55" t="e">
        <f t="shared" ca="1" si="192"/>
        <v>#N/A</v>
      </c>
      <c r="X647" s="55" t="e">
        <f t="shared" ca="1" si="193"/>
        <v>#N/A</v>
      </c>
      <c r="Y647" s="55" t="e">
        <f t="shared" ca="1" si="194"/>
        <v>#N/A</v>
      </c>
      <c r="Z647" s="55" t="e">
        <f t="shared" ca="1" si="195"/>
        <v>#N/A</v>
      </c>
      <c r="AB647" t="e">
        <f t="shared" ca="1" si="191"/>
        <v>#N/A</v>
      </c>
      <c r="AC647" t="e">
        <f t="shared" ca="1" si="184"/>
        <v>#N/A</v>
      </c>
      <c r="AD647" t="e">
        <f t="shared" ca="1" si="185"/>
        <v>#N/A</v>
      </c>
      <c r="AE647" t="e">
        <f t="shared" ca="1" si="186"/>
        <v>#N/A</v>
      </c>
      <c r="AF647" s="83" t="e">
        <f ca="1"/>
        <v>#N/A</v>
      </c>
      <c r="AG647" s="55" t="e">
        <f t="shared" ca="1" si="187"/>
        <v>#N/A</v>
      </c>
      <c r="AH647" s="55" t="e">
        <f t="shared" ca="1" si="188"/>
        <v>#N/A</v>
      </c>
      <c r="AI647" s="55" t="e">
        <f t="shared" ca="1" si="189"/>
        <v>#N/A</v>
      </c>
      <c r="AJ647" s="55" t="e">
        <f t="shared" ca="1" si="190"/>
        <v>#N/A</v>
      </c>
      <c r="AK647" s="55" t="e">
        <f t="shared" ca="1" si="196"/>
        <v>#N/A</v>
      </c>
      <c r="AL647" s="55" t="e">
        <f t="shared" ca="1" si="197"/>
        <v>#N/A</v>
      </c>
      <c r="AM647" s="55" t="e">
        <f t="shared" ca="1" si="198"/>
        <v>#N/A</v>
      </c>
    </row>
    <row r="648" spans="18:39">
      <c r="R648" s="55" t="e">
        <f ca="1"/>
        <v>#N/A</v>
      </c>
      <c r="S648" s="55" t="e">
        <f t="shared" ca="1" si="180"/>
        <v>#N/A</v>
      </c>
      <c r="T648" s="55" t="e">
        <f t="shared" ca="1" si="181"/>
        <v>#N/A</v>
      </c>
      <c r="U648" s="55" t="e">
        <f t="shared" ca="1" si="182"/>
        <v>#N/A</v>
      </c>
      <c r="V648" s="55" t="e">
        <f t="shared" ca="1" si="183"/>
        <v>#N/A</v>
      </c>
      <c r="W648" s="55" t="e">
        <f t="shared" ca="1" si="192"/>
        <v>#N/A</v>
      </c>
      <c r="X648" s="55" t="e">
        <f t="shared" ca="1" si="193"/>
        <v>#N/A</v>
      </c>
      <c r="Y648" s="55" t="e">
        <f t="shared" ca="1" si="194"/>
        <v>#N/A</v>
      </c>
      <c r="Z648" s="55" t="e">
        <f t="shared" ca="1" si="195"/>
        <v>#N/A</v>
      </c>
      <c r="AB648" t="e">
        <f t="shared" ca="1" si="191"/>
        <v>#N/A</v>
      </c>
      <c r="AC648" t="e">
        <f t="shared" ca="1" si="184"/>
        <v>#N/A</v>
      </c>
      <c r="AD648" t="e">
        <f t="shared" ca="1" si="185"/>
        <v>#N/A</v>
      </c>
      <c r="AE648" t="e">
        <f t="shared" ca="1" si="186"/>
        <v>#N/A</v>
      </c>
      <c r="AF648" s="83" t="e">
        <f ca="1"/>
        <v>#N/A</v>
      </c>
      <c r="AG648" s="55" t="e">
        <f t="shared" ca="1" si="187"/>
        <v>#N/A</v>
      </c>
      <c r="AH648" s="55" t="e">
        <f t="shared" ca="1" si="188"/>
        <v>#N/A</v>
      </c>
      <c r="AI648" s="55" t="e">
        <f t="shared" ca="1" si="189"/>
        <v>#N/A</v>
      </c>
      <c r="AJ648" s="55" t="e">
        <f t="shared" ca="1" si="190"/>
        <v>#N/A</v>
      </c>
      <c r="AK648" s="55" t="e">
        <f t="shared" ca="1" si="196"/>
        <v>#N/A</v>
      </c>
      <c r="AL648" s="55" t="e">
        <f t="shared" ca="1" si="197"/>
        <v>#N/A</v>
      </c>
      <c r="AM648" s="55" t="e">
        <f t="shared" ca="1" si="198"/>
        <v>#N/A</v>
      </c>
    </row>
    <row r="649" spans="18:39">
      <c r="R649" s="55" t="e">
        <f ca="1"/>
        <v>#N/A</v>
      </c>
      <c r="S649" s="55" t="e">
        <f t="shared" ca="1" si="180"/>
        <v>#N/A</v>
      </c>
      <c r="T649" s="55" t="e">
        <f t="shared" ca="1" si="181"/>
        <v>#N/A</v>
      </c>
      <c r="U649" s="55" t="e">
        <f t="shared" ca="1" si="182"/>
        <v>#N/A</v>
      </c>
      <c r="V649" s="55" t="e">
        <f t="shared" ca="1" si="183"/>
        <v>#N/A</v>
      </c>
      <c r="W649" s="55" t="e">
        <f t="shared" ca="1" si="192"/>
        <v>#N/A</v>
      </c>
      <c r="X649" s="55" t="e">
        <f t="shared" ca="1" si="193"/>
        <v>#N/A</v>
      </c>
      <c r="Y649" s="55" t="e">
        <f t="shared" ca="1" si="194"/>
        <v>#N/A</v>
      </c>
      <c r="Z649" s="55" t="e">
        <f t="shared" ca="1" si="195"/>
        <v>#N/A</v>
      </c>
      <c r="AB649" t="e">
        <f t="shared" ca="1" si="191"/>
        <v>#N/A</v>
      </c>
      <c r="AC649" t="e">
        <f t="shared" ca="1" si="184"/>
        <v>#N/A</v>
      </c>
      <c r="AD649" t="e">
        <f t="shared" ca="1" si="185"/>
        <v>#N/A</v>
      </c>
      <c r="AE649" t="e">
        <f t="shared" ca="1" si="186"/>
        <v>#N/A</v>
      </c>
      <c r="AF649" s="83" t="e">
        <f ca="1"/>
        <v>#N/A</v>
      </c>
      <c r="AG649" s="55" t="e">
        <f t="shared" ca="1" si="187"/>
        <v>#N/A</v>
      </c>
      <c r="AH649" s="55" t="e">
        <f t="shared" ca="1" si="188"/>
        <v>#N/A</v>
      </c>
      <c r="AI649" s="55" t="e">
        <f t="shared" ca="1" si="189"/>
        <v>#N/A</v>
      </c>
      <c r="AJ649" s="55" t="e">
        <f t="shared" ca="1" si="190"/>
        <v>#N/A</v>
      </c>
      <c r="AK649" s="55" t="e">
        <f t="shared" ca="1" si="196"/>
        <v>#N/A</v>
      </c>
      <c r="AL649" s="55" t="e">
        <f t="shared" ca="1" si="197"/>
        <v>#N/A</v>
      </c>
      <c r="AM649" s="55" t="e">
        <f t="shared" ca="1" si="198"/>
        <v>#N/A</v>
      </c>
    </row>
    <row r="650" spans="18:39">
      <c r="R650" s="55" t="e">
        <f ca="1"/>
        <v>#N/A</v>
      </c>
      <c r="S650" s="55" t="e">
        <f t="shared" ca="1" si="180"/>
        <v>#N/A</v>
      </c>
      <c r="T650" s="55" t="e">
        <f t="shared" ca="1" si="181"/>
        <v>#N/A</v>
      </c>
      <c r="U650" s="55" t="e">
        <f t="shared" ca="1" si="182"/>
        <v>#N/A</v>
      </c>
      <c r="V650" s="55" t="e">
        <f t="shared" ca="1" si="183"/>
        <v>#N/A</v>
      </c>
      <c r="W650" s="55" t="e">
        <f t="shared" ca="1" si="192"/>
        <v>#N/A</v>
      </c>
      <c r="X650" s="55" t="e">
        <f t="shared" ca="1" si="193"/>
        <v>#N/A</v>
      </c>
      <c r="Y650" s="55" t="e">
        <f t="shared" ca="1" si="194"/>
        <v>#N/A</v>
      </c>
      <c r="Z650" s="55" t="e">
        <f t="shared" ca="1" si="195"/>
        <v>#N/A</v>
      </c>
      <c r="AB650" t="e">
        <f t="shared" ca="1" si="191"/>
        <v>#N/A</v>
      </c>
      <c r="AC650" t="e">
        <f t="shared" ca="1" si="184"/>
        <v>#N/A</v>
      </c>
      <c r="AD650" t="e">
        <f t="shared" ca="1" si="185"/>
        <v>#N/A</v>
      </c>
      <c r="AE650" t="e">
        <f t="shared" ca="1" si="186"/>
        <v>#N/A</v>
      </c>
      <c r="AF650" s="83" t="e">
        <f ca="1"/>
        <v>#N/A</v>
      </c>
      <c r="AG650" s="55" t="e">
        <f t="shared" ca="1" si="187"/>
        <v>#N/A</v>
      </c>
      <c r="AH650" s="55" t="e">
        <f t="shared" ca="1" si="188"/>
        <v>#N/A</v>
      </c>
      <c r="AI650" s="55" t="e">
        <f t="shared" ca="1" si="189"/>
        <v>#N/A</v>
      </c>
      <c r="AJ650" s="55" t="e">
        <f t="shared" ca="1" si="190"/>
        <v>#N/A</v>
      </c>
      <c r="AK650" s="55" t="e">
        <f t="shared" ca="1" si="196"/>
        <v>#N/A</v>
      </c>
      <c r="AL650" s="55" t="e">
        <f t="shared" ca="1" si="197"/>
        <v>#N/A</v>
      </c>
      <c r="AM650" s="55" t="e">
        <f t="shared" ca="1" si="198"/>
        <v>#N/A</v>
      </c>
    </row>
    <row r="651" spans="18:39">
      <c r="R651" s="55" t="e">
        <f ca="1"/>
        <v>#N/A</v>
      </c>
      <c r="S651" s="55" t="e">
        <f t="shared" ca="1" si="180"/>
        <v>#N/A</v>
      </c>
      <c r="T651" s="55" t="e">
        <f t="shared" ca="1" si="181"/>
        <v>#N/A</v>
      </c>
      <c r="U651" s="55" t="e">
        <f t="shared" ca="1" si="182"/>
        <v>#N/A</v>
      </c>
      <c r="V651" s="55" t="e">
        <f t="shared" ca="1" si="183"/>
        <v>#N/A</v>
      </c>
      <c r="W651" s="55" t="e">
        <f t="shared" ca="1" si="192"/>
        <v>#N/A</v>
      </c>
      <c r="X651" s="55" t="e">
        <f t="shared" ca="1" si="193"/>
        <v>#N/A</v>
      </c>
      <c r="Y651" s="55" t="e">
        <f t="shared" ca="1" si="194"/>
        <v>#N/A</v>
      </c>
      <c r="Z651" s="55" t="e">
        <f t="shared" ca="1" si="195"/>
        <v>#N/A</v>
      </c>
      <c r="AB651" t="e">
        <f t="shared" ca="1" si="191"/>
        <v>#N/A</v>
      </c>
      <c r="AC651" t="e">
        <f t="shared" ca="1" si="184"/>
        <v>#N/A</v>
      </c>
      <c r="AD651" t="e">
        <f t="shared" ca="1" si="185"/>
        <v>#N/A</v>
      </c>
      <c r="AE651" t="e">
        <f t="shared" ca="1" si="186"/>
        <v>#N/A</v>
      </c>
      <c r="AF651" s="83" t="e">
        <f ca="1"/>
        <v>#N/A</v>
      </c>
      <c r="AG651" s="55" t="e">
        <f t="shared" ca="1" si="187"/>
        <v>#N/A</v>
      </c>
      <c r="AH651" s="55" t="e">
        <f t="shared" ca="1" si="188"/>
        <v>#N/A</v>
      </c>
      <c r="AI651" s="55" t="e">
        <f t="shared" ca="1" si="189"/>
        <v>#N/A</v>
      </c>
      <c r="AJ651" s="55" t="e">
        <f t="shared" ca="1" si="190"/>
        <v>#N/A</v>
      </c>
      <c r="AK651" s="55" t="e">
        <f t="shared" ca="1" si="196"/>
        <v>#N/A</v>
      </c>
      <c r="AL651" s="55" t="e">
        <f t="shared" ca="1" si="197"/>
        <v>#N/A</v>
      </c>
      <c r="AM651" s="55" t="e">
        <f t="shared" ca="1" si="198"/>
        <v>#N/A</v>
      </c>
    </row>
    <row r="652" spans="18:39">
      <c r="R652" s="55" t="e">
        <f ca="1"/>
        <v>#N/A</v>
      </c>
      <c r="S652" s="55" t="e">
        <f t="shared" ref="S652:S662" ca="1" si="199">IF(R652&gt;1,R652,"")</f>
        <v>#N/A</v>
      </c>
      <c r="T652" s="55" t="e">
        <f t="shared" ref="T652:T662" ca="1" si="200">VLOOKUP(S652,ModelOutputs,2,FALSE)</f>
        <v>#N/A</v>
      </c>
      <c r="U652" s="55" t="e">
        <f t="shared" ref="U652:U662" ca="1" si="201">VLOOKUP(S652,ModelOutputs,7,FALSE)</f>
        <v>#N/A</v>
      </c>
      <c r="V652" s="55" t="e">
        <f t="shared" ref="V652:V662" ca="1" si="202">VLOOKUP(S652,ModelOutputs,6,FALSE)</f>
        <v>#N/A</v>
      </c>
      <c r="W652" s="55" t="e">
        <f t="shared" ca="1" si="192"/>
        <v>#N/A</v>
      </c>
      <c r="X652" s="55" t="e">
        <f t="shared" ca="1" si="193"/>
        <v>#N/A</v>
      </c>
      <c r="Y652" s="55" t="e">
        <f t="shared" ca="1" si="194"/>
        <v>#N/A</v>
      </c>
      <c r="Z652" s="55" t="e">
        <f t="shared" ca="1" si="195"/>
        <v>#N/A</v>
      </c>
      <c r="AB652" t="e">
        <f t="shared" ca="1" si="191"/>
        <v>#N/A</v>
      </c>
      <c r="AC652" t="e">
        <f t="shared" ref="AC652:AC662" ca="1" si="203">VLOOKUP(S652,ModelOutputs,11,FALSE)+AC651</f>
        <v>#N/A</v>
      </c>
      <c r="AD652" t="e">
        <f t="shared" ref="AD652:AD662" ca="1" si="204">VLOOKUP(S652,ModelOutputs,12,FALSE)</f>
        <v>#N/A</v>
      </c>
      <c r="AE652" t="e">
        <f t="shared" ref="AE652:AE662" ca="1" si="205">VLOOKUP(S652,ModelOutputs,13,FALSE)</f>
        <v>#N/A</v>
      </c>
      <c r="AF652" s="83" t="e">
        <f ca="1"/>
        <v>#N/A</v>
      </c>
      <c r="AG652" s="55" t="e">
        <f t="shared" ref="AG652:AG662" ca="1" si="206">IF(AF652&gt;1,AF652,"")</f>
        <v>#N/A</v>
      </c>
      <c r="AH652" s="55" t="e">
        <f t="shared" ref="AH652:AH662" ca="1" si="207">VLOOKUP(AG652,ModelOutputs,2,FALSE)</f>
        <v>#N/A</v>
      </c>
      <c r="AI652" s="55" t="e">
        <f t="shared" ref="AI652:AI662" ca="1" si="208">VLOOKUP(AG652,ModelOutputs,7,FALSE)</f>
        <v>#N/A</v>
      </c>
      <c r="AJ652" s="55" t="e">
        <f t="shared" ref="AJ652:AJ662" ca="1" si="209">VLOOKUP(AG652,ModelOutputs,6,FALSE)</f>
        <v>#N/A</v>
      </c>
      <c r="AK652" s="55" t="e">
        <f t="shared" ca="1" si="196"/>
        <v>#N/A</v>
      </c>
      <c r="AL652" s="55" t="e">
        <f t="shared" ca="1" si="197"/>
        <v>#N/A</v>
      </c>
      <c r="AM652" s="55" t="e">
        <f t="shared" ca="1" si="198"/>
        <v>#N/A</v>
      </c>
    </row>
    <row r="653" spans="18:39">
      <c r="R653" s="55" t="e">
        <f ca="1"/>
        <v>#N/A</v>
      </c>
      <c r="S653" s="55" t="e">
        <f t="shared" ca="1" si="199"/>
        <v>#N/A</v>
      </c>
      <c r="T653" s="55" t="e">
        <f t="shared" ca="1" si="200"/>
        <v>#N/A</v>
      </c>
      <c r="U653" s="55" t="e">
        <f t="shared" ca="1" si="201"/>
        <v>#N/A</v>
      </c>
      <c r="V653" s="55" t="e">
        <f t="shared" ca="1" si="202"/>
        <v>#N/A</v>
      </c>
      <c r="W653" s="55" t="e">
        <f t="shared" ca="1" si="192"/>
        <v>#N/A</v>
      </c>
      <c r="X653" s="55" t="e">
        <f t="shared" ca="1" si="193"/>
        <v>#N/A</v>
      </c>
      <c r="Y653" s="55" t="e">
        <f t="shared" ca="1" si="194"/>
        <v>#N/A</v>
      </c>
      <c r="Z653" s="55" t="e">
        <f t="shared" ca="1" si="195"/>
        <v>#N/A</v>
      </c>
      <c r="AB653" t="e">
        <f t="shared" ca="1" si="191"/>
        <v>#N/A</v>
      </c>
      <c r="AC653" t="e">
        <f t="shared" ca="1" si="203"/>
        <v>#N/A</v>
      </c>
      <c r="AD653" t="e">
        <f t="shared" ca="1" si="204"/>
        <v>#N/A</v>
      </c>
      <c r="AE653" t="e">
        <f t="shared" ca="1" si="205"/>
        <v>#N/A</v>
      </c>
      <c r="AF653" s="83" t="e">
        <f ca="1"/>
        <v>#N/A</v>
      </c>
      <c r="AG653" s="55" t="e">
        <f t="shared" ca="1" si="206"/>
        <v>#N/A</v>
      </c>
      <c r="AH653" s="55" t="e">
        <f t="shared" ca="1" si="207"/>
        <v>#N/A</v>
      </c>
      <c r="AI653" s="55" t="e">
        <f t="shared" ca="1" si="208"/>
        <v>#N/A</v>
      </c>
      <c r="AJ653" s="55" t="e">
        <f t="shared" ca="1" si="209"/>
        <v>#N/A</v>
      </c>
      <c r="AK653" s="55" t="e">
        <f t="shared" ca="1" si="196"/>
        <v>#N/A</v>
      </c>
      <c r="AL653" s="55" t="e">
        <f t="shared" ca="1" si="197"/>
        <v>#N/A</v>
      </c>
      <c r="AM653" s="55" t="e">
        <f t="shared" ca="1" si="198"/>
        <v>#N/A</v>
      </c>
    </row>
    <row r="654" spans="18:39">
      <c r="R654" s="55" t="e">
        <f ca="1"/>
        <v>#N/A</v>
      </c>
      <c r="S654" s="55" t="e">
        <f t="shared" ca="1" si="199"/>
        <v>#N/A</v>
      </c>
      <c r="T654" s="55" t="e">
        <f t="shared" ca="1" si="200"/>
        <v>#N/A</v>
      </c>
      <c r="U654" s="55" t="e">
        <f t="shared" ca="1" si="201"/>
        <v>#N/A</v>
      </c>
      <c r="V654" s="55" t="e">
        <f t="shared" ca="1" si="202"/>
        <v>#N/A</v>
      </c>
      <c r="W654" s="55" t="e">
        <f t="shared" ca="1" si="192"/>
        <v>#N/A</v>
      </c>
      <c r="X654" s="55" t="e">
        <f t="shared" ca="1" si="193"/>
        <v>#N/A</v>
      </c>
      <c r="Y654" s="55" t="e">
        <f t="shared" ca="1" si="194"/>
        <v>#N/A</v>
      </c>
      <c r="Z654" s="55" t="e">
        <f t="shared" ca="1" si="195"/>
        <v>#N/A</v>
      </c>
      <c r="AB654" t="e">
        <f t="shared" ca="1" si="191"/>
        <v>#N/A</v>
      </c>
      <c r="AC654" t="e">
        <f t="shared" ca="1" si="203"/>
        <v>#N/A</v>
      </c>
      <c r="AD654" t="e">
        <f t="shared" ca="1" si="204"/>
        <v>#N/A</v>
      </c>
      <c r="AE654" t="e">
        <f t="shared" ca="1" si="205"/>
        <v>#N/A</v>
      </c>
      <c r="AF654" s="83" t="e">
        <f ca="1"/>
        <v>#N/A</v>
      </c>
      <c r="AG654" s="55" t="e">
        <f t="shared" ca="1" si="206"/>
        <v>#N/A</v>
      </c>
      <c r="AH654" s="55" t="e">
        <f t="shared" ca="1" si="207"/>
        <v>#N/A</v>
      </c>
      <c r="AI654" s="55" t="e">
        <f t="shared" ca="1" si="208"/>
        <v>#N/A</v>
      </c>
      <c r="AJ654" s="55" t="e">
        <f t="shared" ca="1" si="209"/>
        <v>#N/A</v>
      </c>
      <c r="AK654" s="55" t="e">
        <f t="shared" ca="1" si="196"/>
        <v>#N/A</v>
      </c>
      <c r="AL654" s="55" t="e">
        <f t="shared" ca="1" si="197"/>
        <v>#N/A</v>
      </c>
      <c r="AM654" s="55" t="e">
        <f t="shared" ca="1" si="198"/>
        <v>#N/A</v>
      </c>
    </row>
    <row r="655" spans="18:39">
      <c r="R655" s="55" t="e">
        <f ca="1"/>
        <v>#N/A</v>
      </c>
      <c r="S655" s="55" t="e">
        <f t="shared" ca="1" si="199"/>
        <v>#N/A</v>
      </c>
      <c r="T655" s="55" t="e">
        <f t="shared" ca="1" si="200"/>
        <v>#N/A</v>
      </c>
      <c r="U655" s="55" t="e">
        <f t="shared" ca="1" si="201"/>
        <v>#N/A</v>
      </c>
      <c r="V655" s="55" t="e">
        <f t="shared" ca="1" si="202"/>
        <v>#N/A</v>
      </c>
      <c r="W655" s="55" t="e">
        <f t="shared" ca="1" si="192"/>
        <v>#N/A</v>
      </c>
      <c r="X655" s="55" t="e">
        <f t="shared" ca="1" si="193"/>
        <v>#N/A</v>
      </c>
      <c r="Y655" s="55" t="e">
        <f t="shared" ca="1" si="194"/>
        <v>#N/A</v>
      </c>
      <c r="Z655" s="55" t="e">
        <f t="shared" ca="1" si="195"/>
        <v>#N/A</v>
      </c>
      <c r="AB655" t="e">
        <f t="shared" ca="1" si="191"/>
        <v>#N/A</v>
      </c>
      <c r="AC655" t="e">
        <f t="shared" ca="1" si="203"/>
        <v>#N/A</v>
      </c>
      <c r="AD655" t="e">
        <f t="shared" ca="1" si="204"/>
        <v>#N/A</v>
      </c>
      <c r="AE655" t="e">
        <f t="shared" ca="1" si="205"/>
        <v>#N/A</v>
      </c>
      <c r="AF655" s="83" t="e">
        <f ca="1"/>
        <v>#N/A</v>
      </c>
      <c r="AG655" s="55" t="e">
        <f t="shared" ca="1" si="206"/>
        <v>#N/A</v>
      </c>
      <c r="AH655" s="55" t="e">
        <f t="shared" ca="1" si="207"/>
        <v>#N/A</v>
      </c>
      <c r="AI655" s="55" t="e">
        <f t="shared" ca="1" si="208"/>
        <v>#N/A</v>
      </c>
      <c r="AJ655" s="55" t="e">
        <f t="shared" ca="1" si="209"/>
        <v>#N/A</v>
      </c>
      <c r="AK655" s="55" t="e">
        <f t="shared" ca="1" si="196"/>
        <v>#N/A</v>
      </c>
      <c r="AL655" s="55" t="e">
        <f t="shared" ca="1" si="197"/>
        <v>#N/A</v>
      </c>
      <c r="AM655" s="55" t="e">
        <f t="shared" ca="1" si="198"/>
        <v>#N/A</v>
      </c>
    </row>
    <row r="656" spans="18:39">
      <c r="R656" s="55" t="e">
        <f ca="1"/>
        <v>#N/A</v>
      </c>
      <c r="S656" s="55" t="e">
        <f t="shared" ca="1" si="199"/>
        <v>#N/A</v>
      </c>
      <c r="T656" s="55" t="e">
        <f t="shared" ca="1" si="200"/>
        <v>#N/A</v>
      </c>
      <c r="U656" s="55" t="e">
        <f t="shared" ca="1" si="201"/>
        <v>#N/A</v>
      </c>
      <c r="V656" s="55" t="e">
        <f t="shared" ca="1" si="202"/>
        <v>#N/A</v>
      </c>
      <c r="W656" s="55" t="e">
        <f t="shared" ca="1" si="192"/>
        <v>#N/A</v>
      </c>
      <c r="X656" s="55" t="e">
        <f t="shared" ca="1" si="193"/>
        <v>#N/A</v>
      </c>
      <c r="Y656" s="55" t="e">
        <f t="shared" ca="1" si="194"/>
        <v>#N/A</v>
      </c>
      <c r="Z656" s="55" t="e">
        <f t="shared" ca="1" si="195"/>
        <v>#N/A</v>
      </c>
      <c r="AB656" t="e">
        <f t="shared" ca="1" si="191"/>
        <v>#N/A</v>
      </c>
      <c r="AC656" t="e">
        <f t="shared" ca="1" si="203"/>
        <v>#N/A</v>
      </c>
      <c r="AD656" t="e">
        <f t="shared" ca="1" si="204"/>
        <v>#N/A</v>
      </c>
      <c r="AE656" t="e">
        <f t="shared" ca="1" si="205"/>
        <v>#N/A</v>
      </c>
      <c r="AF656" s="83" t="e">
        <f ca="1"/>
        <v>#N/A</v>
      </c>
      <c r="AG656" s="55" t="e">
        <f t="shared" ca="1" si="206"/>
        <v>#N/A</v>
      </c>
      <c r="AH656" s="55" t="e">
        <f t="shared" ca="1" si="207"/>
        <v>#N/A</v>
      </c>
      <c r="AI656" s="55" t="e">
        <f t="shared" ca="1" si="208"/>
        <v>#N/A</v>
      </c>
      <c r="AJ656" s="55" t="e">
        <f t="shared" ca="1" si="209"/>
        <v>#N/A</v>
      </c>
      <c r="AK656" s="55" t="e">
        <f t="shared" ca="1" si="196"/>
        <v>#N/A</v>
      </c>
      <c r="AL656" s="55" t="e">
        <f t="shared" ca="1" si="197"/>
        <v>#N/A</v>
      </c>
      <c r="AM656" s="55" t="e">
        <f t="shared" ca="1" si="198"/>
        <v>#N/A</v>
      </c>
    </row>
    <row r="657" spans="18:39">
      <c r="R657" s="55" t="e">
        <f ca="1"/>
        <v>#N/A</v>
      </c>
      <c r="S657" s="55" t="e">
        <f t="shared" ca="1" si="199"/>
        <v>#N/A</v>
      </c>
      <c r="T657" s="55" t="e">
        <f t="shared" ca="1" si="200"/>
        <v>#N/A</v>
      </c>
      <c r="U657" s="55" t="e">
        <f t="shared" ca="1" si="201"/>
        <v>#N/A</v>
      </c>
      <c r="V657" s="55" t="e">
        <f t="shared" ca="1" si="202"/>
        <v>#N/A</v>
      </c>
      <c r="W657" s="55" t="e">
        <f t="shared" ca="1" si="192"/>
        <v>#N/A</v>
      </c>
      <c r="X657" s="55" t="e">
        <f t="shared" ca="1" si="193"/>
        <v>#N/A</v>
      </c>
      <c r="Y657" s="55" t="e">
        <f t="shared" ca="1" si="194"/>
        <v>#N/A</v>
      </c>
      <c r="Z657" s="55" t="e">
        <f t="shared" ca="1" si="195"/>
        <v>#N/A</v>
      </c>
      <c r="AB657" t="e">
        <f t="shared" ca="1" si="191"/>
        <v>#N/A</v>
      </c>
      <c r="AC657" t="e">
        <f t="shared" ca="1" si="203"/>
        <v>#N/A</v>
      </c>
      <c r="AD657" t="e">
        <f t="shared" ca="1" si="204"/>
        <v>#N/A</v>
      </c>
      <c r="AE657" t="e">
        <f t="shared" ca="1" si="205"/>
        <v>#N/A</v>
      </c>
      <c r="AF657" s="83" t="e">
        <f ca="1"/>
        <v>#N/A</v>
      </c>
      <c r="AG657" s="55" t="e">
        <f t="shared" ca="1" si="206"/>
        <v>#N/A</v>
      </c>
      <c r="AH657" s="55" t="e">
        <f t="shared" ca="1" si="207"/>
        <v>#N/A</v>
      </c>
      <c r="AI657" s="55" t="e">
        <f t="shared" ca="1" si="208"/>
        <v>#N/A</v>
      </c>
      <c r="AJ657" s="55" t="e">
        <f t="shared" ca="1" si="209"/>
        <v>#N/A</v>
      </c>
      <c r="AK657" s="55" t="e">
        <f t="shared" ca="1" si="196"/>
        <v>#N/A</v>
      </c>
      <c r="AL657" s="55" t="e">
        <f t="shared" ca="1" si="197"/>
        <v>#N/A</v>
      </c>
      <c r="AM657" s="55" t="e">
        <f t="shared" ca="1" si="198"/>
        <v>#N/A</v>
      </c>
    </row>
    <row r="658" spans="18:39">
      <c r="R658" s="55" t="e">
        <f ca="1"/>
        <v>#N/A</v>
      </c>
      <c r="S658" s="55" t="e">
        <f t="shared" ca="1" si="199"/>
        <v>#N/A</v>
      </c>
      <c r="T658" s="55" t="e">
        <f t="shared" ca="1" si="200"/>
        <v>#N/A</v>
      </c>
      <c r="U658" s="55" t="e">
        <f t="shared" ca="1" si="201"/>
        <v>#N/A</v>
      </c>
      <c r="V658" s="55" t="e">
        <f t="shared" ca="1" si="202"/>
        <v>#N/A</v>
      </c>
      <c r="W658" s="55" t="e">
        <f t="shared" ca="1" si="192"/>
        <v>#N/A</v>
      </c>
      <c r="X658" s="55" t="e">
        <f t="shared" ca="1" si="193"/>
        <v>#N/A</v>
      </c>
      <c r="Y658" s="55" t="e">
        <f t="shared" ca="1" si="194"/>
        <v>#N/A</v>
      </c>
      <c r="Z658" s="55" t="e">
        <f t="shared" ca="1" si="195"/>
        <v>#N/A</v>
      </c>
      <c r="AB658" t="e">
        <f t="shared" ca="1" si="191"/>
        <v>#N/A</v>
      </c>
      <c r="AC658" t="e">
        <f t="shared" ca="1" si="203"/>
        <v>#N/A</v>
      </c>
      <c r="AD658" t="e">
        <f t="shared" ca="1" si="204"/>
        <v>#N/A</v>
      </c>
      <c r="AE658" t="e">
        <f t="shared" ca="1" si="205"/>
        <v>#N/A</v>
      </c>
      <c r="AF658" s="83" t="e">
        <f ca="1"/>
        <v>#N/A</v>
      </c>
      <c r="AG658" s="55" t="e">
        <f t="shared" ca="1" si="206"/>
        <v>#N/A</v>
      </c>
      <c r="AH658" s="55" t="e">
        <f t="shared" ca="1" si="207"/>
        <v>#N/A</v>
      </c>
      <c r="AI658" s="55" t="e">
        <f t="shared" ca="1" si="208"/>
        <v>#N/A</v>
      </c>
      <c r="AJ658" s="55" t="e">
        <f t="shared" ca="1" si="209"/>
        <v>#N/A</v>
      </c>
      <c r="AK658" s="55" t="e">
        <f t="shared" ca="1" si="196"/>
        <v>#N/A</v>
      </c>
      <c r="AL658" s="55" t="e">
        <f t="shared" ca="1" si="197"/>
        <v>#N/A</v>
      </c>
      <c r="AM658" s="55" t="e">
        <f t="shared" ca="1" si="198"/>
        <v>#N/A</v>
      </c>
    </row>
    <row r="659" spans="18:39">
      <c r="R659" s="55" t="e">
        <f ca="1"/>
        <v>#N/A</v>
      </c>
      <c r="S659" s="55" t="e">
        <f t="shared" ca="1" si="199"/>
        <v>#N/A</v>
      </c>
      <c r="T659" s="55" t="e">
        <f t="shared" ca="1" si="200"/>
        <v>#N/A</v>
      </c>
      <c r="U659" s="55" t="e">
        <f t="shared" ca="1" si="201"/>
        <v>#N/A</v>
      </c>
      <c r="V659" s="55" t="e">
        <f t="shared" ca="1" si="202"/>
        <v>#N/A</v>
      </c>
      <c r="W659" s="55" t="e">
        <f t="shared" ca="1" si="192"/>
        <v>#N/A</v>
      </c>
      <c r="X659" s="55" t="e">
        <f t="shared" ca="1" si="193"/>
        <v>#N/A</v>
      </c>
      <c r="Y659" s="55" t="e">
        <f t="shared" ca="1" si="194"/>
        <v>#N/A</v>
      </c>
      <c r="Z659" s="55" t="e">
        <f t="shared" ca="1" si="195"/>
        <v>#N/A</v>
      </c>
      <c r="AB659" t="e">
        <f t="shared" ca="1" si="191"/>
        <v>#N/A</v>
      </c>
      <c r="AC659" t="e">
        <f t="shared" ca="1" si="203"/>
        <v>#N/A</v>
      </c>
      <c r="AD659" t="e">
        <f t="shared" ca="1" si="204"/>
        <v>#N/A</v>
      </c>
      <c r="AE659" t="e">
        <f t="shared" ca="1" si="205"/>
        <v>#N/A</v>
      </c>
      <c r="AF659" s="83" t="e">
        <f ca="1"/>
        <v>#N/A</v>
      </c>
      <c r="AG659" s="55" t="e">
        <f t="shared" ca="1" si="206"/>
        <v>#N/A</v>
      </c>
      <c r="AH659" s="55" t="e">
        <f t="shared" ca="1" si="207"/>
        <v>#N/A</v>
      </c>
      <c r="AI659" s="55" t="e">
        <f t="shared" ca="1" si="208"/>
        <v>#N/A</v>
      </c>
      <c r="AJ659" s="55" t="e">
        <f t="shared" ca="1" si="209"/>
        <v>#N/A</v>
      </c>
      <c r="AK659" s="55" t="e">
        <f t="shared" ca="1" si="196"/>
        <v>#N/A</v>
      </c>
      <c r="AL659" s="55" t="e">
        <f t="shared" ca="1" si="197"/>
        <v>#N/A</v>
      </c>
      <c r="AM659" s="55" t="e">
        <f t="shared" ca="1" si="198"/>
        <v>#N/A</v>
      </c>
    </row>
    <row r="660" spans="18:39">
      <c r="R660" s="55" t="e">
        <f ca="1"/>
        <v>#N/A</v>
      </c>
      <c r="S660" s="55" t="e">
        <f t="shared" ca="1" si="199"/>
        <v>#N/A</v>
      </c>
      <c r="T660" s="55" t="e">
        <f t="shared" ca="1" si="200"/>
        <v>#N/A</v>
      </c>
      <c r="U660" s="55" t="e">
        <f t="shared" ca="1" si="201"/>
        <v>#N/A</v>
      </c>
      <c r="V660" s="55" t="e">
        <f t="shared" ca="1" si="202"/>
        <v>#N/A</v>
      </c>
      <c r="W660" s="55" t="e">
        <f t="shared" ca="1" si="192"/>
        <v>#N/A</v>
      </c>
      <c r="X660" s="55" t="e">
        <f t="shared" ca="1" si="193"/>
        <v>#N/A</v>
      </c>
      <c r="Y660" s="55" t="e">
        <f t="shared" ca="1" si="194"/>
        <v>#N/A</v>
      </c>
      <c r="Z660" s="55" t="e">
        <f t="shared" ca="1" si="195"/>
        <v>#N/A</v>
      </c>
      <c r="AB660" t="e">
        <f t="shared" ca="1" si="191"/>
        <v>#N/A</v>
      </c>
      <c r="AC660" t="e">
        <f t="shared" ca="1" si="203"/>
        <v>#N/A</v>
      </c>
      <c r="AD660" t="e">
        <f t="shared" ca="1" si="204"/>
        <v>#N/A</v>
      </c>
      <c r="AE660" t="e">
        <f t="shared" ca="1" si="205"/>
        <v>#N/A</v>
      </c>
      <c r="AF660" s="83" t="e">
        <f ca="1"/>
        <v>#N/A</v>
      </c>
      <c r="AG660" s="55" t="e">
        <f t="shared" ca="1" si="206"/>
        <v>#N/A</v>
      </c>
      <c r="AH660" s="55" t="e">
        <f t="shared" ca="1" si="207"/>
        <v>#N/A</v>
      </c>
      <c r="AI660" s="55" t="e">
        <f t="shared" ca="1" si="208"/>
        <v>#N/A</v>
      </c>
      <c r="AJ660" s="55" t="e">
        <f t="shared" ca="1" si="209"/>
        <v>#N/A</v>
      </c>
      <c r="AK660" s="55" t="e">
        <f t="shared" ca="1" si="196"/>
        <v>#N/A</v>
      </c>
      <c r="AL660" s="55" t="e">
        <f t="shared" ca="1" si="197"/>
        <v>#N/A</v>
      </c>
      <c r="AM660" s="55" t="e">
        <f t="shared" ca="1" si="198"/>
        <v>#N/A</v>
      </c>
    </row>
    <row r="661" spans="18:39">
      <c r="R661" s="55" t="e">
        <f ca="1"/>
        <v>#N/A</v>
      </c>
      <c r="S661" s="55" t="e">
        <f t="shared" ca="1" si="199"/>
        <v>#N/A</v>
      </c>
      <c r="T661" s="55" t="e">
        <f t="shared" ca="1" si="200"/>
        <v>#N/A</v>
      </c>
      <c r="U661" s="55" t="e">
        <f t="shared" ca="1" si="201"/>
        <v>#N/A</v>
      </c>
      <c r="V661" s="55" t="e">
        <f t="shared" ca="1" si="202"/>
        <v>#N/A</v>
      </c>
      <c r="W661" s="55" t="e">
        <f t="shared" ca="1" si="192"/>
        <v>#N/A</v>
      </c>
      <c r="X661" s="55" t="e">
        <f t="shared" ca="1" si="193"/>
        <v>#N/A</v>
      </c>
      <c r="Y661" s="55" t="e">
        <f t="shared" ca="1" si="194"/>
        <v>#N/A</v>
      </c>
      <c r="Z661" s="55" t="e">
        <f t="shared" ca="1" si="195"/>
        <v>#N/A</v>
      </c>
      <c r="AB661" t="e">
        <f t="shared" ca="1" si="191"/>
        <v>#N/A</v>
      </c>
      <c r="AC661" t="e">
        <f t="shared" ca="1" si="203"/>
        <v>#N/A</v>
      </c>
      <c r="AD661" t="e">
        <f t="shared" ca="1" si="204"/>
        <v>#N/A</v>
      </c>
      <c r="AE661" t="e">
        <f t="shared" ca="1" si="205"/>
        <v>#N/A</v>
      </c>
      <c r="AF661" s="83" t="e">
        <f ca="1"/>
        <v>#N/A</v>
      </c>
      <c r="AG661" s="55" t="e">
        <f t="shared" ca="1" si="206"/>
        <v>#N/A</v>
      </c>
      <c r="AH661" s="55" t="e">
        <f t="shared" ca="1" si="207"/>
        <v>#N/A</v>
      </c>
      <c r="AI661" s="55" t="e">
        <f t="shared" ca="1" si="208"/>
        <v>#N/A</v>
      </c>
      <c r="AJ661" s="55" t="e">
        <f t="shared" ca="1" si="209"/>
        <v>#N/A</v>
      </c>
      <c r="AK661" s="55" t="e">
        <f t="shared" ca="1" si="196"/>
        <v>#N/A</v>
      </c>
      <c r="AL661" s="55" t="e">
        <f t="shared" ca="1" si="197"/>
        <v>#N/A</v>
      </c>
      <c r="AM661" s="55" t="e">
        <f t="shared" ca="1" si="198"/>
        <v>#N/A</v>
      </c>
    </row>
    <row r="662" spans="18:39">
      <c r="R662" s="55" t="e">
        <f ca="1"/>
        <v>#N/A</v>
      </c>
      <c r="S662" s="55" t="e">
        <f t="shared" ca="1" si="199"/>
        <v>#N/A</v>
      </c>
      <c r="T662" s="55" t="e">
        <f t="shared" ca="1" si="200"/>
        <v>#N/A</v>
      </c>
      <c r="U662" s="55" t="e">
        <f t="shared" ca="1" si="201"/>
        <v>#N/A</v>
      </c>
      <c r="V662" s="55" t="e">
        <f t="shared" ca="1" si="202"/>
        <v>#N/A</v>
      </c>
      <c r="W662" s="55" t="e">
        <f t="shared" ca="1" si="192"/>
        <v>#N/A</v>
      </c>
      <c r="X662" s="55" t="e">
        <f t="shared" ca="1" si="193"/>
        <v>#N/A</v>
      </c>
      <c r="Y662" s="55" t="e">
        <f t="shared" ca="1" si="194"/>
        <v>#N/A</v>
      </c>
      <c r="Z662" s="55" t="e">
        <f t="shared" ca="1" si="195"/>
        <v>#N/A</v>
      </c>
      <c r="AB662" t="e">
        <f t="shared" ca="1" si="191"/>
        <v>#N/A</v>
      </c>
      <c r="AC662" t="e">
        <f t="shared" ca="1" si="203"/>
        <v>#N/A</v>
      </c>
      <c r="AD662" t="e">
        <f t="shared" ca="1" si="204"/>
        <v>#N/A</v>
      </c>
      <c r="AE662" t="e">
        <f t="shared" ca="1" si="205"/>
        <v>#N/A</v>
      </c>
      <c r="AF662" s="83" t="e">
        <f ca="1"/>
        <v>#N/A</v>
      </c>
      <c r="AG662" s="55" t="e">
        <f t="shared" ca="1" si="206"/>
        <v>#N/A</v>
      </c>
      <c r="AH662" s="55" t="e">
        <f t="shared" ca="1" si="207"/>
        <v>#N/A</v>
      </c>
      <c r="AI662" s="55" t="e">
        <f t="shared" ca="1" si="208"/>
        <v>#N/A</v>
      </c>
      <c r="AJ662" s="55" t="e">
        <f t="shared" ca="1" si="209"/>
        <v>#N/A</v>
      </c>
      <c r="AK662" s="55" t="e">
        <f t="shared" ca="1" si="196"/>
        <v>#N/A</v>
      </c>
      <c r="AL662" s="55" t="e">
        <f t="shared" ca="1" si="197"/>
        <v>#N/A</v>
      </c>
      <c r="AM662" s="55" t="e">
        <f t="shared" ca="1" si="19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AB15:AE15"/>
    <mergeCell ref="AF15:AJ15"/>
    <mergeCell ref="R15:V15"/>
    <mergeCell ref="D1:H1"/>
    <mergeCell ref="D2:H2"/>
  </mergeCells>
  <conditionalFormatting sqref="H29:H43">
    <cfRule type="containsText" dxfId="23" priority="48" operator="containsText" text="Suggested">
      <formula>NOT(ISERROR(SEARCH("Suggested",H29)))</formula>
    </cfRule>
  </conditionalFormatting>
  <conditionalFormatting sqref="F29:G29">
    <cfRule type="expression" dxfId="22" priority="54">
      <formula>$B$29=1</formula>
    </cfRule>
  </conditionalFormatting>
  <conditionalFormatting sqref="F30:G30">
    <cfRule type="expression" dxfId="21" priority="61">
      <formula>$B$30=1</formula>
    </cfRule>
  </conditionalFormatting>
  <conditionalFormatting sqref="F31:G31">
    <cfRule type="expression" dxfId="20" priority="63">
      <formula>$B$31=1</formula>
    </cfRule>
  </conditionalFormatting>
  <conditionalFormatting sqref="F32:G32">
    <cfRule type="expression" dxfId="19" priority="65">
      <formula>$B$32=1</formula>
    </cfRule>
  </conditionalFormatting>
  <conditionalFormatting sqref="F33:G33">
    <cfRule type="expression" dxfId="18" priority="67">
      <formula>$B$33=1</formula>
    </cfRule>
  </conditionalFormatting>
  <conditionalFormatting sqref="F34:G34">
    <cfRule type="expression" dxfId="17" priority="69">
      <formula>$B$34=1</formula>
    </cfRule>
  </conditionalFormatting>
  <conditionalFormatting sqref="F35:G35">
    <cfRule type="expression" dxfId="16" priority="71">
      <formula>$B$35=1</formula>
    </cfRule>
  </conditionalFormatting>
  <conditionalFormatting sqref="F36">
    <cfRule type="expression" dxfId="15" priority="73">
      <formula>$B$36=1</formula>
    </cfRule>
  </conditionalFormatting>
  <conditionalFormatting sqref="F37:G37">
    <cfRule type="expression" dxfId="14" priority="75">
      <formula>$B$37=1</formula>
    </cfRule>
  </conditionalFormatting>
  <conditionalFormatting sqref="F38:G38">
    <cfRule type="expression" dxfId="13" priority="77">
      <formula>$B$38=1</formula>
    </cfRule>
  </conditionalFormatting>
  <conditionalFormatting sqref="F22:H24 C22:E23 C17:H21 D24 C25:H45">
    <cfRule type="expression" dxfId="12" priority="8">
      <formula>$B$1=1</formula>
    </cfRule>
  </conditionalFormatting>
  <conditionalFormatting sqref="C55:E56 F54:H55 C68:H71 C64:E67 F65:H66 F8:H15 C57:H63 C53:H53 C52:D52 F52:H52 C46:H51 C54 E54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2:E72">
    <cfRule type="expression" dxfId="9" priority="4">
      <formula>NOT($B$1=3)</formula>
    </cfRule>
  </conditionalFormatting>
  <conditionalFormatting sqref="C72">
    <cfRule type="expression" dxfId="8" priority="3">
      <formula>NOT($B$1=3)</formula>
    </cfRule>
  </conditionalFormatting>
  <conditionalFormatting sqref="G36">
    <cfRule type="expression" dxfId="7" priority="86">
      <formula>$B$36</formula>
    </cfRule>
  </conditionalFormatting>
  <conditionalFormatting sqref="F39:G39">
    <cfRule type="expression" dxfId="6" priority="89">
      <formula>$B$39=1</formula>
    </cfRule>
  </conditionalFormatting>
  <conditionalFormatting sqref="F40:G40">
    <cfRule type="expression" dxfId="5" priority="90">
      <formula>$B$40=1</formula>
    </cfRule>
  </conditionalFormatting>
  <conditionalFormatting sqref="F41:G41">
    <cfRule type="expression" dxfId="4" priority="91">
      <formula>$B$41=1</formula>
    </cfRule>
  </conditionalFormatting>
  <conditionalFormatting sqref="F42:G42">
    <cfRule type="expression" dxfId="3" priority="92">
      <formula>$B$42=1</formula>
    </cfRule>
  </conditionalFormatting>
  <conditionalFormatting sqref="F43:G43">
    <cfRule type="expression" dxfId="2" priority="93">
      <formula>$B$43=1</formula>
    </cfRule>
  </conditionalFormatting>
  <conditionalFormatting sqref="C24 E24">
    <cfRule type="expression" dxfId="1" priority="2">
      <formula>$B$1=1</formula>
    </cfRule>
  </conditionalFormatting>
  <conditionalFormatting sqref="D54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51 E62:E63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R1004"/>
  <sheetViews>
    <sheetView topLeftCell="F9" zoomScale="105" workbookViewId="0">
      <selection activeCell="L11" sqref="L11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7" max="7" width="7.5703125" customWidth="1"/>
    <col min="8" max="8" width="22.28515625" bestFit="1" customWidth="1"/>
    <col min="10" max="10" width="13.7109375" customWidth="1"/>
    <col min="11" max="11" width="12.5703125" bestFit="1" customWidth="1"/>
    <col min="12" max="12" width="11.7109375" bestFit="1" customWidth="1"/>
    <col min="13" max="24" width="11.7109375" customWidth="1"/>
    <col min="25" max="25" width="10.7109375" bestFit="1" customWidth="1"/>
    <col min="26" max="26" width="10.7109375" customWidth="1"/>
    <col min="27" max="28" width="11.7109375" customWidth="1"/>
    <col min="29" max="29" width="10.7109375" bestFit="1" customWidth="1"/>
    <col min="32" max="32" width="6.140625" customWidth="1"/>
    <col min="39" max="39" width="3.7109375" customWidth="1"/>
    <col min="40" max="40" width="14.140625" customWidth="1"/>
    <col min="41" max="41" width="12.5703125" customWidth="1"/>
    <col min="42" max="42" width="6.28515625" customWidth="1"/>
    <col min="43" max="43" width="15.140625" bestFit="1" customWidth="1"/>
    <col min="44" max="44" width="17.42578125" bestFit="1" customWidth="1"/>
    <col min="45" max="45" width="12.42578125" bestFit="1" customWidth="1"/>
    <col min="46" max="46" width="6" bestFit="1" customWidth="1"/>
  </cols>
  <sheetData>
    <row r="1" spans="1:44">
      <c r="I1" t="str">
        <f t="array" aca="1" ref="I1:P3" ca="1">_xll.GetDailyNBalanceSummary(A6:B54,D17:E23,D8:E14)</f>
        <v>Mineral</v>
      </c>
      <c r="J1" t="str">
        <f ca="1"/>
        <v>Crop Product</v>
      </c>
      <c r="K1" t="str">
        <f ca="1"/>
        <v>Other Crop Parts</v>
      </c>
      <c r="L1" t="str">
        <f ca="1"/>
        <v>Soil Organic</v>
      </c>
      <c r="M1" t="str">
        <f ca="1"/>
        <v>Residues</v>
      </c>
      <c r="N1" t="str">
        <f ca="1"/>
        <v>Fertiliser</v>
      </c>
      <c r="O1" t="str">
        <f ca="1"/>
        <v>Uncharacterised</v>
      </c>
      <c r="P1" t="str">
        <f ca="1"/>
        <v>Total</v>
      </c>
      <c r="Q1" t="s">
        <v>278</v>
      </c>
    </row>
    <row r="2" spans="1:44">
      <c r="H2" t="s">
        <v>276</v>
      </c>
      <c r="I2">
        <f ca="1"/>
        <v>50</v>
      </c>
      <c r="J2">
        <f ca="1"/>
        <v>0</v>
      </c>
      <c r="K2">
        <f ca="1"/>
        <v>2</v>
      </c>
      <c r="L2">
        <f ca="1"/>
        <v>157</v>
      </c>
      <c r="M2">
        <f ca="1"/>
        <v>16</v>
      </c>
      <c r="N2">
        <f ca="1"/>
        <v>227</v>
      </c>
      <c r="O2">
        <f ca="1"/>
        <v>0</v>
      </c>
      <c r="P2">
        <f ca="1"/>
        <v>452</v>
      </c>
      <c r="Q2">
        <f ca="1">SUM(I2:O2)</f>
        <v>452</v>
      </c>
      <c r="R2">
        <f ca="1">Q2-P2</f>
        <v>0</v>
      </c>
    </row>
    <row r="3" spans="1:44">
      <c r="H3" t="s">
        <v>277</v>
      </c>
      <c r="I3">
        <f ca="1"/>
        <v>15</v>
      </c>
      <c r="J3">
        <f ca="1"/>
        <v>218</v>
      </c>
      <c r="K3">
        <f ca="1"/>
        <v>131</v>
      </c>
      <c r="L3">
        <f ca="1"/>
        <v>0</v>
      </c>
      <c r="M3">
        <f ca="1"/>
        <v>0</v>
      </c>
      <c r="N3">
        <f ca="1"/>
        <v>0</v>
      </c>
      <c r="O3">
        <f ca="1"/>
        <v>89</v>
      </c>
      <c r="P3">
        <f ca="1"/>
        <v>392</v>
      </c>
      <c r="Q3">
        <f ca="1">SUM(I3:O3)</f>
        <v>453</v>
      </c>
    </row>
    <row r="4" spans="1:44" ht="15.75" thickBot="1"/>
    <row r="5" spans="1:44" ht="27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/>
      <c r="X5" s="97" t="s">
        <v>175</v>
      </c>
      <c r="Y5" s="97" t="s">
        <v>174</v>
      </c>
      <c r="AB5" s="97"/>
      <c r="AH5" t="str">
        <f t="array" aca="1" ref="AH5:AR8" ca="1">_xll.GetDailyNBalanceSummary(A6:B54,D17:E23,D8:E14)</f>
        <v>Mineral</v>
      </c>
      <c r="AI5" t="str">
        <f ca="1"/>
        <v>Crop Product</v>
      </c>
      <c r="AJ5" t="str">
        <f ca="1"/>
        <v>Other Crop Parts</v>
      </c>
      <c r="AK5" t="str">
        <f ca="1"/>
        <v>Soil Organic</v>
      </c>
      <c r="AL5" t="str">
        <f ca="1"/>
        <v>Residues</v>
      </c>
      <c r="AM5" t="str">
        <f ca="1"/>
        <v>Fertiliser</v>
      </c>
      <c r="AN5" t="str">
        <f ca="1"/>
        <v>Uncharacterised</v>
      </c>
      <c r="AO5" t="str">
        <f ca="1"/>
        <v>Total</v>
      </c>
      <c r="AP5" t="e">
        <f ca="1"/>
        <v>#N/A</v>
      </c>
      <c r="AQ5" t="e">
        <f ca="1"/>
        <v>#N/A</v>
      </c>
      <c r="AR5" t="e">
        <f ca="1"/>
        <v>#N/A</v>
      </c>
    </row>
    <row r="6" spans="1:44" ht="15.75" thickBot="1">
      <c r="A6" s="12" t="s">
        <v>244</v>
      </c>
      <c r="B6" s="13" t="str">
        <f>Location</f>
        <v>pukekohe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Y6" s="97"/>
      <c r="AB6" s="97"/>
      <c r="AH6">
        <f ca="1"/>
        <v>50</v>
      </c>
      <c r="AI6">
        <f ca="1"/>
        <v>0</v>
      </c>
      <c r="AJ6">
        <f ca="1"/>
        <v>2</v>
      </c>
      <c r="AK6">
        <f ca="1"/>
        <v>157</v>
      </c>
      <c r="AL6">
        <f ca="1"/>
        <v>16</v>
      </c>
      <c r="AM6">
        <f ca="1"/>
        <v>227</v>
      </c>
      <c r="AN6">
        <f ca="1"/>
        <v>0</v>
      </c>
      <c r="AO6">
        <f ca="1"/>
        <v>452</v>
      </c>
      <c r="AP6" t="e">
        <f ca="1"/>
        <v>#N/A</v>
      </c>
      <c r="AQ6" t="e">
        <f ca="1"/>
        <v>#N/A</v>
      </c>
      <c r="AR6" t="e">
        <f ca="1"/>
        <v>#N/A</v>
      </c>
    </row>
    <row r="7" spans="1:44">
      <c r="A7" s="12" t="s">
        <v>224</v>
      </c>
      <c r="B7" s="13" t="str">
        <f>SoilOrder</f>
        <v>SandyLoam</v>
      </c>
      <c r="D7" s="39" t="str">
        <f>ConceptDemo!C27</f>
        <v>Fertiliser already applied or planned</v>
      </c>
      <c r="E7" s="40"/>
      <c r="I7" s="12" t="s">
        <v>0</v>
      </c>
      <c r="J7" s="28">
        <f ca="1">B25+1</f>
        <v>45520</v>
      </c>
      <c r="K7" s="3">
        <v>50</v>
      </c>
      <c r="L7" s="3"/>
      <c r="M7" s="3">
        <f ca="1">SUMIF($I$12:$I$1005,TRUE,M12:M1005)</f>
        <v>15.904355061551488</v>
      </c>
      <c r="N7" s="3">
        <f ca="1">SUMIF($I$12:$I$1005,TRUE,N12:N1005)</f>
        <v>157.4353323553039</v>
      </c>
      <c r="O7" s="3">
        <f ca="1">SUMIF($I$12:$I$1005,TRUE,O12:O1005)</f>
        <v>226.64178082058339</v>
      </c>
      <c r="P7" s="3">
        <f ca="1">VLOOKUP(B36,ModelOutputs,P9,FALSE)-Q7</f>
        <v>0.92845634531635546</v>
      </c>
      <c r="Q7">
        <f ca="1">VLOOKUP(B36,ModelOutputs,Q9,FALSE)</f>
        <v>1.542631109524043</v>
      </c>
      <c r="R7" s="13"/>
      <c r="X7" s="3">
        <f ca="1">MAX(0,Y8-Y7)</f>
        <v>0</v>
      </c>
      <c r="Y7" s="3">
        <f ca="1">SUM(K7:R7)</f>
        <v>452.45255569227919</v>
      </c>
      <c r="AB7" s="3"/>
      <c r="AH7">
        <f ca="1"/>
        <v>15</v>
      </c>
      <c r="AI7">
        <f ca="1"/>
        <v>218</v>
      </c>
      <c r="AJ7">
        <f ca="1"/>
        <v>131</v>
      </c>
      <c r="AK7">
        <f ca="1"/>
        <v>0</v>
      </c>
      <c r="AL7">
        <f ca="1"/>
        <v>0</v>
      </c>
      <c r="AM7">
        <f ca="1"/>
        <v>0</v>
      </c>
      <c r="AN7">
        <f ca="1"/>
        <v>89</v>
      </c>
      <c r="AO7">
        <f ca="1"/>
        <v>392</v>
      </c>
      <c r="AP7" t="e">
        <f ca="1"/>
        <v>#N/A</v>
      </c>
      <c r="AQ7" t="e">
        <f ca="1"/>
        <v>#N/A</v>
      </c>
      <c r="AR7" t="e">
        <f ca="1"/>
        <v>#N/A</v>
      </c>
    </row>
    <row r="8" spans="1:44" ht="15.7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45742</v>
      </c>
      <c r="K8" s="24">
        <f ca="1">VLOOKUP(J8,ModelOutputs,2,FALSE)</f>
        <v>14.858346020610936</v>
      </c>
      <c r="L8" s="27"/>
      <c r="M8" s="25"/>
      <c r="N8" s="25"/>
      <c r="O8" s="25"/>
      <c r="P8" s="24">
        <f ca="1">(VLOOKUP($J$8,ModelOutputs,P9,FALSE)-VLOOKUP($J$7+1,ModelOutputs,P9,FALSE))-Q8</f>
        <v>130.90573232936606</v>
      </c>
      <c r="Q8" s="26">
        <f ca="1">VLOOKUP($J$8,ModelOutputs,Q9,FALSE)-VLOOKUP($J$7+1,ModelOutputs,Q9,FALSE)</f>
        <v>217.5</v>
      </c>
      <c r="R8" s="27">
        <f ca="1">SUMIF($I$12:$I$1005,TRUE,R12:R1005)</f>
        <v>29.070728591425024</v>
      </c>
      <c r="S8" s="3"/>
      <c r="T8" s="3"/>
      <c r="U8" s="3"/>
      <c r="V8" s="3"/>
      <c r="W8" s="3"/>
      <c r="X8" s="3">
        <f ca="1">MAX(0,Y7-Y8)</f>
        <v>60.117748750877183</v>
      </c>
      <c r="Y8" s="3">
        <f ca="1">SUM(K8:R8)</f>
        <v>392.33480694140201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  <c r="AR8" t="e">
        <f ca="1"/>
        <v>#N/A</v>
      </c>
    </row>
    <row r="9" spans="1:44">
      <c r="A9" s="12" t="s">
        <v>234</v>
      </c>
      <c r="B9" s="13" t="str">
        <f>SoilCategory</f>
        <v>Sedimentary</v>
      </c>
      <c r="D9" s="37" t="str">
        <f>IF(ConceptDemo!C29="","",ConceptDemo!C29)</f>
        <v/>
      </c>
      <c r="E9" s="38" t="str">
        <f>IF(ConceptDemo!D29="","",ConceptDemo!D29)</f>
        <v/>
      </c>
      <c r="L9">
        <f ca="1">SUMIF(H11:H1004,FALSE,L11:L1004)</f>
        <v>351.44188174110968</v>
      </c>
      <c r="M9">
        <f ca="1">SUMIF(H11:H1004,TRUE,M11:M1004)</f>
        <v>15.902810636034033</v>
      </c>
      <c r="P9">
        <v>7</v>
      </c>
      <c r="Q9">
        <v>8</v>
      </c>
      <c r="X9" s="3"/>
      <c r="AB9" s="3"/>
      <c r="AH9" t="e" cm="1">
        <f t="array" aca="1" ref="AH9" ca="1">_xll.GetDailyNBalanceSummary(A10:B58,D21:E27,D12:E18)</f>
        <v>#VALUE!</v>
      </c>
      <c r="AI9" t="e" cm="1">
        <f t="array" aca="1" ref="AI9" ca="1">_xll.GetDailyNBalanceSummary(B10:C58,E21:F27,E12:F18)</f>
        <v>#VALUE!</v>
      </c>
      <c r="AJ9" t="e" cm="1" vm="1">
        <f t="array" aca="1" ref="AJ9" ca="1">_xll.GetDailyNBalanceSummary(C10:D58,F21:G27,F12:G18)</f>
        <v>#VALUE!</v>
      </c>
      <c r="AK9" t="e" cm="1" vm="1">
        <f t="array" aca="1" ref="AK9" ca="1">_xll.GetDailyNBalanceSummary(D10:E58,G21:H27,G12:H18)</f>
        <v>#VALUE!</v>
      </c>
      <c r="AL9" t="e" cm="1">
        <f t="array" aca="1" ref="AL9" ca="1">_xll.GetDailyNBalanceSummary(E10:F58,H21:I27,H12:I18)</f>
        <v>#VALUE!</v>
      </c>
      <c r="AM9" t="e" cm="1">
        <f t="array" aca="1" ref="AM9" ca="1">_xll.GetDailyNBalanceSummary(F10:G58,I21:J27,I12:J18)</f>
        <v>#VALUE!</v>
      </c>
      <c r="AN9" t="e" cm="1">
        <f t="array" aca="1" ref="AN9" ca="1">_xll.GetDailyNBalanceSummary(G10:H58,J21:K27,J12:K18)</f>
        <v>#VALUE!</v>
      </c>
      <c r="AO9" t="e" cm="1">
        <f t="array" aca="1" ref="AO9" ca="1">_xll.GetDailyNBalanceSummary(H10:I58,K21:L27,K12:L18)</f>
        <v>#VALUE!</v>
      </c>
      <c r="AP9" t="e" cm="1">
        <f t="array" aca="1" ref="AP9" ca="1">_xll.GetDailyNBalanceSummary(I10:J58,L21:M27,L12:M18)</f>
        <v>#VALUE!</v>
      </c>
    </row>
    <row r="10" spans="1:44">
      <c r="A10" s="12" t="s">
        <v>206</v>
      </c>
      <c r="B10" s="13">
        <f>HWEON</f>
        <v>50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W10" t="s">
        <v>284</v>
      </c>
      <c r="Y10" t="s">
        <v>142</v>
      </c>
      <c r="Z10" t="s">
        <v>143</v>
      </c>
      <c r="AH10" t="e" cm="1">
        <f t="array" aca="1" ref="AH10" ca="1">_xll.GetDailyNBalanceSummary(A11:B59,D22:E28,D13:E19)</f>
        <v>#VALUE!</v>
      </c>
      <c r="AI10" t="e" cm="1">
        <f t="array" aca="1" ref="AI10" ca="1">_xll.GetDailyNBalanceSummary(B11:C59,E22:F28,E13:F19)</f>
        <v>#VALUE!</v>
      </c>
      <c r="AJ10" t="e" cm="1" vm="2">
        <f t="array" aca="1" ref="AJ10" ca="1">_xll.GetDailyNBalanceSummary(C11:D59,F22:G28,F13:G19)</f>
        <v>#VALUE!</v>
      </c>
      <c r="AK10" t="e" cm="1" vm="2">
        <f t="array" aca="1" ref="AK10" ca="1">_xll.GetDailyNBalanceSummary(D11:E59,G22:H28,G13:H19)</f>
        <v>#VALUE!</v>
      </c>
      <c r="AL10" t="e" cm="1">
        <f t="array" aca="1" ref="AL10" ca="1">_xll.GetDailyNBalanceSummary(E11:F59,H22:I28,H13:I19)</f>
        <v>#VALUE!</v>
      </c>
      <c r="AM10" t="e" cm="1">
        <f t="array" aca="1" ref="AM10" ca="1">_xll.GetDailyNBalanceSummary(F11:G59,I22:J28,I13:J19)</f>
        <v>#VALUE!</v>
      </c>
      <c r="AN10" t="e" cm="1">
        <f t="array" aca="1" ref="AN10" ca="1">_xll.GetDailyNBalanceSummary(G11:H59,J22:K28,J13:K19)</f>
        <v>#VALUE!</v>
      </c>
      <c r="AO10" t="e" cm="1">
        <f t="array" aca="1" ref="AO10" ca="1">_xll.GetDailyNBalanceSummary(H11:I59,K22:L28,K13:L19)</f>
        <v>#VALUE!</v>
      </c>
      <c r="AP10" t="e" cm="1">
        <f t="array" aca="1" ref="AP10" ca="1">_xll.GetDailyNBalanceSummary(I11:J59,L22:M28,L13:M19)</f>
        <v>#VALUE!</v>
      </c>
    </row>
    <row r="11" spans="1:44">
      <c r="A11" s="12" t="s">
        <v>25</v>
      </c>
      <c r="B11" s="13">
        <f>Splits</f>
        <v>3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45519</v>
      </c>
      <c r="K11">
        <f ca="1"/>
        <v>0</v>
      </c>
      <c r="L11">
        <f ca="1"/>
        <v>1.1303580589935507</v>
      </c>
      <c r="M11">
        <f ca="1"/>
        <v>0</v>
      </c>
      <c r="N11" s="4">
        <f ca="1"/>
        <v>0.57479409162341311</v>
      </c>
      <c r="O11">
        <f ca="1"/>
        <v>0</v>
      </c>
      <c r="P11">
        <f ca="1"/>
        <v>62.70000000000001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0.99999995543201425</v>
      </c>
      <c r="Y11" s="2">
        <f t="shared" ref="Y11:Y74" ca="1" si="1">IFERROR(J11,$Y$9)</f>
        <v>45519</v>
      </c>
      <c r="Z11">
        <f t="shared" ref="Z11:Z74" ca="1" si="2">IFERROR(O11,0)</f>
        <v>0</v>
      </c>
      <c r="AB11" s="3"/>
      <c r="AC11" s="3"/>
      <c r="AE11" s="3"/>
      <c r="AF11" s="3"/>
      <c r="AH11" t="e" cm="1">
        <f t="array" aca="1" ref="AH11" ca="1">_xll.GetDailyNBalanceSummary(A12:B60,D23:E29,D14:E20)</f>
        <v>#VALUE!</v>
      </c>
      <c r="AI11" t="e" cm="1">
        <f t="array" aca="1" ref="AI11" ca="1">_xll.GetDailyNBalanceSummary(B12:C60,E23:F29,E14:F20)</f>
        <v>#VALUE!</v>
      </c>
      <c r="AJ11" t="e" cm="1" vm="3">
        <f t="array" aca="1" ref="AJ11" ca="1">_xll.GetDailyNBalanceSummary(C12:D60,F23:G29,F14:G20)</f>
        <v>#VALUE!</v>
      </c>
      <c r="AK11" t="e" cm="1" vm="3">
        <f t="array" aca="1" ref="AK11" ca="1">_xll.GetDailyNBalanceSummary(D12:E60,G23:H29,G14:H20)</f>
        <v>#VALUE!</v>
      </c>
      <c r="AL11" t="e" cm="1">
        <f t="array" aca="1" ref="AL11" ca="1">_xll.GetDailyNBalanceSummary(E12:F60,H23:I29,H14:I20)</f>
        <v>#VALUE!</v>
      </c>
      <c r="AM11" t="e" cm="1">
        <f t="array" aca="1" ref="AM11" ca="1">_xll.GetDailyNBalanceSummary(F12:G60,I23:J29,I14:J20)</f>
        <v>#VALUE!</v>
      </c>
      <c r="AN11" t="e" cm="1">
        <f t="array" aca="1" ref="AN11" ca="1">_xll.GetDailyNBalanceSummary(G12:H60,J23:K29,J14:K20)</f>
        <v>#VALUE!</v>
      </c>
      <c r="AO11" t="e" cm="1">
        <f t="array" aca="1" ref="AO11" ca="1">_xll.GetDailyNBalanceSummary(H12:I60,K23:L29,K14:L20)</f>
        <v>#VALUE!</v>
      </c>
      <c r="AP11" t="e" cm="1">
        <f t="array" aca="1" ref="AP11" ca="1">_xll.GetDailyNBalanceSummary(I12:J60,L23:M29,L14:M20)</f>
        <v>#VALUE!</v>
      </c>
    </row>
    <row r="12" spans="1:44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45520</v>
      </c>
      <c r="K12">
        <f ca="1"/>
        <v>50.589124697927666</v>
      </c>
      <c r="L12">
        <f ca="1"/>
        <v>0</v>
      </c>
      <c r="M12">
        <f ca="1"/>
        <v>-1.6855424231625588E-2</v>
      </c>
      <c r="N12" s="4">
        <f ca="1"/>
        <v>0.60598012215929664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0.95128985507246389</v>
      </c>
      <c r="T12">
        <f ca="1"/>
        <v>0</v>
      </c>
      <c r="U12">
        <f ca="1"/>
        <v>0</v>
      </c>
      <c r="V12">
        <f ca="1"/>
        <v>0</v>
      </c>
      <c r="Y12" s="2">
        <f t="shared" ca="1" si="1"/>
        <v>45520</v>
      </c>
      <c r="Z12">
        <f t="shared" ca="1" si="2"/>
        <v>0</v>
      </c>
      <c r="AA12" s="3"/>
      <c r="AB12" s="63">
        <f ca="1">K11+M12+N12+O12</f>
        <v>0.58912469792767108</v>
      </c>
      <c r="AC12" s="63">
        <f ca="1">K12+L12+R12</f>
        <v>50.589124697927666</v>
      </c>
      <c r="AD12" s="3">
        <f ca="1">AC12-AB12</f>
        <v>49.999999999999993</v>
      </c>
      <c r="AF12" s="3"/>
    </row>
    <row r="13" spans="1:44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45521</v>
      </c>
      <c r="K13">
        <f ca="1"/>
        <v>51.207592486389814</v>
      </c>
      <c r="L13">
        <f ca="1"/>
        <v>0</v>
      </c>
      <c r="M13">
        <f ca="1"/>
        <v>5.4479547311245546E-3</v>
      </c>
      <c r="N13" s="4">
        <f ca="1"/>
        <v>0.61301983373102298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0.98233423440453704</v>
      </c>
      <c r="T13">
        <f ca="1"/>
        <v>0</v>
      </c>
      <c r="U13">
        <f ca="1"/>
        <v>0</v>
      </c>
      <c r="V13">
        <f ca="1"/>
        <v>0</v>
      </c>
      <c r="Y13" s="2">
        <f t="shared" ca="1" si="1"/>
        <v>45521</v>
      </c>
      <c r="Z13">
        <f t="shared" ca="1" si="2"/>
        <v>0</v>
      </c>
      <c r="AB13" s="63">
        <f t="shared" ref="AB13:AB76" ca="1" si="4">K12+M13+N13+O13</f>
        <v>51.207592486389814</v>
      </c>
      <c r="AC13" s="63">
        <f t="shared" ref="AC13:AC76" ca="1" si="5">K13+L13+R13</f>
        <v>51.207592486389814</v>
      </c>
      <c r="AD13" s="3">
        <f t="shared" ref="AD13:AD76" ca="1" si="6">AC13-AB13</f>
        <v>0</v>
      </c>
    </row>
    <row r="14" spans="1:44" ht="15.7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45522</v>
      </c>
      <c r="K14">
        <f ca="1"/>
        <v>51.692920370469388</v>
      </c>
      <c r="L14">
        <f ca="1"/>
        <v>0</v>
      </c>
      <c r="M14">
        <f ca="1"/>
        <v>2.6237522892138904E-2</v>
      </c>
      <c r="N14" s="4">
        <f ca="1"/>
        <v>0.61663270161146977</v>
      </c>
      <c r="O14">
        <f ca="1"/>
        <v>0</v>
      </c>
      <c r="P14">
        <f ca="1"/>
        <v>0</v>
      </c>
      <c r="Q14">
        <f ca="1"/>
        <v>0</v>
      </c>
      <c r="R14">
        <f ca="1"/>
        <v>0.15754234042403967</v>
      </c>
      <c r="S14">
        <f ca="1"/>
        <v>1</v>
      </c>
      <c r="T14">
        <f ca="1"/>
        <v>0.55339052495274643</v>
      </c>
      <c r="U14">
        <f ca="1"/>
        <v>0</v>
      </c>
      <c r="V14">
        <f ca="1"/>
        <v>0</v>
      </c>
      <c r="Y14" s="2">
        <f t="shared" ca="1" si="1"/>
        <v>45522</v>
      </c>
      <c r="Z14">
        <f t="shared" ca="1" si="2"/>
        <v>0</v>
      </c>
      <c r="AB14" s="63">
        <f t="shared" ca="1" si="4"/>
        <v>51.850462710893424</v>
      </c>
      <c r="AC14" s="63">
        <f t="shared" ca="1" si="5"/>
        <v>51.850462710893424</v>
      </c>
      <c r="AD14" s="3">
        <f t="shared" ca="1" si="6"/>
        <v>0</v>
      </c>
    </row>
    <row r="15" spans="1:44" ht="15.7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45523</v>
      </c>
      <c r="K15">
        <f ca="1"/>
        <v>51.51631387091183</v>
      </c>
      <c r="L15">
        <f ca="1"/>
        <v>0</v>
      </c>
      <c r="M15">
        <f ca="1"/>
        <v>4.6535224750847232E-2</v>
      </c>
      <c r="N15" s="4">
        <f ca="1"/>
        <v>0.63367163508664515</v>
      </c>
      <c r="O15">
        <f ca="1"/>
        <v>0</v>
      </c>
      <c r="P15">
        <f ca="1"/>
        <v>0</v>
      </c>
      <c r="Q15">
        <f ca="1"/>
        <v>0</v>
      </c>
      <c r="R15">
        <f ca="1"/>
        <v>0.85681335939504855</v>
      </c>
      <c r="S15">
        <f ca="1"/>
        <v>1</v>
      </c>
      <c r="T15">
        <f ca="1"/>
        <v>3.019999999999996</v>
      </c>
      <c r="U15">
        <f ca="1"/>
        <v>0</v>
      </c>
      <c r="V15">
        <f ca="1"/>
        <v>0</v>
      </c>
      <c r="Y15" s="2">
        <f t="shared" ca="1" si="1"/>
        <v>45523</v>
      </c>
      <c r="Z15">
        <f t="shared" ca="1" si="2"/>
        <v>0</v>
      </c>
      <c r="AB15" s="63">
        <f t="shared" ca="1" si="4"/>
        <v>52.373127230306878</v>
      </c>
      <c r="AC15" s="63">
        <f t="shared" ca="1" si="5"/>
        <v>52.373127230306878</v>
      </c>
      <c r="AD15" s="3">
        <f t="shared" ca="1" si="6"/>
        <v>0</v>
      </c>
    </row>
    <row r="16" spans="1:44">
      <c r="A16" s="5" t="s">
        <v>139</v>
      </c>
      <c r="B16" s="31" t="str">
        <f>PriorCropNameFull</f>
        <v>Annual ryegrass Green manure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45524</v>
      </c>
      <c r="K16">
        <f ca="1"/>
        <v>51.611227242036833</v>
      </c>
      <c r="L16">
        <f ca="1"/>
        <v>0</v>
      </c>
      <c r="M16">
        <f ca="1"/>
        <v>6.638347686342716E-2</v>
      </c>
      <c r="N16" s="4">
        <f ca="1"/>
        <v>0.6510061741285782</v>
      </c>
      <c r="O16">
        <f ca="1"/>
        <v>0</v>
      </c>
      <c r="P16">
        <f ca="1"/>
        <v>0</v>
      </c>
      <c r="Q16">
        <f ca="1"/>
        <v>0</v>
      </c>
      <c r="R16">
        <f ca="1"/>
        <v>0.62247627986700005</v>
      </c>
      <c r="S16">
        <f ca="1"/>
        <v>1</v>
      </c>
      <c r="T16">
        <f ca="1"/>
        <v>2.1899999999999977</v>
      </c>
      <c r="U16">
        <f ca="1"/>
        <v>0</v>
      </c>
      <c r="V16">
        <f ca="1"/>
        <v>0</v>
      </c>
      <c r="Y16" s="2">
        <f t="shared" ca="1" si="1"/>
        <v>45524</v>
      </c>
      <c r="Z16">
        <f t="shared" ca="1" si="2"/>
        <v>0</v>
      </c>
      <c r="AB16" s="63">
        <f t="shared" ca="1" si="4"/>
        <v>52.233703521903834</v>
      </c>
      <c r="AC16" s="63">
        <f t="shared" ca="1" si="5"/>
        <v>52.233703521903834</v>
      </c>
      <c r="AD16" s="3">
        <f t="shared" ca="1" si="6"/>
        <v>0</v>
      </c>
    </row>
    <row r="17" spans="1:30" ht="15.75" thickBot="1">
      <c r="A17" s="6" t="s">
        <v>235</v>
      </c>
      <c r="B17" s="32">
        <f>PriorYield</f>
        <v>3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45525</v>
      </c>
      <c r="K17">
        <f ca="1"/>
        <v>51.773489596462717</v>
      </c>
      <c r="L17">
        <f ca="1"/>
        <v>0</v>
      </c>
      <c r="M17">
        <f ca="1"/>
        <v>8.4771058982786918E-2</v>
      </c>
      <c r="N17" s="4">
        <f ca="1"/>
        <v>0.65915519595291849</v>
      </c>
      <c r="O17">
        <f ca="1"/>
        <v>0</v>
      </c>
      <c r="P17">
        <f ca="1"/>
        <v>0</v>
      </c>
      <c r="Q17">
        <f ca="1"/>
        <v>0</v>
      </c>
      <c r="R17">
        <f ca="1"/>
        <v>0.58166390050982641</v>
      </c>
      <c r="S17">
        <f ca="1"/>
        <v>1</v>
      </c>
      <c r="T17">
        <f ca="1"/>
        <v>2.0400000000000063</v>
      </c>
      <c r="U17">
        <f ca="1"/>
        <v>0</v>
      </c>
      <c r="V17">
        <f ca="1"/>
        <v>0</v>
      </c>
      <c r="Y17" s="2">
        <f t="shared" ca="1" si="1"/>
        <v>45525</v>
      </c>
      <c r="Z17">
        <f t="shared" ca="1" si="2"/>
        <v>0</v>
      </c>
      <c r="AB17" s="63">
        <f t="shared" ca="1" si="4"/>
        <v>52.355153496972541</v>
      </c>
      <c r="AC17" s="63">
        <f t="shared" ca="1" si="5"/>
        <v>52.355153496972541</v>
      </c>
      <c r="AD17" s="3">
        <f t="shared" ca="1" si="6"/>
        <v>0</v>
      </c>
    </row>
    <row r="18" spans="1:30">
      <c r="A18" s="6" t="s">
        <v>228</v>
      </c>
      <c r="B18" s="32">
        <f>PriorPopulation</f>
        <v>1</v>
      </c>
      <c r="D18" s="18">
        <f>IF(ConceptDemo!C38="","",ConceptDemo!C38)</f>
        <v>45583</v>
      </c>
      <c r="E18" s="17">
        <f>IF(ConceptDemo!D38="","",ConceptDemo!D38)</f>
        <v>20</v>
      </c>
      <c r="H18" t="b">
        <f t="shared" ca="1" si="3"/>
        <v>1</v>
      </c>
      <c r="I18" t="b">
        <f t="shared" ca="1" si="0"/>
        <v>1</v>
      </c>
      <c r="J18" s="2">
        <f ca="1"/>
        <v>45526</v>
      </c>
      <c r="K18">
        <f ca="1"/>
        <v>52.195081547704184</v>
      </c>
      <c r="L18">
        <f ca="1"/>
        <v>0</v>
      </c>
      <c r="M18">
        <f ca="1"/>
        <v>0.10302468149912763</v>
      </c>
      <c r="N18" s="4">
        <f ca="1"/>
        <v>0.67500672518115878</v>
      </c>
      <c r="O18">
        <f ca="1"/>
        <v>0</v>
      </c>
      <c r="P18">
        <f ca="1"/>
        <v>0</v>
      </c>
      <c r="Q18">
        <f ca="1"/>
        <v>0</v>
      </c>
      <c r="R18">
        <f ca="1"/>
        <v>0.35643945543881728</v>
      </c>
      <c r="S18">
        <f ca="1"/>
        <v>1</v>
      </c>
      <c r="T18">
        <f ca="1"/>
        <v>1.2400000000000091</v>
      </c>
      <c r="U18">
        <f ca="1"/>
        <v>0</v>
      </c>
      <c r="V18">
        <f ca="1"/>
        <v>0</v>
      </c>
      <c r="Y18" s="2">
        <f t="shared" ca="1" si="1"/>
        <v>45526</v>
      </c>
      <c r="Z18">
        <f t="shared" ca="1" si="2"/>
        <v>0</v>
      </c>
      <c r="AB18" s="63">
        <f t="shared" ca="1" si="4"/>
        <v>52.551521003143002</v>
      </c>
      <c r="AC18" s="63">
        <f t="shared" ca="1" si="5"/>
        <v>52.551521003143002</v>
      </c>
      <c r="AD18" s="3">
        <f t="shared" ca="1" si="6"/>
        <v>0</v>
      </c>
    </row>
    <row r="19" spans="1:30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45527</v>
      </c>
      <c r="K19">
        <f ca="1"/>
        <v>52.621218506871024</v>
      </c>
      <c r="L19">
        <f ca="1"/>
        <v>0</v>
      </c>
      <c r="M19">
        <f ca="1"/>
        <v>0.11853470698271162</v>
      </c>
      <c r="N19" s="4">
        <f ca="1"/>
        <v>0.67564573119015292</v>
      </c>
      <c r="O19">
        <f ca="1"/>
        <v>0</v>
      </c>
      <c r="P19">
        <f ca="1"/>
        <v>0</v>
      </c>
      <c r="Q19">
        <f ca="1"/>
        <v>0</v>
      </c>
      <c r="R19">
        <f ca="1"/>
        <v>0.36804347900602719</v>
      </c>
      <c r="S19">
        <f ca="1"/>
        <v>1</v>
      </c>
      <c r="T19">
        <f ca="1"/>
        <v>1.269999999999996</v>
      </c>
      <c r="U19">
        <f ca="1"/>
        <v>0</v>
      </c>
      <c r="V19">
        <f ca="1"/>
        <v>0</v>
      </c>
      <c r="Y19" s="2">
        <f t="shared" ca="1" si="1"/>
        <v>45527</v>
      </c>
      <c r="Z19">
        <f t="shared" ca="1" si="2"/>
        <v>0</v>
      </c>
      <c r="AB19" s="63">
        <f t="shared" ca="1" si="4"/>
        <v>52.98926198587705</v>
      </c>
      <c r="AC19" s="63">
        <f t="shared" ca="1" si="5"/>
        <v>52.98926198587705</v>
      </c>
      <c r="AD19" s="3">
        <f t="shared" ca="1" si="6"/>
        <v>0</v>
      </c>
    </row>
    <row r="20" spans="1:30">
      <c r="A20" s="6" t="s">
        <v>112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45528</v>
      </c>
      <c r="K20">
        <f ca="1"/>
        <v>51.927801846267229</v>
      </c>
      <c r="L20">
        <f ca="1"/>
        <v>0</v>
      </c>
      <c r="M20">
        <f ca="1"/>
        <v>0.13441382036909899</v>
      </c>
      <c r="N20" s="4">
        <f ca="1"/>
        <v>0.68785927146743087</v>
      </c>
      <c r="O20">
        <f ca="1"/>
        <v>0</v>
      </c>
      <c r="P20">
        <f ca="1"/>
        <v>0</v>
      </c>
      <c r="Q20">
        <f ca="1"/>
        <v>0</v>
      </c>
      <c r="R20">
        <f ca="1"/>
        <v>1.515689752440321</v>
      </c>
      <c r="S20">
        <f ca="1"/>
        <v>1</v>
      </c>
      <c r="T20">
        <f ca="1"/>
        <v>5.2999999999999972</v>
      </c>
      <c r="U20">
        <f ca="1"/>
        <v>0</v>
      </c>
      <c r="V20">
        <f ca="1"/>
        <v>0</v>
      </c>
      <c r="Y20" s="2">
        <f t="shared" ca="1" si="1"/>
        <v>45528</v>
      </c>
      <c r="Z20">
        <f t="shared" ca="1" si="2"/>
        <v>0</v>
      </c>
      <c r="AB20" s="63">
        <f t="shared" ca="1" si="4"/>
        <v>53.443491598707553</v>
      </c>
      <c r="AC20" s="63">
        <f t="shared" ca="1" si="5"/>
        <v>53.443491598707553</v>
      </c>
      <c r="AD20" s="3">
        <f t="shared" ca="1" si="6"/>
        <v>0</v>
      </c>
    </row>
    <row r="21" spans="1:30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45529</v>
      </c>
      <c r="K21">
        <f ca="1"/>
        <v>52.024870072008795</v>
      </c>
      <c r="L21">
        <f ca="1"/>
        <v>0</v>
      </c>
      <c r="M21">
        <f ca="1"/>
        <v>0.14596674453966751</v>
      </c>
      <c r="N21" s="4">
        <f ca="1"/>
        <v>0.67884647531062514</v>
      </c>
      <c r="O21">
        <f ca="1"/>
        <v>0</v>
      </c>
      <c r="P21">
        <f ca="1"/>
        <v>0</v>
      </c>
      <c r="Q21">
        <f ca="1"/>
        <v>0</v>
      </c>
      <c r="R21">
        <f ca="1"/>
        <v>0.72774499410873528</v>
      </c>
      <c r="S21">
        <f ca="1"/>
        <v>1</v>
      </c>
      <c r="T21">
        <f ca="1"/>
        <v>2.539999999999992</v>
      </c>
      <c r="U21">
        <f ca="1"/>
        <v>0</v>
      </c>
      <c r="V21">
        <f ca="1"/>
        <v>0</v>
      </c>
      <c r="Y21" s="2">
        <f t="shared" ca="1" si="1"/>
        <v>45529</v>
      </c>
      <c r="Z21">
        <f t="shared" ca="1" si="2"/>
        <v>0</v>
      </c>
      <c r="AB21" s="63">
        <f t="shared" ca="1" si="4"/>
        <v>52.752615066117528</v>
      </c>
      <c r="AC21" s="63">
        <f t="shared" ca="1" si="5"/>
        <v>52.752615066117528</v>
      </c>
      <c r="AD21" s="3">
        <f t="shared" ca="1" si="6"/>
        <v>0</v>
      </c>
    </row>
    <row r="22" spans="1:30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45530</v>
      </c>
      <c r="K22">
        <f ca="1"/>
        <v>52.601138896390005</v>
      </c>
      <c r="L22">
        <f ca="1"/>
        <v>0</v>
      </c>
      <c r="M22">
        <f ca="1"/>
        <v>0.15716575264765786</v>
      </c>
      <c r="N22" s="4">
        <f ca="1"/>
        <v>0.67692488586049293</v>
      </c>
      <c r="O22">
        <f ca="1"/>
        <v>0</v>
      </c>
      <c r="P22">
        <f ca="1"/>
        <v>0</v>
      </c>
      <c r="Q22">
        <f ca="1"/>
        <v>0</v>
      </c>
      <c r="R22">
        <f ca="1"/>
        <v>0.2578218141269436</v>
      </c>
      <c r="S22">
        <f ca="1"/>
        <v>1</v>
      </c>
      <c r="T22">
        <f ca="1"/>
        <v>0.89000000000000057</v>
      </c>
      <c r="U22">
        <f ca="1"/>
        <v>0</v>
      </c>
      <c r="V22">
        <f ca="1"/>
        <v>0</v>
      </c>
      <c r="Y22" s="2">
        <f t="shared" ca="1" si="1"/>
        <v>45530</v>
      </c>
      <c r="Z22">
        <f t="shared" ca="1" si="2"/>
        <v>0</v>
      </c>
      <c r="AB22" s="63">
        <f t="shared" ca="1" si="4"/>
        <v>52.858960710516946</v>
      </c>
      <c r="AC22" s="63">
        <f t="shared" ca="1" si="5"/>
        <v>52.858960710516946</v>
      </c>
      <c r="AD22" s="3">
        <f t="shared" ca="1" si="6"/>
        <v>0</v>
      </c>
    </row>
    <row r="23" spans="1:30" ht="15.75" thickBot="1">
      <c r="A23" s="6" t="s">
        <v>115</v>
      </c>
      <c r="B23" s="34">
        <f ca="1">PriorEstablishDate</f>
        <v>45429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45531</v>
      </c>
      <c r="K23">
        <f ca="1"/>
        <v>53.334830094746358</v>
      </c>
      <c r="L23">
        <f ca="1"/>
        <v>0</v>
      </c>
      <c r="M23">
        <f ca="1"/>
        <v>0.16348618427486283</v>
      </c>
      <c r="N23" s="4">
        <f ca="1"/>
        <v>0.65538614852266086</v>
      </c>
      <c r="O23">
        <f ca="1"/>
        <v>0</v>
      </c>
      <c r="P23">
        <f ca="1"/>
        <v>0</v>
      </c>
      <c r="Q23">
        <f ca="1"/>
        <v>0</v>
      </c>
      <c r="R23">
        <f ca="1"/>
        <v>8.5181134441172299E-2</v>
      </c>
      <c r="S23">
        <f ca="1"/>
        <v>1</v>
      </c>
      <c r="T23">
        <f ca="1"/>
        <v>0.28999999999999204</v>
      </c>
      <c r="U23">
        <f ca="1"/>
        <v>0</v>
      </c>
      <c r="V23">
        <f ca="1"/>
        <v>0</v>
      </c>
      <c r="Y23" s="2">
        <f t="shared" ca="1" si="1"/>
        <v>45531</v>
      </c>
      <c r="Z23">
        <f t="shared" ca="1" si="2"/>
        <v>0</v>
      </c>
      <c r="AB23" s="63">
        <f t="shared" ca="1" si="4"/>
        <v>53.42001122918753</v>
      </c>
      <c r="AC23" s="63">
        <f t="shared" ca="1" si="5"/>
        <v>53.42001122918753</v>
      </c>
      <c r="AD23" s="3">
        <f t="shared" ca="1" si="6"/>
        <v>0</v>
      </c>
    </row>
    <row r="24" spans="1:30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45532</v>
      </c>
      <c r="K24">
        <f ca="1"/>
        <v>54.09253321928481</v>
      </c>
      <c r="L24">
        <f ca="1"/>
        <v>0</v>
      </c>
      <c r="M24">
        <f ca="1"/>
        <v>0.17208750059916444</v>
      </c>
      <c r="N24" s="4">
        <f ca="1"/>
        <v>0.65413283268371347</v>
      </c>
      <c r="O24">
        <f ca="1"/>
        <v>0</v>
      </c>
      <c r="P24">
        <f ca="1"/>
        <v>0</v>
      </c>
      <c r="Q24">
        <f ca="1"/>
        <v>0</v>
      </c>
      <c r="R24">
        <f ca="1"/>
        <v>6.8517208744424393E-2</v>
      </c>
      <c r="S24">
        <f ca="1"/>
        <v>1</v>
      </c>
      <c r="T24">
        <f ca="1"/>
        <v>0.22999999999998977</v>
      </c>
      <c r="U24">
        <f ca="1"/>
        <v>0</v>
      </c>
      <c r="V24">
        <f ca="1"/>
        <v>0</v>
      </c>
      <c r="Y24" s="2">
        <f t="shared" ca="1" si="1"/>
        <v>45532</v>
      </c>
      <c r="Z24">
        <f t="shared" ca="1" si="2"/>
        <v>0</v>
      </c>
      <c r="AB24" s="63">
        <f t="shared" ca="1" si="4"/>
        <v>54.161050428029235</v>
      </c>
      <c r="AC24" s="63">
        <f t="shared" ca="1" si="5"/>
        <v>54.161050428029235</v>
      </c>
      <c r="AD24" s="3">
        <f t="shared" ca="1" si="6"/>
        <v>0</v>
      </c>
    </row>
    <row r="25" spans="1:30">
      <c r="A25" s="6" t="s">
        <v>117</v>
      </c>
      <c r="B25" s="34">
        <f ca="1">PriorHarvestDate</f>
        <v>45519</v>
      </c>
      <c r="H25" t="b">
        <f t="shared" ca="1" si="3"/>
        <v>1</v>
      </c>
      <c r="I25" t="b">
        <f t="shared" ca="1" si="0"/>
        <v>1</v>
      </c>
      <c r="J25" s="2">
        <f ca="1"/>
        <v>45533</v>
      </c>
      <c r="K25">
        <f ca="1"/>
        <v>54.588497124096286</v>
      </c>
      <c r="L25">
        <f ca="1"/>
        <v>0</v>
      </c>
      <c r="M25">
        <f ca="1"/>
        <v>0.18175947355043021</v>
      </c>
      <c r="N25" s="4">
        <f ca="1"/>
        <v>0.6629379027436797</v>
      </c>
      <c r="O25">
        <f ca="1"/>
        <v>0</v>
      </c>
      <c r="P25">
        <f ca="1"/>
        <v>0</v>
      </c>
      <c r="Q25">
        <f ca="1"/>
        <v>0</v>
      </c>
      <c r="R25">
        <f ca="1"/>
        <v>0.34873347148263151</v>
      </c>
      <c r="S25">
        <f ca="1"/>
        <v>1</v>
      </c>
      <c r="T25">
        <f ca="1"/>
        <v>1.1599999999999966</v>
      </c>
      <c r="U25">
        <f ca="1"/>
        <v>0</v>
      </c>
      <c r="V25">
        <f ca="1"/>
        <v>0</v>
      </c>
      <c r="Y25" s="2">
        <f t="shared" ca="1" si="1"/>
        <v>45533</v>
      </c>
      <c r="Z25">
        <f t="shared" ca="1" si="2"/>
        <v>0</v>
      </c>
      <c r="AB25" s="63">
        <f t="shared" ca="1" si="4"/>
        <v>54.937230595578917</v>
      </c>
      <c r="AC25" s="63">
        <f t="shared" ca="1" si="5"/>
        <v>54.937230595578917</v>
      </c>
      <c r="AD25" s="3">
        <f t="shared" ca="1" si="6"/>
        <v>0</v>
      </c>
    </row>
    <row r="26" spans="1:30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45534</v>
      </c>
      <c r="K26">
        <f ca="1"/>
        <v>54.620704706926482</v>
      </c>
      <c r="L26">
        <f ca="1"/>
        <v>0</v>
      </c>
      <c r="M26">
        <f ca="1"/>
        <v>0.18969181979887773</v>
      </c>
      <c r="N26" s="4">
        <f ca="1"/>
        <v>0.66673428101467991</v>
      </c>
      <c r="O26">
        <f ca="1"/>
        <v>0</v>
      </c>
      <c r="P26">
        <f ca="1"/>
        <v>0</v>
      </c>
      <c r="Q26">
        <f ca="1"/>
        <v>0</v>
      </c>
      <c r="R26">
        <f ca="1"/>
        <v>0.82421851798335866</v>
      </c>
      <c r="S26">
        <f ca="1"/>
        <v>1</v>
      </c>
      <c r="T26">
        <f ca="1"/>
        <v>2.7399999999999949</v>
      </c>
      <c r="U26">
        <f ca="1"/>
        <v>0</v>
      </c>
      <c r="V26">
        <f ca="1"/>
        <v>0</v>
      </c>
      <c r="Y26" s="2">
        <f t="shared" ca="1" si="1"/>
        <v>45534</v>
      </c>
      <c r="Z26">
        <f t="shared" ca="1" si="2"/>
        <v>0</v>
      </c>
      <c r="AB26" s="63">
        <f t="shared" ca="1" si="4"/>
        <v>55.444923224909843</v>
      </c>
      <c r="AC26" s="63">
        <f t="shared" ca="1" si="5"/>
        <v>55.444923224909843</v>
      </c>
      <c r="AD26" s="3">
        <f t="shared" ca="1" si="6"/>
        <v>0</v>
      </c>
    </row>
    <row r="27" spans="1:30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45535</v>
      </c>
      <c r="K27">
        <f ca="1"/>
        <v>55.186255757389922</v>
      </c>
      <c r="L27">
        <f ca="1"/>
        <v>0</v>
      </c>
      <c r="M27">
        <f ca="1"/>
        <v>0.1939709335298756</v>
      </c>
      <c r="N27" s="4">
        <f ca="1"/>
        <v>0.657268965579064</v>
      </c>
      <c r="O27">
        <f ca="1"/>
        <v>0</v>
      </c>
      <c r="P27">
        <f ca="1"/>
        <v>0</v>
      </c>
      <c r="Q27">
        <f ca="1"/>
        <v>0</v>
      </c>
      <c r="R27">
        <f ca="1"/>
        <v>0.28568884864550198</v>
      </c>
      <c r="S27">
        <f ca="1"/>
        <v>1</v>
      </c>
      <c r="T27">
        <f ca="1"/>
        <v>0.93999999999999773</v>
      </c>
      <c r="U27">
        <f ca="1"/>
        <v>0</v>
      </c>
      <c r="V27">
        <f ca="1"/>
        <v>0</v>
      </c>
      <c r="Y27" s="2">
        <f t="shared" ca="1" si="1"/>
        <v>45535</v>
      </c>
      <c r="Z27">
        <f t="shared" ca="1" si="2"/>
        <v>0</v>
      </c>
      <c r="AB27" s="63">
        <f t="shared" ca="1" si="4"/>
        <v>55.471944606035422</v>
      </c>
      <c r="AC27" s="63">
        <f t="shared" ca="1" si="5"/>
        <v>55.471944606035422</v>
      </c>
      <c r="AD27" s="3">
        <f t="shared" ca="1" si="6"/>
        <v>0</v>
      </c>
    </row>
    <row r="28" spans="1:30" ht="15.7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45536</v>
      </c>
      <c r="K28">
        <f ca="1"/>
        <v>55.816997546869011</v>
      </c>
      <c r="L28">
        <f ca="1"/>
        <v>0</v>
      </c>
      <c r="M28">
        <f ca="1"/>
        <v>0.20024541643901039</v>
      </c>
      <c r="N28" s="4">
        <f ca="1"/>
        <v>0.66104484116844398</v>
      </c>
      <c r="O28">
        <f ca="1"/>
        <v>0</v>
      </c>
      <c r="P28">
        <f ca="1"/>
        <v>0</v>
      </c>
      <c r="Q28">
        <f ca="1"/>
        <v>0</v>
      </c>
      <c r="R28">
        <f ca="1"/>
        <v>0.23054846812837196</v>
      </c>
      <c r="S28">
        <f ca="1"/>
        <v>1</v>
      </c>
      <c r="T28">
        <f ca="1"/>
        <v>0.75</v>
      </c>
      <c r="U28">
        <f ca="1"/>
        <v>0</v>
      </c>
      <c r="V28">
        <f ca="1"/>
        <v>0</v>
      </c>
      <c r="Y28" s="2">
        <f t="shared" ca="1" si="1"/>
        <v>45536</v>
      </c>
      <c r="Z28">
        <f t="shared" ca="1" si="2"/>
        <v>0</v>
      </c>
      <c r="AB28" s="63">
        <f t="shared" ca="1" si="4"/>
        <v>56.04754601499738</v>
      </c>
      <c r="AC28" s="63">
        <f t="shared" ca="1" si="5"/>
        <v>56.04754601499738</v>
      </c>
      <c r="AD28" s="3">
        <f t="shared" ca="1" si="6"/>
        <v>0</v>
      </c>
    </row>
    <row r="29" spans="1:30" ht="15.75" thickBot="1">
      <c r="A29" s="8" t="s">
        <v>140</v>
      </c>
      <c r="B29" s="11" t="str">
        <f>CurrentCropNameFull</f>
        <v>Wheat Grain Breed</v>
      </c>
      <c r="H29" t="b">
        <f t="shared" ca="1" si="3"/>
        <v>1</v>
      </c>
      <c r="I29" t="b">
        <f t="shared" ca="1" si="0"/>
        <v>1</v>
      </c>
      <c r="J29" s="2">
        <f ca="1"/>
        <v>45537</v>
      </c>
      <c r="K29">
        <f ca="1"/>
        <v>56.69439848374936</v>
      </c>
      <c r="L29">
        <f ca="1"/>
        <v>0</v>
      </c>
      <c r="M29">
        <f ca="1"/>
        <v>0.21349496862842177</v>
      </c>
      <c r="N29" s="4">
        <f ca="1"/>
        <v>0.6982512705217897</v>
      </c>
      <c r="O29">
        <f ca="1"/>
        <v>0</v>
      </c>
      <c r="P29">
        <f ca="1"/>
        <v>0</v>
      </c>
      <c r="Q29">
        <f ca="1"/>
        <v>0</v>
      </c>
      <c r="R29">
        <f ca="1"/>
        <v>3.4345302269865374E-2</v>
      </c>
      <c r="S29">
        <f ca="1"/>
        <v>1</v>
      </c>
      <c r="T29">
        <f ca="1"/>
        <v>0.10999999999999943</v>
      </c>
      <c r="U29">
        <f ca="1"/>
        <v>0</v>
      </c>
      <c r="V29">
        <f ca="1"/>
        <v>0</v>
      </c>
      <c r="Y29" s="2">
        <f t="shared" ca="1" si="1"/>
        <v>45537</v>
      </c>
      <c r="Z29">
        <f t="shared" ca="1" si="2"/>
        <v>0</v>
      </c>
      <c r="AB29" s="63">
        <f t="shared" ca="1" si="4"/>
        <v>56.728743786019223</v>
      </c>
      <c r="AC29" s="63">
        <f t="shared" ca="1" si="5"/>
        <v>56.728743786019223</v>
      </c>
      <c r="AD29" s="3">
        <f t="shared" ca="1" si="6"/>
        <v>0</v>
      </c>
    </row>
    <row r="30" spans="1:30">
      <c r="A30" s="9" t="s">
        <v>236</v>
      </c>
      <c r="B30" s="11">
        <f>CurrentYield</f>
        <v>10</v>
      </c>
      <c r="H30" t="b">
        <f t="shared" ca="1" si="3"/>
        <v>1</v>
      </c>
      <c r="I30" t="b">
        <f t="shared" ca="1" si="0"/>
        <v>1</v>
      </c>
      <c r="J30" s="2">
        <f ca="1"/>
        <v>45538</v>
      </c>
      <c r="K30">
        <f ca="1"/>
        <v>57.087274660053481</v>
      </c>
      <c r="L30">
        <f ca="1"/>
        <v>0</v>
      </c>
      <c r="M30">
        <f ca="1"/>
        <v>0.21940549630302497</v>
      </c>
      <c r="N30" s="4">
        <f ca="1"/>
        <v>0.70479601024292449</v>
      </c>
      <c r="O30">
        <f ca="1"/>
        <v>0</v>
      </c>
      <c r="P30">
        <f ca="1"/>
        <v>0</v>
      </c>
      <c r="Q30">
        <f ca="1"/>
        <v>0</v>
      </c>
      <c r="R30">
        <f ca="1"/>
        <v>0.53132533024183037</v>
      </c>
      <c r="S30">
        <f ca="1"/>
        <v>1</v>
      </c>
      <c r="T30">
        <f ca="1"/>
        <v>1.6899999999999977</v>
      </c>
      <c r="U30">
        <f ca="1"/>
        <v>0</v>
      </c>
      <c r="V30">
        <f ca="1"/>
        <v>0</v>
      </c>
      <c r="Y30" s="2">
        <f t="shared" ca="1" si="1"/>
        <v>45538</v>
      </c>
      <c r="Z30">
        <f t="shared" ca="1" si="2"/>
        <v>0</v>
      </c>
      <c r="AB30" s="63">
        <f t="shared" ca="1" si="4"/>
        <v>57.618599990295309</v>
      </c>
      <c r="AC30" s="63">
        <f t="shared" ca="1" si="5"/>
        <v>57.618599990295309</v>
      </c>
      <c r="AD30" s="3">
        <f t="shared" ca="1" si="6"/>
        <v>0</v>
      </c>
    </row>
    <row r="31" spans="1:30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45539</v>
      </c>
      <c r="K31">
        <f ca="1"/>
        <v>56.884127998695554</v>
      </c>
      <c r="L31">
        <f ca="1"/>
        <v>0</v>
      </c>
      <c r="M31">
        <f ca="1"/>
        <v>0.22610286239061672</v>
      </c>
      <c r="N31" s="4">
        <f ca="1"/>
        <v>0.71733663886863519</v>
      </c>
      <c r="O31">
        <f ca="1"/>
        <v>0</v>
      </c>
      <c r="P31">
        <f ca="1"/>
        <v>0</v>
      </c>
      <c r="Q31">
        <f ca="1"/>
        <v>0</v>
      </c>
      <c r="R31">
        <f ca="1"/>
        <v>1.146586162617184</v>
      </c>
      <c r="S31">
        <f ca="1"/>
        <v>1</v>
      </c>
      <c r="T31">
        <f ca="1"/>
        <v>3.6599999999999966</v>
      </c>
      <c r="U31">
        <f ca="1"/>
        <v>0</v>
      </c>
      <c r="V31">
        <f ca="1"/>
        <v>0</v>
      </c>
      <c r="Y31" s="2">
        <f t="shared" ca="1" si="1"/>
        <v>45539</v>
      </c>
      <c r="Z31">
        <f t="shared" ca="1" si="2"/>
        <v>0</v>
      </c>
      <c r="AB31" s="63">
        <f t="shared" ca="1" si="4"/>
        <v>58.030714161312737</v>
      </c>
      <c r="AC31" s="63">
        <f t="shared" ca="1" si="5"/>
        <v>58.030714161312737</v>
      </c>
      <c r="AD31" s="3">
        <f t="shared" ca="1" si="6"/>
        <v>0</v>
      </c>
    </row>
    <row r="32" spans="1:30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45540</v>
      </c>
      <c r="K32">
        <f ca="1"/>
        <v>57.287079783204376</v>
      </c>
      <c r="L32">
        <f ca="1"/>
        <v>0</v>
      </c>
      <c r="M32">
        <f ca="1"/>
        <v>0.22842359077052166</v>
      </c>
      <c r="N32" s="4">
        <f ca="1"/>
        <v>0.71402304074013734</v>
      </c>
      <c r="O32">
        <f ca="1"/>
        <v>0</v>
      </c>
      <c r="P32">
        <f ca="1"/>
        <v>0</v>
      </c>
      <c r="Q32">
        <f ca="1"/>
        <v>0</v>
      </c>
      <c r="R32">
        <f ca="1"/>
        <v>0.5394948470018317</v>
      </c>
      <c r="S32">
        <f ca="1"/>
        <v>1</v>
      </c>
      <c r="T32">
        <f ca="1"/>
        <v>1.710000000000008</v>
      </c>
      <c r="U32">
        <f ca="1"/>
        <v>0</v>
      </c>
      <c r="V32">
        <f ca="1"/>
        <v>0</v>
      </c>
      <c r="Y32" s="2">
        <f t="shared" ca="1" si="1"/>
        <v>45540</v>
      </c>
      <c r="Z32">
        <f t="shared" ca="1" si="2"/>
        <v>0</v>
      </c>
      <c r="AB32" s="63">
        <f t="shared" ca="1" si="4"/>
        <v>57.826574630206217</v>
      </c>
      <c r="AC32" s="63">
        <f t="shared" ca="1" si="5"/>
        <v>57.82657463020621</v>
      </c>
      <c r="AD32" s="3">
        <f t="shared" ca="1" si="6"/>
        <v>0</v>
      </c>
    </row>
    <row r="33" spans="1:30">
      <c r="A33" s="9" t="s">
        <v>119</v>
      </c>
      <c r="B33" s="10">
        <f>CurrentFieldLoss</f>
        <v>0</v>
      </c>
      <c r="H33" t="b">
        <f t="shared" ca="1" si="3"/>
        <v>1</v>
      </c>
      <c r="I33" t="b">
        <f t="shared" ca="1" si="0"/>
        <v>1</v>
      </c>
      <c r="J33" s="2">
        <f ca="1"/>
        <v>45541</v>
      </c>
      <c r="K33">
        <f ca="1"/>
        <v>58.035746239700323</v>
      </c>
      <c r="L33">
        <f ca="1"/>
        <v>0</v>
      </c>
      <c r="M33">
        <f ca="1"/>
        <v>0.22626646325777955</v>
      </c>
      <c r="N33" s="4">
        <f ca="1"/>
        <v>0.69499325596840356</v>
      </c>
      <c r="O33">
        <f ca="1"/>
        <v>0</v>
      </c>
      <c r="P33">
        <f ca="1"/>
        <v>0</v>
      </c>
      <c r="Q33">
        <f ca="1"/>
        <v>0</v>
      </c>
      <c r="R33">
        <f ca="1"/>
        <v>0.17259326273024123</v>
      </c>
      <c r="S33">
        <f ca="1"/>
        <v>1</v>
      </c>
      <c r="T33">
        <f ca="1"/>
        <v>0.54000000000000625</v>
      </c>
      <c r="U33">
        <f ca="1"/>
        <v>0</v>
      </c>
      <c r="V33">
        <f ca="1"/>
        <v>0</v>
      </c>
      <c r="Y33" s="2">
        <f t="shared" ca="1" si="1"/>
        <v>45541</v>
      </c>
      <c r="Z33">
        <f t="shared" ca="1" si="2"/>
        <v>0</v>
      </c>
      <c r="AB33" s="63">
        <f t="shared" ca="1" si="4"/>
        <v>58.208339502430562</v>
      </c>
      <c r="AC33" s="63">
        <f t="shared" ca="1" si="5"/>
        <v>58.208339502430562</v>
      </c>
      <c r="AD33" s="3">
        <f t="shared" ca="1" si="6"/>
        <v>0</v>
      </c>
    </row>
    <row r="34" spans="1:30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45542</v>
      </c>
      <c r="K34">
        <f ca="1"/>
        <v>58.348997787473579</v>
      </c>
      <c r="L34">
        <f ca="1"/>
        <v>0</v>
      </c>
      <c r="M34">
        <f ca="1"/>
        <v>0.23515692855540582</v>
      </c>
      <c r="N34" s="4">
        <f ca="1"/>
        <v>0.72399265559571158</v>
      </c>
      <c r="O34">
        <f ca="1"/>
        <v>0</v>
      </c>
      <c r="P34">
        <f ca="1"/>
        <v>0</v>
      </c>
      <c r="Q34">
        <f ca="1"/>
        <v>0</v>
      </c>
      <c r="R34">
        <f ca="1"/>
        <v>0.64589803637786125</v>
      </c>
      <c r="S34">
        <f ca="1"/>
        <v>1</v>
      </c>
      <c r="T34">
        <f ca="1"/>
        <v>2.0100000000000051</v>
      </c>
      <c r="U34">
        <f ca="1"/>
        <v>0</v>
      </c>
      <c r="V34">
        <f ca="1"/>
        <v>0</v>
      </c>
      <c r="Y34" s="2">
        <f t="shared" ca="1" si="1"/>
        <v>45542</v>
      </c>
      <c r="Z34">
        <f t="shared" ca="1" si="2"/>
        <v>0</v>
      </c>
      <c r="AB34" s="63">
        <f t="shared" ca="1" si="4"/>
        <v>58.994895823851436</v>
      </c>
      <c r="AC34" s="63">
        <f t="shared" ca="1" si="5"/>
        <v>58.994895823851436</v>
      </c>
      <c r="AD34" s="3">
        <f t="shared" ca="1" si="6"/>
        <v>0</v>
      </c>
    </row>
    <row r="35" spans="1:30">
      <c r="A35" s="9" t="s">
        <v>121</v>
      </c>
      <c r="B35" s="10">
        <f>CurrentMoistureContent</f>
        <v>13</v>
      </c>
      <c r="H35" t="b">
        <f t="shared" ca="1" si="3"/>
        <v>1</v>
      </c>
      <c r="I35" t="b">
        <f t="shared" ca="1" si="0"/>
        <v>1</v>
      </c>
      <c r="J35" s="2">
        <f ca="1"/>
        <v>45543</v>
      </c>
      <c r="K35">
        <f ca="1"/>
        <v>58.813463686068012</v>
      </c>
      <c r="L35">
        <f ca="1"/>
        <v>0</v>
      </c>
      <c r="M35">
        <f ca="1"/>
        <v>0.2306715651879987</v>
      </c>
      <c r="N35" s="4">
        <f ca="1"/>
        <v>0.700210671508122</v>
      </c>
      <c r="O35">
        <f ca="1"/>
        <v>0</v>
      </c>
      <c r="P35">
        <f ca="1"/>
        <v>0</v>
      </c>
      <c r="Q35">
        <f ca="1"/>
        <v>0</v>
      </c>
      <c r="R35">
        <f ca="1"/>
        <v>0.46641633810169097</v>
      </c>
      <c r="S35">
        <f ca="1"/>
        <v>1</v>
      </c>
      <c r="T35">
        <f ca="1"/>
        <v>1.4400000000000119</v>
      </c>
      <c r="U35">
        <f ca="1"/>
        <v>0</v>
      </c>
      <c r="V35">
        <f ca="1"/>
        <v>0</v>
      </c>
      <c r="Y35" s="2">
        <f t="shared" ca="1" si="1"/>
        <v>45543</v>
      </c>
      <c r="Z35">
        <f t="shared" ca="1" si="2"/>
        <v>0</v>
      </c>
      <c r="AB35" s="63">
        <f t="shared" ca="1" si="4"/>
        <v>59.279880024169699</v>
      </c>
      <c r="AC35" s="63">
        <f t="shared" ca="1" si="5"/>
        <v>59.279880024169699</v>
      </c>
      <c r="AD35" s="3">
        <f t="shared" ca="1" si="6"/>
        <v>0</v>
      </c>
    </row>
    <row r="36" spans="1:30">
      <c r="A36" s="9" t="s">
        <v>122</v>
      </c>
      <c r="B36" s="36">
        <f ca="1">CurrentEstablishDate</f>
        <v>45589</v>
      </c>
      <c r="H36" t="b">
        <f t="shared" ca="1" si="3"/>
        <v>1</v>
      </c>
      <c r="I36" t="b">
        <f t="shared" ca="1" si="0"/>
        <v>1</v>
      </c>
      <c r="J36" s="2">
        <f ca="1"/>
        <v>45544</v>
      </c>
      <c r="K36">
        <f ca="1"/>
        <v>59.757424950346305</v>
      </c>
      <c r="L36">
        <f ca="1"/>
        <v>0</v>
      </c>
      <c r="M36">
        <f ca="1"/>
        <v>0.23390187175681021</v>
      </c>
      <c r="N36" s="4">
        <f ca="1"/>
        <v>0.71005939252148531</v>
      </c>
      <c r="O36">
        <f ca="1"/>
        <v>0</v>
      </c>
      <c r="P36">
        <f ca="1"/>
        <v>0</v>
      </c>
      <c r="Q36">
        <f ca="1"/>
        <v>0</v>
      </c>
      <c r="R36">
        <f ca="1"/>
        <v>0</v>
      </c>
      <c r="S36">
        <f ca="1"/>
        <v>0.98768115942028978</v>
      </c>
      <c r="T36">
        <f ca="1"/>
        <v>0</v>
      </c>
      <c r="U36">
        <f ca="1"/>
        <v>0</v>
      </c>
      <c r="V36">
        <f ca="1"/>
        <v>0</v>
      </c>
      <c r="Y36" s="2">
        <f t="shared" ca="1" si="1"/>
        <v>45544</v>
      </c>
      <c r="Z36">
        <f t="shared" ca="1" si="2"/>
        <v>0</v>
      </c>
      <c r="AB36" s="63">
        <f t="shared" ca="1" si="4"/>
        <v>59.757424950346305</v>
      </c>
      <c r="AC36" s="63">
        <f t="shared" ca="1" si="5"/>
        <v>59.757424950346305</v>
      </c>
      <c r="AD36" s="3">
        <f t="shared" ca="1" si="6"/>
        <v>0</v>
      </c>
    </row>
    <row r="37" spans="1:30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45545</v>
      </c>
      <c r="K37">
        <f ca="1"/>
        <v>60.667008997282657</v>
      </c>
      <c r="L37">
        <f ca="1"/>
        <v>0</v>
      </c>
      <c r="M37">
        <f ca="1"/>
        <v>0.23655525202950933</v>
      </c>
      <c r="N37" s="4">
        <f ca="1"/>
        <v>0.71932940763781239</v>
      </c>
      <c r="O37">
        <f ca="1"/>
        <v>0</v>
      </c>
      <c r="P37">
        <f ca="1"/>
        <v>0</v>
      </c>
      <c r="Q37">
        <f ca="1"/>
        <v>0</v>
      </c>
      <c r="R37">
        <f ca="1"/>
        <v>4.6300612730972718E-2</v>
      </c>
      <c r="S37">
        <f ca="1"/>
        <v>1</v>
      </c>
      <c r="T37">
        <f ca="1"/>
        <v>0.13857971014492421</v>
      </c>
      <c r="U37">
        <f ca="1"/>
        <v>0</v>
      </c>
      <c r="V37">
        <f ca="1"/>
        <v>0</v>
      </c>
      <c r="Y37" s="2">
        <f t="shared" ca="1" si="1"/>
        <v>45545</v>
      </c>
      <c r="Z37">
        <f t="shared" ca="1" si="2"/>
        <v>0</v>
      </c>
      <c r="AB37" s="63">
        <f t="shared" ca="1" si="4"/>
        <v>60.713309610013631</v>
      </c>
      <c r="AC37" s="63">
        <f t="shared" ca="1" si="5"/>
        <v>60.713309610013631</v>
      </c>
      <c r="AD37" s="3">
        <f t="shared" ca="1" si="6"/>
        <v>0</v>
      </c>
    </row>
    <row r="38" spans="1:30">
      <c r="A38" s="9" t="s">
        <v>124</v>
      </c>
      <c r="B38" s="36">
        <f>CurrentHarvestDate</f>
        <v>45742</v>
      </c>
      <c r="H38" t="b">
        <f t="shared" ca="1" si="3"/>
        <v>1</v>
      </c>
      <c r="I38" t="b">
        <f t="shared" ca="1" si="0"/>
        <v>1</v>
      </c>
      <c r="J38" s="2">
        <f ca="1"/>
        <v>45546</v>
      </c>
      <c r="K38">
        <f ca="1"/>
        <v>61.147880696531423</v>
      </c>
      <c r="L38">
        <f ca="1"/>
        <v>0</v>
      </c>
      <c r="M38">
        <f ca="1"/>
        <v>0.24314322557958334</v>
      </c>
      <c r="N38" s="4">
        <f ca="1"/>
        <v>0.74623070473685416</v>
      </c>
      <c r="O38">
        <f ca="1"/>
        <v>0</v>
      </c>
      <c r="P38">
        <f ca="1"/>
        <v>0</v>
      </c>
      <c r="Q38">
        <f ca="1"/>
        <v>0</v>
      </c>
      <c r="R38">
        <f ca="1"/>
        <v>0.50850223106767423</v>
      </c>
      <c r="S38">
        <f ca="1"/>
        <v>1</v>
      </c>
      <c r="T38">
        <f ca="1"/>
        <v>1.5099999999999909</v>
      </c>
      <c r="U38">
        <f ca="1"/>
        <v>0</v>
      </c>
      <c r="V38">
        <f ca="1"/>
        <v>0</v>
      </c>
      <c r="Y38" s="2">
        <f t="shared" ca="1" si="1"/>
        <v>45546</v>
      </c>
      <c r="Z38">
        <f t="shared" ca="1" si="2"/>
        <v>0</v>
      </c>
      <c r="AB38" s="63">
        <f t="shared" ca="1" si="4"/>
        <v>61.65638292759909</v>
      </c>
      <c r="AC38" s="63">
        <f t="shared" ca="1" si="5"/>
        <v>61.656382927599097</v>
      </c>
      <c r="AD38" s="3">
        <f t="shared" ca="1" si="6"/>
        <v>0</v>
      </c>
    </row>
    <row r="39" spans="1:30">
      <c r="A39" s="9" t="s">
        <v>125</v>
      </c>
      <c r="B39" s="10" t="str">
        <f>CurrentHarvestStage</f>
        <v>Maturity</v>
      </c>
      <c r="H39" t="b">
        <f t="shared" ca="1" si="3"/>
        <v>1</v>
      </c>
      <c r="I39" t="b">
        <f t="shared" ca="1" si="0"/>
        <v>1</v>
      </c>
      <c r="J39" s="2">
        <f ca="1"/>
        <v>45547</v>
      </c>
      <c r="K39">
        <f ca="1"/>
        <v>61.152521382240607</v>
      </c>
      <c r="L39">
        <f ca="1"/>
        <v>0</v>
      </c>
      <c r="M39">
        <f ca="1"/>
        <v>0.23849204715920092</v>
      </c>
      <c r="N39" s="4">
        <f ca="1"/>
        <v>0.72934516374156844</v>
      </c>
      <c r="O39">
        <f ca="1"/>
        <v>0</v>
      </c>
      <c r="P39">
        <f ca="1"/>
        <v>0</v>
      </c>
      <c r="Q39">
        <f ca="1"/>
        <v>0</v>
      </c>
      <c r="R39">
        <f ca="1"/>
        <v>0.96319652519158105</v>
      </c>
      <c r="S39">
        <f ca="1"/>
        <v>1</v>
      </c>
      <c r="T39">
        <f ca="1"/>
        <v>2.8599999999999994</v>
      </c>
      <c r="U39">
        <f ca="1"/>
        <v>0</v>
      </c>
      <c r="V39">
        <f ca="1"/>
        <v>0</v>
      </c>
      <c r="Y39" s="2">
        <f t="shared" ca="1" si="1"/>
        <v>45547</v>
      </c>
      <c r="Z39">
        <f t="shared" ca="1" si="2"/>
        <v>0</v>
      </c>
      <c r="AB39" s="63">
        <f t="shared" ca="1" si="4"/>
        <v>62.115717907432192</v>
      </c>
      <c r="AC39" s="63">
        <f t="shared" ca="1" si="5"/>
        <v>62.115717907432192</v>
      </c>
      <c r="AD39" s="3">
        <f t="shared" ca="1" si="6"/>
        <v>0</v>
      </c>
    </row>
    <row r="40" spans="1:30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45548</v>
      </c>
      <c r="K40">
        <f ca="1"/>
        <v>61.752881207827407</v>
      </c>
      <c r="L40">
        <f ca="1"/>
        <v>0</v>
      </c>
      <c r="M40">
        <f ca="1"/>
        <v>0.24045765513797868</v>
      </c>
      <c r="N40" s="4">
        <f ca="1"/>
        <v>0.74080110149304157</v>
      </c>
      <c r="O40">
        <f ca="1"/>
        <v>0</v>
      </c>
      <c r="P40">
        <f ca="1"/>
        <v>0</v>
      </c>
      <c r="Q40">
        <f ca="1"/>
        <v>0</v>
      </c>
      <c r="R40">
        <f ca="1"/>
        <v>0.38089893104422395</v>
      </c>
      <c r="S40">
        <f ca="1"/>
        <v>1</v>
      </c>
      <c r="T40">
        <f ca="1"/>
        <v>1.1200000000000045</v>
      </c>
      <c r="U40">
        <f ca="1"/>
        <v>0</v>
      </c>
      <c r="V40">
        <f ca="1"/>
        <v>0</v>
      </c>
      <c r="Y40" s="2">
        <f t="shared" ca="1" si="1"/>
        <v>45548</v>
      </c>
      <c r="Z40">
        <f t="shared" ca="1" si="2"/>
        <v>0</v>
      </c>
      <c r="AB40" s="63">
        <f t="shared" ca="1" si="4"/>
        <v>62.133780138871629</v>
      </c>
      <c r="AC40" s="63">
        <f t="shared" ca="1" si="5"/>
        <v>62.133780138871629</v>
      </c>
      <c r="AD40" s="3">
        <f t="shared" ca="1" si="6"/>
        <v>0</v>
      </c>
    </row>
    <row r="41" spans="1:30" ht="15.7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45549</v>
      </c>
      <c r="K41">
        <f ca="1"/>
        <v>62.436061569229011</v>
      </c>
      <c r="L41">
        <f ca="1"/>
        <v>0</v>
      </c>
      <c r="M41">
        <f ca="1"/>
        <v>0.24442149404800073</v>
      </c>
      <c r="N41">
        <f ca="1"/>
        <v>0.7619785947815616</v>
      </c>
      <c r="O41">
        <f ca="1"/>
        <v>0</v>
      </c>
      <c r="P41">
        <f ca="1"/>
        <v>0</v>
      </c>
      <c r="Q41">
        <f ca="1"/>
        <v>0</v>
      </c>
      <c r="R41">
        <f ca="1"/>
        <v>0.32321972742795485</v>
      </c>
      <c r="S41">
        <f ca="1"/>
        <v>1</v>
      </c>
      <c r="T41">
        <f ca="1"/>
        <v>0.94000000000001194</v>
      </c>
      <c r="U41">
        <f ca="1"/>
        <v>0</v>
      </c>
      <c r="V41">
        <f ca="1"/>
        <v>0</v>
      </c>
      <c r="Y41" s="2">
        <f t="shared" ca="1" si="1"/>
        <v>45549</v>
      </c>
      <c r="Z41">
        <f t="shared" ca="1" si="2"/>
        <v>0</v>
      </c>
      <c r="AB41" s="63">
        <f t="shared" ca="1" si="4"/>
        <v>62.759281296656965</v>
      </c>
      <c r="AC41" s="63">
        <f t="shared" ca="1" si="5"/>
        <v>62.759281296656965</v>
      </c>
      <c r="AD41" s="3">
        <f t="shared" ca="1" si="6"/>
        <v>0</v>
      </c>
    </row>
    <row r="42" spans="1:30">
      <c r="A42" s="5" t="s">
        <v>141</v>
      </c>
      <c r="B42" s="31" t="str">
        <f>FollowingCropFullName</f>
        <v>Early harvest Potato Moonlight</v>
      </c>
      <c r="H42" t="b">
        <f t="shared" ca="1" si="3"/>
        <v>1</v>
      </c>
      <c r="I42" t="b">
        <f t="shared" ca="1" si="0"/>
        <v>1</v>
      </c>
      <c r="J42" s="2">
        <f ca="1"/>
        <v>45550</v>
      </c>
      <c r="K42">
        <f ca="1"/>
        <v>63.002689214934108</v>
      </c>
      <c r="L42">
        <f ca="1"/>
        <v>0</v>
      </c>
      <c r="M42">
        <f ca="1"/>
        <v>0.2460178617554627</v>
      </c>
      <c r="N42">
        <f ca="1"/>
        <v>0.77514222874954264</v>
      </c>
      <c r="O42">
        <f ca="1"/>
        <v>0</v>
      </c>
      <c r="P42">
        <f ca="1"/>
        <v>0</v>
      </c>
      <c r="Q42">
        <f ca="1"/>
        <v>0</v>
      </c>
      <c r="R42">
        <f ca="1"/>
        <v>0.45453244479991184</v>
      </c>
      <c r="S42">
        <f ca="1"/>
        <v>1</v>
      </c>
      <c r="T42">
        <f ca="1"/>
        <v>1.3099999999999881</v>
      </c>
      <c r="U42">
        <f ca="1"/>
        <v>0</v>
      </c>
      <c r="V42">
        <f ca="1"/>
        <v>0</v>
      </c>
      <c r="Y42" s="2">
        <f t="shared" ca="1" si="1"/>
        <v>45550</v>
      </c>
      <c r="Z42">
        <f t="shared" ca="1" si="2"/>
        <v>0</v>
      </c>
      <c r="AB42" s="63">
        <f t="shared" ca="1" si="4"/>
        <v>63.457221659734017</v>
      </c>
      <c r="AC42" s="63">
        <f t="shared" ca="1" si="5"/>
        <v>63.457221659734017</v>
      </c>
      <c r="AD42" s="3">
        <f t="shared" ca="1" si="6"/>
        <v>0</v>
      </c>
    </row>
    <row r="43" spans="1:30">
      <c r="A43" s="6" t="s">
        <v>237</v>
      </c>
      <c r="B43" s="32">
        <f>FollowingYIeld</f>
        <v>70</v>
      </c>
      <c r="H43" t="b">
        <f t="shared" ca="1" si="3"/>
        <v>1</v>
      </c>
      <c r="I43" t="b">
        <f t="shared" ca="1" si="0"/>
        <v>1</v>
      </c>
      <c r="J43" s="2">
        <f ca="1"/>
        <v>45551</v>
      </c>
      <c r="K43">
        <f ca="1"/>
        <v>63.900638757579586</v>
      </c>
      <c r="L43">
        <f ca="1"/>
        <v>0</v>
      </c>
      <c r="M43">
        <f ca="1"/>
        <v>0.24236628894377077</v>
      </c>
      <c r="N43">
        <f ca="1"/>
        <v>0.7681965533092574</v>
      </c>
      <c r="O43">
        <f ca="1"/>
        <v>0</v>
      </c>
      <c r="P43">
        <f ca="1"/>
        <v>0</v>
      </c>
      <c r="Q43">
        <f ca="1"/>
        <v>0</v>
      </c>
      <c r="R43">
        <f ca="1"/>
        <v>0.11261329960755814</v>
      </c>
      <c r="S43">
        <f ca="1"/>
        <v>1</v>
      </c>
      <c r="T43">
        <f ca="1"/>
        <v>0.31999999999999318</v>
      </c>
      <c r="U43">
        <f ca="1"/>
        <v>0</v>
      </c>
      <c r="V43">
        <f ca="1"/>
        <v>0</v>
      </c>
      <c r="Y43" s="2">
        <f t="shared" ca="1" si="1"/>
        <v>45551</v>
      </c>
      <c r="Z43">
        <f t="shared" ca="1" si="2"/>
        <v>0</v>
      </c>
      <c r="AB43" s="63">
        <f t="shared" ca="1" si="4"/>
        <v>64.013252057187131</v>
      </c>
      <c r="AC43" s="63">
        <f t="shared" ca="1" si="5"/>
        <v>64.013252057187145</v>
      </c>
      <c r="AD43" s="3">
        <f t="shared" ca="1" si="6"/>
        <v>0</v>
      </c>
    </row>
    <row r="44" spans="1:30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45552</v>
      </c>
      <c r="K44">
        <f ca="1"/>
        <v>64.850926364471547</v>
      </c>
      <c r="L44">
        <f ca="1"/>
        <v>0</v>
      </c>
      <c r="M44">
        <f ca="1"/>
        <v>0.23652163586272668</v>
      </c>
      <c r="N44">
        <f ca="1"/>
        <v>0.75305247424712085</v>
      </c>
      <c r="O44">
        <f ca="1"/>
        <v>0</v>
      </c>
      <c r="P44">
        <f ca="1"/>
        <v>0</v>
      </c>
      <c r="Q44">
        <f ca="1"/>
        <v>0</v>
      </c>
      <c r="R44">
        <f ca="1"/>
        <v>3.9286503217897048E-2</v>
      </c>
      <c r="S44">
        <f ca="1"/>
        <v>1</v>
      </c>
      <c r="T44">
        <f ca="1"/>
        <v>0.10999999999999943</v>
      </c>
      <c r="U44">
        <f ca="1"/>
        <v>0</v>
      </c>
      <c r="V44">
        <f ca="1"/>
        <v>0</v>
      </c>
      <c r="Y44" s="2">
        <f t="shared" ca="1" si="1"/>
        <v>45552</v>
      </c>
      <c r="Z44">
        <f t="shared" ca="1" si="2"/>
        <v>0</v>
      </c>
      <c r="AB44" s="63">
        <f t="shared" ca="1" si="4"/>
        <v>64.890212867689442</v>
      </c>
      <c r="AC44" s="63">
        <f t="shared" ca="1" si="5"/>
        <v>64.890212867689442</v>
      </c>
      <c r="AD44" s="3">
        <f t="shared" ca="1" si="6"/>
        <v>0</v>
      </c>
    </row>
    <row r="45" spans="1:30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45553</v>
      </c>
      <c r="K45">
        <f ca="1"/>
        <v>65.366123645716343</v>
      </c>
      <c r="L45">
        <f ca="1"/>
        <v>0</v>
      </c>
      <c r="M45">
        <f ca="1"/>
        <v>0.23266981687680133</v>
      </c>
      <c r="N45">
        <f ca="1"/>
        <v>0.74691114279015169</v>
      </c>
      <c r="O45">
        <f ca="1"/>
        <v>0</v>
      </c>
      <c r="P45">
        <f ca="1"/>
        <v>0</v>
      </c>
      <c r="Q45">
        <f ca="1"/>
        <v>0</v>
      </c>
      <c r="R45">
        <f ca="1"/>
        <v>0.46438367842217321</v>
      </c>
      <c r="S45">
        <f ca="1"/>
        <v>1</v>
      </c>
      <c r="T45">
        <f ca="1"/>
        <v>1.289999999999992</v>
      </c>
      <c r="U45">
        <f ca="1"/>
        <v>0</v>
      </c>
      <c r="V45">
        <f ca="1"/>
        <v>0</v>
      </c>
      <c r="Y45" s="2">
        <f t="shared" ca="1" si="1"/>
        <v>45553</v>
      </c>
      <c r="Z45">
        <f t="shared" ca="1" si="2"/>
        <v>0</v>
      </c>
      <c r="AB45" s="63">
        <f t="shared" ca="1" si="4"/>
        <v>65.830507324138509</v>
      </c>
      <c r="AC45" s="63">
        <f t="shared" ca="1" si="5"/>
        <v>65.830507324138509</v>
      </c>
      <c r="AD45" s="3">
        <f t="shared" ca="1" si="6"/>
        <v>0</v>
      </c>
    </row>
    <row r="46" spans="1:30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45554</v>
      </c>
      <c r="K46">
        <f ca="1"/>
        <v>66.334438356490423</v>
      </c>
      <c r="L46">
        <f ca="1"/>
        <v>0</v>
      </c>
      <c r="M46">
        <f ca="1"/>
        <v>0.22913360439872044</v>
      </c>
      <c r="N46">
        <f ca="1"/>
        <v>0.74283430732832578</v>
      </c>
      <c r="O46">
        <f ca="1"/>
        <v>0</v>
      </c>
      <c r="P46">
        <f ca="1"/>
        <v>0</v>
      </c>
      <c r="Q46">
        <f ca="1"/>
        <v>0</v>
      </c>
      <c r="R46">
        <f ca="1"/>
        <v>3.653200952968008E-3</v>
      </c>
      <c r="S46">
        <f ca="1"/>
        <v>1</v>
      </c>
      <c r="T46">
        <f ca="1"/>
        <v>1.0000000000005116E-2</v>
      </c>
      <c r="U46">
        <f ca="1"/>
        <v>0</v>
      </c>
      <c r="V46">
        <f ca="1"/>
        <v>0</v>
      </c>
      <c r="Y46" s="2">
        <f t="shared" ca="1" si="1"/>
        <v>45554</v>
      </c>
      <c r="Z46">
        <f t="shared" ca="1" si="2"/>
        <v>0</v>
      </c>
      <c r="AB46" s="63">
        <f t="shared" ca="1" si="4"/>
        <v>66.338091557443391</v>
      </c>
      <c r="AC46" s="63">
        <f t="shared" ca="1" si="5"/>
        <v>66.338091557443391</v>
      </c>
      <c r="AD46" s="3">
        <f t="shared" ca="1" si="6"/>
        <v>0</v>
      </c>
    </row>
    <row r="47" spans="1:30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45555</v>
      </c>
      <c r="K47">
        <f ca="1"/>
        <v>67.236089611430472</v>
      </c>
      <c r="L47">
        <f ca="1"/>
        <v>0</v>
      </c>
      <c r="M47">
        <f ca="1"/>
        <v>0.22482651056357472</v>
      </c>
      <c r="N47">
        <f ca="1"/>
        <v>0.73607045812103178</v>
      </c>
      <c r="O47">
        <f ca="1"/>
        <v>0</v>
      </c>
      <c r="P47">
        <f ca="1"/>
        <v>0</v>
      </c>
      <c r="Q47">
        <f ca="1"/>
        <v>0</v>
      </c>
      <c r="R47">
        <f ca="1"/>
        <v>5.9245713744563562E-2</v>
      </c>
      <c r="S47">
        <f ca="1"/>
        <v>1</v>
      </c>
      <c r="T47">
        <f ca="1"/>
        <v>0.15999999999999659</v>
      </c>
      <c r="U47">
        <f ca="1"/>
        <v>0</v>
      </c>
      <c r="V47">
        <f ca="1"/>
        <v>0</v>
      </c>
      <c r="Y47" s="2">
        <f t="shared" ca="1" si="1"/>
        <v>45555</v>
      </c>
      <c r="Z47">
        <f t="shared" ca="1" si="2"/>
        <v>0</v>
      </c>
      <c r="AB47" s="63">
        <f t="shared" ca="1" si="4"/>
        <v>67.295335325175031</v>
      </c>
      <c r="AC47" s="63">
        <f t="shared" ca="1" si="5"/>
        <v>67.295335325175031</v>
      </c>
      <c r="AD47" s="3">
        <f t="shared" ca="1" si="6"/>
        <v>0</v>
      </c>
    </row>
    <row r="48" spans="1:30">
      <c r="A48" s="6" t="s">
        <v>128</v>
      </c>
      <c r="B48" s="32">
        <f>FollowingMoistureLoss</f>
        <v>76</v>
      </c>
      <c r="H48" t="b">
        <f t="shared" ca="1" si="3"/>
        <v>1</v>
      </c>
      <c r="I48" t="b">
        <f t="shared" ca="1" si="0"/>
        <v>1</v>
      </c>
      <c r="J48" s="2">
        <f ca="1"/>
        <v>45556</v>
      </c>
      <c r="K48">
        <f ca="1"/>
        <v>67.555493804259413</v>
      </c>
      <c r="L48">
        <f ca="1"/>
        <v>0</v>
      </c>
      <c r="M48">
        <f ca="1"/>
        <v>0.22425179794472783</v>
      </c>
      <c r="N48">
        <f ca="1"/>
        <v>0.74623070473685416</v>
      </c>
      <c r="O48">
        <f ca="1"/>
        <v>0</v>
      </c>
      <c r="P48">
        <f ca="1"/>
        <v>0</v>
      </c>
      <c r="Q48">
        <f ca="1"/>
        <v>0</v>
      </c>
      <c r="R48">
        <f ca="1"/>
        <v>0.65107830985264514</v>
      </c>
      <c r="S48">
        <f ca="1"/>
        <v>1</v>
      </c>
      <c r="T48">
        <f ca="1"/>
        <v>1.75</v>
      </c>
      <c r="U48">
        <f ca="1"/>
        <v>0</v>
      </c>
      <c r="V48">
        <f ca="1"/>
        <v>0</v>
      </c>
      <c r="Y48" s="2">
        <f t="shared" ca="1" si="1"/>
        <v>45556</v>
      </c>
      <c r="Z48">
        <f t="shared" ca="1" si="2"/>
        <v>0</v>
      </c>
      <c r="AB48" s="63">
        <f t="shared" ca="1" si="4"/>
        <v>68.206572114112063</v>
      </c>
      <c r="AC48" s="63">
        <f t="shared" ca="1" si="5"/>
        <v>68.206572114112063</v>
      </c>
      <c r="AD48" s="3">
        <f t="shared" ca="1" si="6"/>
        <v>0</v>
      </c>
    </row>
    <row r="49" spans="1:30">
      <c r="A49" s="6" t="s">
        <v>129</v>
      </c>
      <c r="B49" s="34">
        <f>FollowingEstablishDate</f>
        <v>45757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45557</v>
      </c>
      <c r="K49">
        <f ca="1"/>
        <v>68.180792453834655</v>
      </c>
      <c r="L49">
        <f ca="1"/>
        <v>0</v>
      </c>
      <c r="M49">
        <f ca="1"/>
        <v>0.22315122254793529</v>
      </c>
      <c r="N49">
        <f ca="1"/>
        <v>0.75510654390425247</v>
      </c>
      <c r="O49">
        <f ca="1"/>
        <v>0</v>
      </c>
      <c r="P49">
        <f ca="1"/>
        <v>0</v>
      </c>
      <c r="Q49">
        <f ca="1"/>
        <v>0</v>
      </c>
      <c r="R49">
        <f ca="1"/>
        <v>0.35295911687695192</v>
      </c>
      <c r="S49">
        <f ca="1"/>
        <v>1</v>
      </c>
      <c r="T49">
        <f ca="1"/>
        <v>0.93999999999999773</v>
      </c>
      <c r="U49">
        <f ca="1"/>
        <v>0</v>
      </c>
      <c r="V49">
        <f ca="1"/>
        <v>0</v>
      </c>
      <c r="Y49" s="2">
        <f t="shared" ca="1" si="1"/>
        <v>45557</v>
      </c>
      <c r="Z49">
        <f t="shared" ca="1" si="2"/>
        <v>0</v>
      </c>
      <c r="AB49" s="63">
        <f t="shared" ca="1" si="4"/>
        <v>68.533751570711601</v>
      </c>
      <c r="AC49" s="63">
        <f t="shared" ca="1" si="5"/>
        <v>68.533751570711601</v>
      </c>
      <c r="AD49" s="3">
        <f t="shared" ca="1" si="6"/>
        <v>0</v>
      </c>
    </row>
    <row r="50" spans="1:30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45558</v>
      </c>
      <c r="K50">
        <f ca="1"/>
        <v>68.424322232415847</v>
      </c>
      <c r="L50">
        <f ca="1"/>
        <v>0</v>
      </c>
      <c r="M50">
        <f ca="1"/>
        <v>0.22662863365187036</v>
      </c>
      <c r="N50">
        <f ca="1"/>
        <v>0.78563353035785266</v>
      </c>
      <c r="O50">
        <f ca="1"/>
        <v>0</v>
      </c>
      <c r="P50">
        <f ca="1"/>
        <v>0</v>
      </c>
      <c r="Q50">
        <f ca="1"/>
        <v>0</v>
      </c>
      <c r="R50">
        <f ca="1"/>
        <v>0.76873238542852995</v>
      </c>
      <c r="S50">
        <f ca="1"/>
        <v>1</v>
      </c>
      <c r="T50">
        <f ca="1"/>
        <v>2.039999999999992</v>
      </c>
      <c r="U50">
        <f ca="1"/>
        <v>0</v>
      </c>
      <c r="V50">
        <f ca="1"/>
        <v>0</v>
      </c>
      <c r="Y50" s="2">
        <f t="shared" ca="1" si="1"/>
        <v>45558</v>
      </c>
      <c r="Z50">
        <f t="shared" ca="1" si="2"/>
        <v>0</v>
      </c>
      <c r="AB50" s="63">
        <f t="shared" ca="1" si="4"/>
        <v>69.193054617844382</v>
      </c>
      <c r="AC50" s="63">
        <f t="shared" ca="1" si="5"/>
        <v>69.193054617844382</v>
      </c>
      <c r="AD50" s="3">
        <f t="shared" ca="1" si="6"/>
        <v>0</v>
      </c>
    </row>
    <row r="51" spans="1:30">
      <c r="A51" s="6" t="s">
        <v>131</v>
      </c>
      <c r="B51" s="34">
        <f>FollowingHarvestDate</f>
        <v>45877</v>
      </c>
      <c r="H51" t="b">
        <f t="shared" ca="1" si="3"/>
        <v>1</v>
      </c>
      <c r="I51" t="b">
        <f t="shared" ca="1" si="0"/>
        <v>1</v>
      </c>
      <c r="J51" s="2">
        <f ca="1"/>
        <v>45559</v>
      </c>
      <c r="K51">
        <f ca="1"/>
        <v>69.103071183636104</v>
      </c>
      <c r="L51">
        <f ca="1"/>
        <v>0</v>
      </c>
      <c r="M51">
        <f ca="1"/>
        <v>0.21846480495337239</v>
      </c>
      <c r="N51">
        <f ca="1"/>
        <v>0.76473825698898557</v>
      </c>
      <c r="O51">
        <f ca="1"/>
        <v>0</v>
      </c>
      <c r="P51">
        <f ca="1"/>
        <v>0</v>
      </c>
      <c r="Q51">
        <f ca="1"/>
        <v>0</v>
      </c>
      <c r="R51">
        <f ca="1"/>
        <v>0.30445411072210582</v>
      </c>
      <c r="S51">
        <f ca="1"/>
        <v>1</v>
      </c>
      <c r="T51">
        <f ca="1"/>
        <v>0.79999999999999716</v>
      </c>
      <c r="U51">
        <f ca="1"/>
        <v>0</v>
      </c>
      <c r="V51">
        <f ca="1"/>
        <v>0</v>
      </c>
      <c r="Y51" s="2">
        <f t="shared" ca="1" si="1"/>
        <v>45559</v>
      </c>
      <c r="Z51">
        <f t="shared" ca="1" si="2"/>
        <v>0</v>
      </c>
      <c r="AB51" s="63">
        <f t="shared" ca="1" si="4"/>
        <v>69.407525294358209</v>
      </c>
      <c r="AC51" s="63">
        <f t="shared" ca="1" si="5"/>
        <v>69.407525294358209</v>
      </c>
      <c r="AD51" s="3">
        <f t="shared" ca="1" si="6"/>
        <v>0</v>
      </c>
    </row>
    <row r="52" spans="1:30">
      <c r="A52" s="6" t="s">
        <v>132</v>
      </c>
      <c r="B52" s="32" t="str">
        <f>FollowingHarvestStage</f>
        <v>MidReproductive</v>
      </c>
      <c r="H52" t="b">
        <f t="shared" ca="1" si="3"/>
        <v>1</v>
      </c>
      <c r="I52" t="b">
        <f t="shared" ca="1" si="0"/>
        <v>1</v>
      </c>
      <c r="J52" s="2">
        <f ca="1"/>
        <v>45560</v>
      </c>
      <c r="K52">
        <f ca="1"/>
        <v>69.38355845420125</v>
      </c>
      <c r="L52">
        <f ca="1"/>
        <v>0</v>
      </c>
      <c r="M52">
        <f ca="1"/>
        <v>0.21357289479678432</v>
      </c>
      <c r="N52">
        <f ca="1"/>
        <v>0.75853773091039378</v>
      </c>
      <c r="O52">
        <f ca="1"/>
        <v>0</v>
      </c>
      <c r="P52">
        <f ca="1"/>
        <v>0</v>
      </c>
      <c r="Q52">
        <f ca="1"/>
        <v>0</v>
      </c>
      <c r="R52">
        <f ca="1"/>
        <v>0.69162335514202422</v>
      </c>
      <c r="S52">
        <f ca="1"/>
        <v>1</v>
      </c>
      <c r="T52">
        <f ca="1"/>
        <v>1.8100000000000023</v>
      </c>
      <c r="U52">
        <f ca="1"/>
        <v>0</v>
      </c>
      <c r="V52">
        <f ca="1"/>
        <v>0</v>
      </c>
      <c r="Y52" s="2">
        <f t="shared" ca="1" si="1"/>
        <v>45560</v>
      </c>
      <c r="Z52">
        <f t="shared" ca="1" si="2"/>
        <v>0</v>
      </c>
      <c r="AB52" s="63">
        <f t="shared" ca="1" si="4"/>
        <v>70.075181809343277</v>
      </c>
      <c r="AC52" s="63">
        <f t="shared" ca="1" si="5"/>
        <v>70.075181809343277</v>
      </c>
      <c r="AD52" s="3">
        <f t="shared" ca="1" si="6"/>
        <v>0</v>
      </c>
    </row>
    <row r="53" spans="1:30" ht="15.7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45561</v>
      </c>
      <c r="K53">
        <f ca="1"/>
        <v>70.310437636933088</v>
      </c>
      <c r="L53">
        <f ca="1"/>
        <v>0</v>
      </c>
      <c r="M53">
        <f ca="1"/>
        <v>0.21551900387578282</v>
      </c>
      <c r="N53">
        <f ca="1"/>
        <v>0.78493139041237803</v>
      </c>
      <c r="O53">
        <f ca="1"/>
        <v>0</v>
      </c>
      <c r="P53">
        <f ca="1"/>
        <v>0</v>
      </c>
      <c r="Q53">
        <f ca="1"/>
        <v>0</v>
      </c>
      <c r="R53">
        <f ca="1"/>
        <v>7.3571211556326205E-2</v>
      </c>
      <c r="S53">
        <f ca="1"/>
        <v>1</v>
      </c>
      <c r="T53">
        <f ca="1"/>
        <v>0.18999999999999773</v>
      </c>
      <c r="U53">
        <f ca="1"/>
        <v>0</v>
      </c>
      <c r="V53">
        <f ca="1"/>
        <v>0</v>
      </c>
      <c r="Y53" s="2">
        <f t="shared" ca="1" si="1"/>
        <v>45561</v>
      </c>
      <c r="Z53">
        <f t="shared" ca="1" si="2"/>
        <v>0</v>
      </c>
      <c r="AB53" s="63">
        <f t="shared" ca="1" si="4"/>
        <v>70.384008848489415</v>
      </c>
      <c r="AC53" s="63">
        <f t="shared" ca="1" si="5"/>
        <v>70.384008848489415</v>
      </c>
      <c r="AD53" s="3">
        <f t="shared" ca="1" si="6"/>
        <v>0</v>
      </c>
    </row>
    <row r="54" spans="1:30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45562</v>
      </c>
      <c r="K54">
        <f ca="1"/>
        <v>70.630320642873286</v>
      </c>
      <c r="L54">
        <f ca="1"/>
        <v>0</v>
      </c>
      <c r="M54">
        <f ca="1"/>
        <v>0.21634132393477756</v>
      </c>
      <c r="N54">
        <f ca="1"/>
        <v>0.8075929071962632</v>
      </c>
      <c r="O54">
        <f ca="1"/>
        <v>0</v>
      </c>
      <c r="P54">
        <f ca="1"/>
        <v>0</v>
      </c>
      <c r="Q54">
        <f ca="1"/>
        <v>0</v>
      </c>
      <c r="R54">
        <f ca="1"/>
        <v>0.70405122519084484</v>
      </c>
      <c r="S54">
        <f ca="1"/>
        <v>1</v>
      </c>
      <c r="T54">
        <f ca="1"/>
        <v>1.8100000000000023</v>
      </c>
      <c r="U54">
        <f ca="1"/>
        <v>0</v>
      </c>
      <c r="V54">
        <f ca="1"/>
        <v>0</v>
      </c>
      <c r="Y54" s="2">
        <f t="shared" ca="1" si="1"/>
        <v>45562</v>
      </c>
      <c r="Z54">
        <f t="shared" ca="1" si="2"/>
        <v>0</v>
      </c>
      <c r="AB54" s="63">
        <f t="shared" ca="1" si="4"/>
        <v>71.334371868064125</v>
      </c>
      <c r="AC54" s="63">
        <f t="shared" ca="1" si="5"/>
        <v>71.334371868064125</v>
      </c>
      <c r="AD54" s="3">
        <f t="shared" ca="1" si="6"/>
        <v>0</v>
      </c>
    </row>
    <row r="55" spans="1:30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45563</v>
      </c>
      <c r="K55">
        <f ca="1"/>
        <v>71.271448789306987</v>
      </c>
      <c r="L55">
        <f ca="1"/>
        <v>0</v>
      </c>
      <c r="M55">
        <f ca="1"/>
        <v>0.21722952811403395</v>
      </c>
      <c r="N55">
        <f ca="1"/>
        <v>0.83210842355928416</v>
      </c>
      <c r="O55">
        <f ca="1"/>
        <v>0</v>
      </c>
      <c r="P55">
        <f ca="1"/>
        <v>0</v>
      </c>
      <c r="Q55">
        <f ca="1"/>
        <v>0</v>
      </c>
      <c r="R55">
        <f ca="1"/>
        <v>0.40820980523962735</v>
      </c>
      <c r="S55">
        <f ca="1"/>
        <v>1</v>
      </c>
      <c r="T55">
        <f ca="1"/>
        <v>1.0400000000000063</v>
      </c>
      <c r="U55">
        <f ca="1"/>
        <v>0</v>
      </c>
      <c r="V55">
        <f ca="1"/>
        <v>0</v>
      </c>
      <c r="Y55" s="2">
        <f t="shared" ca="1" si="1"/>
        <v>45563</v>
      </c>
      <c r="Z55">
        <f t="shared" ca="1" si="2"/>
        <v>0</v>
      </c>
      <c r="AB55" s="63">
        <f t="shared" ca="1" si="4"/>
        <v>71.679658594546609</v>
      </c>
      <c r="AC55" s="63">
        <f t="shared" ca="1" si="5"/>
        <v>71.679658594546609</v>
      </c>
      <c r="AD55" s="3">
        <f t="shared" ca="1" si="6"/>
        <v>0</v>
      </c>
    </row>
    <row r="56" spans="1:30" ht="15.7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45564</v>
      </c>
      <c r="K56">
        <f ca="1"/>
        <v>71.197185158812033</v>
      </c>
      <c r="L56">
        <f ca="1"/>
        <v>0</v>
      </c>
      <c r="M56">
        <f ca="1"/>
        <v>0.21125311668666313</v>
      </c>
      <c r="N56">
        <f ca="1"/>
        <v>0.82412749803268026</v>
      </c>
      <c r="O56">
        <f ca="1"/>
        <v>0</v>
      </c>
      <c r="P56">
        <f ca="1"/>
        <v>0</v>
      </c>
      <c r="Q56">
        <f ca="1"/>
        <v>0</v>
      </c>
      <c r="R56">
        <f ca="1"/>
        <v>1.1096442452142958</v>
      </c>
      <c r="S56">
        <f ca="1"/>
        <v>1</v>
      </c>
      <c r="T56">
        <f ca="1"/>
        <v>2.8299999999999983</v>
      </c>
      <c r="U56">
        <f ca="1"/>
        <v>0</v>
      </c>
      <c r="V56">
        <f ca="1"/>
        <v>0</v>
      </c>
      <c r="Y56" s="2">
        <f t="shared" ca="1" si="1"/>
        <v>45564</v>
      </c>
      <c r="Z56">
        <f t="shared" ca="1" si="2"/>
        <v>0</v>
      </c>
      <c r="AB56" s="63">
        <f t="shared" ca="1" si="4"/>
        <v>72.306829404026331</v>
      </c>
      <c r="AC56" s="63">
        <f t="shared" ca="1" si="5"/>
        <v>72.306829404026331</v>
      </c>
      <c r="AD56" s="3">
        <f t="shared" ca="1" si="6"/>
        <v>0</v>
      </c>
    </row>
    <row r="57" spans="1:30">
      <c r="H57" t="b">
        <f t="shared" ca="1" si="3"/>
        <v>1</v>
      </c>
      <c r="I57" t="b">
        <f t="shared" ca="1" si="0"/>
        <v>1</v>
      </c>
      <c r="J57" s="2">
        <f ca="1"/>
        <v>45565</v>
      </c>
      <c r="K57">
        <f ca="1"/>
        <v>70.464326172979568</v>
      </c>
      <c r="L57">
        <f ca="1"/>
        <v>0</v>
      </c>
      <c r="M57">
        <f ca="1"/>
        <v>0.20338531790030601</v>
      </c>
      <c r="N57">
        <f ca="1"/>
        <v>0.80616487476487408</v>
      </c>
      <c r="O57">
        <f ca="1"/>
        <v>0</v>
      </c>
      <c r="P57">
        <f ca="1"/>
        <v>0</v>
      </c>
      <c r="Q57">
        <f ca="1"/>
        <v>0</v>
      </c>
      <c r="R57">
        <f ca="1"/>
        <v>1.7424091784976516</v>
      </c>
      <c r="S57">
        <f ca="1"/>
        <v>1</v>
      </c>
      <c r="T57">
        <f ca="1"/>
        <v>4.4900000000000091</v>
      </c>
      <c r="U57">
        <f ca="1"/>
        <v>0</v>
      </c>
      <c r="V57">
        <f ca="1"/>
        <v>0</v>
      </c>
      <c r="Y57" s="2">
        <f t="shared" ca="1" si="1"/>
        <v>45565</v>
      </c>
      <c r="Z57">
        <f t="shared" ca="1" si="2"/>
        <v>0</v>
      </c>
      <c r="AB57" s="63">
        <f t="shared" ca="1" si="4"/>
        <v>72.206735351477221</v>
      </c>
      <c r="AC57" s="63">
        <f t="shared" ca="1" si="5"/>
        <v>72.206735351477221</v>
      </c>
      <c r="AD57" s="3">
        <f t="shared" ca="1" si="6"/>
        <v>0</v>
      </c>
    </row>
    <row r="58" spans="1:30">
      <c r="H58" t="b">
        <f t="shared" ca="1" si="3"/>
        <v>1</v>
      </c>
      <c r="I58" t="b">
        <f t="shared" ca="1" si="0"/>
        <v>1</v>
      </c>
      <c r="J58" s="2">
        <f ca="1"/>
        <v>45566</v>
      </c>
      <c r="K58">
        <f ca="1"/>
        <v>70.749826898753412</v>
      </c>
      <c r="L58">
        <f ca="1"/>
        <v>0</v>
      </c>
      <c r="M58">
        <f ca="1"/>
        <v>0.1980675972468493</v>
      </c>
      <c r="N58">
        <f ca="1"/>
        <v>0.80046834048921633</v>
      </c>
      <c r="O58">
        <f ca="1"/>
        <v>0</v>
      </c>
      <c r="P58">
        <f ca="1"/>
        <v>0</v>
      </c>
      <c r="Q58">
        <f ca="1"/>
        <v>0</v>
      </c>
      <c r="R58">
        <f ca="1"/>
        <v>0.71303521196221842</v>
      </c>
      <c r="S58">
        <f ca="1"/>
        <v>1</v>
      </c>
      <c r="T58">
        <f ca="1"/>
        <v>1.8299999999999983</v>
      </c>
      <c r="U58">
        <f ca="1"/>
        <v>0</v>
      </c>
      <c r="V58">
        <f ca="1"/>
        <v>0</v>
      </c>
      <c r="Y58" s="2">
        <f t="shared" ca="1" si="1"/>
        <v>45566</v>
      </c>
      <c r="Z58">
        <f t="shared" ca="1" si="2"/>
        <v>0</v>
      </c>
      <c r="AB58" s="63">
        <f t="shared" ca="1" si="4"/>
        <v>71.462862110715633</v>
      </c>
      <c r="AC58" s="63">
        <f t="shared" ca="1" si="5"/>
        <v>71.462862110715633</v>
      </c>
      <c r="AD58" s="3">
        <f t="shared" ca="1" si="6"/>
        <v>0</v>
      </c>
    </row>
    <row r="59" spans="1:30">
      <c r="H59" t="b">
        <f t="shared" ca="1" si="3"/>
        <v>1</v>
      </c>
      <c r="I59" t="b">
        <f t="shared" ca="1" si="0"/>
        <v>1</v>
      </c>
      <c r="J59" s="2">
        <f ca="1"/>
        <v>45567</v>
      </c>
      <c r="K59">
        <f ca="1"/>
        <v>70.89125087160491</v>
      </c>
      <c r="L59">
        <f ca="1"/>
        <v>0</v>
      </c>
      <c r="M59">
        <f ca="1"/>
        <v>0.19789994403640065</v>
      </c>
      <c r="N59">
        <f ca="1"/>
        <v>0.8219590939632393</v>
      </c>
      <c r="O59">
        <f ca="1"/>
        <v>0</v>
      </c>
      <c r="P59">
        <f ca="1"/>
        <v>0</v>
      </c>
      <c r="Q59">
        <f ca="1"/>
        <v>0</v>
      </c>
      <c r="R59">
        <f ca="1"/>
        <v>0.87843506514814784</v>
      </c>
      <c r="S59">
        <f ca="1"/>
        <v>1</v>
      </c>
      <c r="T59">
        <f ca="1"/>
        <v>2.25</v>
      </c>
      <c r="U59">
        <f ca="1"/>
        <v>0</v>
      </c>
      <c r="V59">
        <f ca="1"/>
        <v>0</v>
      </c>
      <c r="Y59" s="2">
        <f t="shared" ca="1" si="1"/>
        <v>45567</v>
      </c>
      <c r="Z59">
        <f t="shared" ca="1" si="2"/>
        <v>0</v>
      </c>
      <c r="AB59" s="63">
        <f t="shared" ca="1" si="4"/>
        <v>71.769685936753064</v>
      </c>
      <c r="AC59" s="63">
        <f t="shared" ca="1" si="5"/>
        <v>71.769685936753064</v>
      </c>
      <c r="AD59" s="3">
        <f t="shared" ca="1" si="6"/>
        <v>0</v>
      </c>
    </row>
    <row r="60" spans="1:30">
      <c r="H60" t="b">
        <f t="shared" ca="1" si="3"/>
        <v>1</v>
      </c>
      <c r="I60" t="b">
        <f t="shared" ca="1" si="0"/>
        <v>1</v>
      </c>
      <c r="J60" s="2">
        <f ca="1"/>
        <v>45568</v>
      </c>
      <c r="K60">
        <f ca="1"/>
        <v>71.873756281112946</v>
      </c>
      <c r="L60">
        <f ca="1"/>
        <v>0</v>
      </c>
      <c r="M60">
        <f ca="1"/>
        <v>0.18841586338813698</v>
      </c>
      <c r="N60">
        <f ca="1"/>
        <v>0.79408954611990845</v>
      </c>
      <c r="O60">
        <f ca="1"/>
        <v>0</v>
      </c>
      <c r="P60">
        <f ca="1"/>
        <v>0</v>
      </c>
      <c r="Q60">
        <f ca="1"/>
        <v>0</v>
      </c>
      <c r="R60">
        <f ca="1"/>
        <v>0</v>
      </c>
      <c r="S60">
        <f ca="1"/>
        <v>0.99594202898550721</v>
      </c>
      <c r="T60">
        <f ca="1"/>
        <v>0</v>
      </c>
      <c r="U60">
        <f ca="1"/>
        <v>0</v>
      </c>
      <c r="V60">
        <f ca="1"/>
        <v>0</v>
      </c>
      <c r="Y60" s="2">
        <f t="shared" ca="1" si="1"/>
        <v>45568</v>
      </c>
      <c r="Z60">
        <f t="shared" ca="1" si="2"/>
        <v>0</v>
      </c>
      <c r="AB60" s="63">
        <f t="shared" ca="1" si="4"/>
        <v>71.873756281112961</v>
      </c>
      <c r="AC60" s="63">
        <f t="shared" ca="1" si="5"/>
        <v>71.873756281112946</v>
      </c>
      <c r="AD60" s="3">
        <f t="shared" ca="1" si="6"/>
        <v>0</v>
      </c>
    </row>
    <row r="61" spans="1:30">
      <c r="H61" t="b">
        <f t="shared" ca="1" si="3"/>
        <v>1</v>
      </c>
      <c r="I61" t="b">
        <f t="shared" ca="1" si="0"/>
        <v>1</v>
      </c>
      <c r="J61" s="2">
        <f ca="1"/>
        <v>45569</v>
      </c>
      <c r="K61">
        <f ca="1"/>
        <v>72.538027483960818</v>
      </c>
      <c r="L61">
        <f ca="1"/>
        <v>0</v>
      </c>
      <c r="M61">
        <f ca="1"/>
        <v>0.18465001324822516</v>
      </c>
      <c r="N61">
        <f ca="1"/>
        <v>0.79621230595204062</v>
      </c>
      <c r="O61">
        <f ca="1"/>
        <v>0</v>
      </c>
      <c r="P61">
        <f ca="1"/>
        <v>0</v>
      </c>
      <c r="Q61">
        <f ca="1"/>
        <v>0</v>
      </c>
      <c r="R61">
        <f ca="1"/>
        <v>0.31659111635240139</v>
      </c>
      <c r="S61">
        <f ca="1"/>
        <v>1</v>
      </c>
      <c r="T61">
        <f ca="1"/>
        <v>0.79249855072463049</v>
      </c>
      <c r="U61">
        <f ca="1"/>
        <v>0</v>
      </c>
      <c r="V61">
        <f ca="1"/>
        <v>0</v>
      </c>
      <c r="Y61" s="2">
        <f t="shared" ca="1" si="1"/>
        <v>45569</v>
      </c>
      <c r="Z61">
        <f t="shared" ca="1" si="2"/>
        <v>0</v>
      </c>
      <c r="AB61" s="63">
        <f t="shared" ca="1" si="4"/>
        <v>72.854618600313216</v>
      </c>
      <c r="AC61" s="63">
        <f t="shared" ca="1" si="5"/>
        <v>72.854618600313216</v>
      </c>
      <c r="AD61" s="3">
        <f t="shared" ca="1" si="6"/>
        <v>0</v>
      </c>
    </row>
    <row r="62" spans="1:30">
      <c r="H62" t="b">
        <f t="shared" ca="1" si="3"/>
        <v>1</v>
      </c>
      <c r="I62" t="b">
        <f t="shared" ca="1" si="0"/>
        <v>1</v>
      </c>
      <c r="J62" s="2">
        <f ca="1"/>
        <v>45570</v>
      </c>
      <c r="K62">
        <f ca="1"/>
        <v>73.524755717496888</v>
      </c>
      <c r="L62">
        <f ca="1"/>
        <v>0</v>
      </c>
      <c r="M62">
        <f ca="1"/>
        <v>0.18198983133600599</v>
      </c>
      <c r="N62">
        <f ca="1"/>
        <v>0.80473840220005266</v>
      </c>
      <c r="O62">
        <f ca="1"/>
        <v>0</v>
      </c>
      <c r="P62">
        <f ca="1"/>
        <v>0</v>
      </c>
      <c r="Q62">
        <f ca="1"/>
        <v>0</v>
      </c>
      <c r="R62">
        <f ca="1"/>
        <v>0</v>
      </c>
      <c r="S62">
        <f ca="1"/>
        <v>0.99710144927536226</v>
      </c>
      <c r="T62">
        <f ca="1"/>
        <v>0</v>
      </c>
      <c r="U62">
        <f ca="1"/>
        <v>0</v>
      </c>
      <c r="V62">
        <f ca="1"/>
        <v>0</v>
      </c>
      <c r="Y62" s="2">
        <f t="shared" ca="1" si="1"/>
        <v>45570</v>
      </c>
      <c r="Z62">
        <f t="shared" ca="1" si="2"/>
        <v>0</v>
      </c>
      <c r="AB62" s="63">
        <f t="shared" ca="1" si="4"/>
        <v>73.524755717496888</v>
      </c>
      <c r="AC62" s="63">
        <f t="shared" ca="1" si="5"/>
        <v>73.524755717496888</v>
      </c>
      <c r="AD62" s="3">
        <f t="shared" ca="1" si="6"/>
        <v>0</v>
      </c>
    </row>
    <row r="63" spans="1:30">
      <c r="H63" t="b">
        <f t="shared" ca="1" si="3"/>
        <v>1</v>
      </c>
      <c r="I63" t="b">
        <f t="shared" ca="1" si="0"/>
        <v>1</v>
      </c>
      <c r="J63" s="2">
        <f ca="1"/>
        <v>45571</v>
      </c>
      <c r="K63">
        <f ca="1"/>
        <v>74.487388394833658</v>
      </c>
      <c r="L63">
        <f ca="1"/>
        <v>0</v>
      </c>
      <c r="M63">
        <f ca="1"/>
        <v>0.17489039432628495</v>
      </c>
      <c r="N63">
        <f ca="1"/>
        <v>0.78774228301048888</v>
      </c>
      <c r="O63">
        <f ca="1"/>
        <v>0</v>
      </c>
      <c r="P63">
        <f ca="1"/>
        <v>0</v>
      </c>
      <c r="Q63">
        <f ca="1"/>
        <v>0</v>
      </c>
      <c r="R63">
        <f ca="1"/>
        <v>0</v>
      </c>
      <c r="S63">
        <f ca="1"/>
        <v>0.99417643352236929</v>
      </c>
      <c r="T63">
        <f ca="1"/>
        <v>0</v>
      </c>
      <c r="U63">
        <f ca="1"/>
        <v>0</v>
      </c>
      <c r="V63">
        <f ca="1"/>
        <v>0</v>
      </c>
      <c r="Y63" s="2">
        <f t="shared" ca="1" si="1"/>
        <v>45571</v>
      </c>
      <c r="Z63">
        <f t="shared" ca="1" si="2"/>
        <v>0</v>
      </c>
      <c r="AB63" s="63">
        <f t="shared" ca="1" si="4"/>
        <v>74.487388394833658</v>
      </c>
      <c r="AC63" s="63">
        <f t="shared" ca="1" si="5"/>
        <v>74.487388394833658</v>
      </c>
      <c r="AD63" s="3">
        <f t="shared" ca="1" si="6"/>
        <v>0</v>
      </c>
    </row>
    <row r="64" spans="1:30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45572</v>
      </c>
      <c r="K64">
        <f ca="1"/>
        <v>75.095260825144962</v>
      </c>
      <c r="L64">
        <f ca="1"/>
        <v>0</v>
      </c>
      <c r="M64">
        <f ca="1"/>
        <v>0.1794877652238025</v>
      </c>
      <c r="N64">
        <f ca="1"/>
        <v>0.83940490201028262</v>
      </c>
      <c r="O64">
        <f ca="1"/>
        <v>0</v>
      </c>
      <c r="P64">
        <f ca="1"/>
        <v>0</v>
      </c>
      <c r="Q64">
        <f ca="1"/>
        <v>0</v>
      </c>
      <c r="R64">
        <f ca="1"/>
        <v>0.41102023692277773</v>
      </c>
      <c r="S64">
        <f ca="1"/>
        <v>1</v>
      </c>
      <c r="T64">
        <f ca="1"/>
        <v>0.99383930686830979</v>
      </c>
      <c r="U64">
        <f ca="1"/>
        <v>0</v>
      </c>
      <c r="V64">
        <f ca="1"/>
        <v>0</v>
      </c>
      <c r="Y64" s="2">
        <f t="shared" ca="1" si="1"/>
        <v>45572</v>
      </c>
      <c r="Z64">
        <f t="shared" ca="1" si="2"/>
        <v>0</v>
      </c>
      <c r="AB64" s="63">
        <f t="shared" ca="1" si="4"/>
        <v>75.506281062067742</v>
      </c>
      <c r="AC64" s="63">
        <f t="shared" ca="1" si="5"/>
        <v>75.506281062067742</v>
      </c>
      <c r="AD64" s="3">
        <f t="shared" ca="1" si="6"/>
        <v>0</v>
      </c>
    </row>
    <row r="65" spans="8:30">
      <c r="H65" t="b">
        <f t="shared" ca="1" si="3"/>
        <v>1</v>
      </c>
      <c r="I65" t="b">
        <f t="shared" ca="1" si="0"/>
        <v>1</v>
      </c>
      <c r="J65" s="2">
        <f ca="1"/>
        <v>45573</v>
      </c>
      <c r="K65">
        <f ca="1"/>
        <v>75.495736551406182</v>
      </c>
      <c r="L65">
        <f ca="1"/>
        <v>0</v>
      </c>
      <c r="M65">
        <f ca="1"/>
        <v>0.17759657206807233</v>
      </c>
      <c r="N65">
        <f ca="1"/>
        <v>0.85485505900608305</v>
      </c>
      <c r="O65">
        <f ca="1"/>
        <v>0</v>
      </c>
      <c r="P65">
        <f ca="1"/>
        <v>0</v>
      </c>
      <c r="Q65">
        <f ca="1"/>
        <v>0</v>
      </c>
      <c r="R65">
        <f ca="1"/>
        <v>0.63197590481292898</v>
      </c>
      <c r="S65">
        <f ca="1"/>
        <v>1</v>
      </c>
      <c r="T65">
        <f ca="1"/>
        <v>1.519999999999996</v>
      </c>
      <c r="U65">
        <f ca="1"/>
        <v>0</v>
      </c>
      <c r="V65">
        <f ca="1"/>
        <v>0</v>
      </c>
      <c r="Y65" s="2">
        <f t="shared" ca="1" si="1"/>
        <v>45573</v>
      </c>
      <c r="Z65">
        <f t="shared" ca="1" si="2"/>
        <v>0</v>
      </c>
      <c r="AB65" s="63">
        <f t="shared" ca="1" si="4"/>
        <v>76.127712456219115</v>
      </c>
      <c r="AC65" s="63">
        <f t="shared" ca="1" si="5"/>
        <v>76.127712456219115</v>
      </c>
      <c r="AD65" s="3">
        <f t="shared" ca="1" si="6"/>
        <v>0</v>
      </c>
    </row>
    <row r="66" spans="8:30">
      <c r="H66" t="b">
        <f t="shared" ca="1" si="3"/>
        <v>1</v>
      </c>
      <c r="I66" t="b">
        <f t="shared" ca="1" si="0"/>
        <v>1</v>
      </c>
      <c r="J66" s="2">
        <f ca="1"/>
        <v>45574</v>
      </c>
      <c r="K66">
        <f ca="1"/>
        <v>75.7530520947535</v>
      </c>
      <c r="L66">
        <f ca="1"/>
        <v>0</v>
      </c>
      <c r="M66">
        <f ca="1"/>
        <v>0.16464963482049022</v>
      </c>
      <c r="N66">
        <f ca="1"/>
        <v>0.8018901353849569</v>
      </c>
      <c r="O66">
        <f ca="1"/>
        <v>0</v>
      </c>
      <c r="P66">
        <f ca="1"/>
        <v>0</v>
      </c>
      <c r="Q66">
        <f ca="1"/>
        <v>0</v>
      </c>
      <c r="R66">
        <f ca="1"/>
        <v>0.70922422685812236</v>
      </c>
      <c r="S66">
        <f ca="1"/>
        <v>1</v>
      </c>
      <c r="T66">
        <f ca="1"/>
        <v>1.6999999999999886</v>
      </c>
      <c r="U66">
        <f ca="1"/>
        <v>0</v>
      </c>
      <c r="V66">
        <f ca="1"/>
        <v>0</v>
      </c>
      <c r="Y66" s="2">
        <f t="shared" ca="1" si="1"/>
        <v>45574</v>
      </c>
      <c r="Z66">
        <f t="shared" ca="1" si="2"/>
        <v>0</v>
      </c>
      <c r="AB66" s="63">
        <f t="shared" ca="1" si="4"/>
        <v>76.462276321611625</v>
      </c>
      <c r="AC66" s="63">
        <f t="shared" ca="1" si="5"/>
        <v>76.462276321611625</v>
      </c>
      <c r="AD66" s="3">
        <f t="shared" ca="1" si="6"/>
        <v>0</v>
      </c>
    </row>
    <row r="67" spans="8:30">
      <c r="H67" t="b">
        <f t="shared" ca="1" si="3"/>
        <v>1</v>
      </c>
      <c r="I67" t="b">
        <f t="shared" ca="1" si="0"/>
        <v>1</v>
      </c>
      <c r="J67" s="2">
        <f ca="1"/>
        <v>45575</v>
      </c>
      <c r="K67">
        <f ca="1"/>
        <v>76.737899745593822</v>
      </c>
      <c r="L67">
        <f ca="1"/>
        <v>0</v>
      </c>
      <c r="M67">
        <f ca="1"/>
        <v>0.16361057652168931</v>
      </c>
      <c r="N67">
        <f ca="1"/>
        <v>0.82123707431863013</v>
      </c>
      <c r="O67">
        <f ca="1"/>
        <v>0</v>
      </c>
      <c r="P67">
        <f ca="1"/>
        <v>0</v>
      </c>
      <c r="Q67">
        <f ca="1"/>
        <v>0</v>
      </c>
      <c r="R67">
        <f ca="1"/>
        <v>0</v>
      </c>
      <c r="S67">
        <f ca="1"/>
        <v>0.99246376811594206</v>
      </c>
      <c r="T67">
        <f ca="1"/>
        <v>0</v>
      </c>
      <c r="U67">
        <f ca="1"/>
        <v>0</v>
      </c>
      <c r="V67">
        <f ca="1"/>
        <v>0</v>
      </c>
      <c r="Y67" s="2">
        <f t="shared" ca="1" si="1"/>
        <v>45575</v>
      </c>
      <c r="Z67">
        <f t="shared" ca="1" si="2"/>
        <v>0</v>
      </c>
      <c r="AB67" s="63">
        <f t="shared" ca="1" si="4"/>
        <v>76.737899745593822</v>
      </c>
      <c r="AC67" s="63">
        <f t="shared" ca="1" si="5"/>
        <v>76.737899745593822</v>
      </c>
      <c r="AD67" s="3">
        <f t="shared" ca="1" si="6"/>
        <v>0</v>
      </c>
    </row>
    <row r="68" spans="8:30">
      <c r="H68" t="b">
        <f t="shared" ca="1" si="3"/>
        <v>1</v>
      </c>
      <c r="I68" t="b">
        <f t="shared" ca="1" si="0"/>
        <v>1</v>
      </c>
      <c r="J68" s="2">
        <f ca="1"/>
        <v>45576</v>
      </c>
      <c r="K68">
        <f ca="1"/>
        <v>76.926149876749676</v>
      </c>
      <c r="L68">
        <f ca="1"/>
        <v>0</v>
      </c>
      <c r="M68">
        <f ca="1"/>
        <v>0.16513370497696833</v>
      </c>
      <c r="N68">
        <f ca="1"/>
        <v>0.85855916722447201</v>
      </c>
      <c r="O68">
        <f ca="1"/>
        <v>0</v>
      </c>
      <c r="P68">
        <f ca="1"/>
        <v>0</v>
      </c>
      <c r="Q68">
        <f ca="1"/>
        <v>0</v>
      </c>
      <c r="R68">
        <f ca="1"/>
        <v>0.83544274104558713</v>
      </c>
      <c r="S68">
        <f ca="1"/>
        <v>1</v>
      </c>
      <c r="T68">
        <f ca="1"/>
        <v>1.9720057971014597</v>
      </c>
      <c r="U68">
        <f ca="1"/>
        <v>0</v>
      </c>
      <c r="V68">
        <f ca="1"/>
        <v>0</v>
      </c>
      <c r="Y68" s="2">
        <f t="shared" ca="1" si="1"/>
        <v>45576</v>
      </c>
      <c r="Z68">
        <f t="shared" ca="1" si="2"/>
        <v>0</v>
      </c>
      <c r="AB68" s="63">
        <f t="shared" ca="1" si="4"/>
        <v>77.761592617795259</v>
      </c>
      <c r="AC68" s="63">
        <f t="shared" ca="1" si="5"/>
        <v>77.761592617795259</v>
      </c>
      <c r="AD68" s="3">
        <f t="shared" ca="1" si="6"/>
        <v>0</v>
      </c>
    </row>
    <row r="69" spans="8:30">
      <c r="H69" t="b">
        <f t="shared" ca="1" si="3"/>
        <v>1</v>
      </c>
      <c r="I69" t="b">
        <f t="shared" ca="1" si="0"/>
        <v>1</v>
      </c>
      <c r="J69" s="2">
        <f ca="1"/>
        <v>45577</v>
      </c>
      <c r="K69">
        <f ca="1"/>
        <v>77.102159668224374</v>
      </c>
      <c r="L69">
        <f ca="1"/>
        <v>0</v>
      </c>
      <c r="M69">
        <f ca="1"/>
        <v>0.15987504852404832</v>
      </c>
      <c r="N69">
        <f ca="1"/>
        <v>0.85263730422069117</v>
      </c>
      <c r="O69">
        <f ca="1"/>
        <v>0</v>
      </c>
      <c r="P69">
        <f ca="1"/>
        <v>0</v>
      </c>
      <c r="Q69">
        <f ca="1"/>
        <v>0</v>
      </c>
      <c r="R69">
        <f ca="1"/>
        <v>0.83650256127003964</v>
      </c>
      <c r="S69">
        <f ca="1"/>
        <v>1</v>
      </c>
      <c r="T69">
        <f ca="1"/>
        <v>1.9699999999999989</v>
      </c>
      <c r="U69">
        <f ca="1"/>
        <v>0</v>
      </c>
      <c r="V69">
        <f ca="1"/>
        <v>0</v>
      </c>
      <c r="Y69" s="2">
        <f t="shared" ca="1" si="1"/>
        <v>45577</v>
      </c>
      <c r="Z69">
        <f t="shared" ca="1" si="2"/>
        <v>0</v>
      </c>
      <c r="AB69" s="63">
        <f t="shared" ca="1" si="4"/>
        <v>77.938662229494412</v>
      </c>
      <c r="AC69" s="63">
        <f t="shared" ca="1" si="5"/>
        <v>77.938662229494412</v>
      </c>
      <c r="AD69" s="3">
        <f t="shared" ca="1" si="6"/>
        <v>0</v>
      </c>
    </row>
    <row r="70" spans="8:30">
      <c r="H70" t="b">
        <f t="shared" ca="1" si="3"/>
        <v>1</v>
      </c>
      <c r="I70" t="b">
        <f t="shared" ca="1" si="0"/>
        <v>1</v>
      </c>
      <c r="J70" s="2">
        <f ca="1"/>
        <v>45578</v>
      </c>
      <c r="K70">
        <f ca="1"/>
        <v>76.913679353598198</v>
      </c>
      <c r="L70">
        <f ca="1"/>
        <v>0</v>
      </c>
      <c r="M70">
        <f ca="1"/>
        <v>0.15213274882264649</v>
      </c>
      <c r="N70">
        <f ca="1"/>
        <v>0.82847486272586301</v>
      </c>
      <c r="O70">
        <f ca="1"/>
        <v>0</v>
      </c>
      <c r="P70">
        <f ca="1"/>
        <v>0</v>
      </c>
      <c r="Q70">
        <f ca="1"/>
        <v>0</v>
      </c>
      <c r="R70">
        <f ca="1"/>
        <v>1.1690879261746947</v>
      </c>
      <c r="S70">
        <f ca="1"/>
        <v>1</v>
      </c>
      <c r="T70">
        <f ca="1"/>
        <v>2.7600000000000051</v>
      </c>
      <c r="U70">
        <f ca="1"/>
        <v>0</v>
      </c>
      <c r="V70">
        <f ca="1"/>
        <v>0</v>
      </c>
      <c r="Y70" s="2">
        <f t="shared" ca="1" si="1"/>
        <v>45578</v>
      </c>
      <c r="Z70">
        <f t="shared" ca="1" si="2"/>
        <v>0</v>
      </c>
      <c r="AB70" s="63">
        <f t="shared" ca="1" si="4"/>
        <v>78.082767279772895</v>
      </c>
      <c r="AC70" s="63">
        <f t="shared" ca="1" si="5"/>
        <v>78.082767279772895</v>
      </c>
      <c r="AD70" s="3">
        <f t="shared" ca="1" si="6"/>
        <v>0</v>
      </c>
    </row>
    <row r="71" spans="8:30">
      <c r="H71" t="b">
        <f t="shared" ca="1" si="3"/>
        <v>1</v>
      </c>
      <c r="I71" t="b">
        <f t="shared" ca="1" si="0"/>
        <v>1</v>
      </c>
      <c r="J71" s="2">
        <f ca="1"/>
        <v>45579</v>
      </c>
      <c r="K71">
        <f ca="1"/>
        <v>76.704790751009213</v>
      </c>
      <c r="L71">
        <f ca="1"/>
        <v>0</v>
      </c>
      <c r="M71">
        <f ca="1"/>
        <v>0.14520698782061991</v>
      </c>
      <c r="N71">
        <f ca="1"/>
        <v>0.8075929071962632</v>
      </c>
      <c r="O71">
        <f ca="1"/>
        <v>0</v>
      </c>
      <c r="P71">
        <f ca="1"/>
        <v>0</v>
      </c>
      <c r="Q71">
        <f ca="1"/>
        <v>0</v>
      </c>
      <c r="R71">
        <f ca="1"/>
        <v>1.1616884976058641</v>
      </c>
      <c r="S71">
        <f ca="1"/>
        <v>1</v>
      </c>
      <c r="T71">
        <f ca="1"/>
        <v>2.75</v>
      </c>
      <c r="U71">
        <f ca="1"/>
        <v>0</v>
      </c>
      <c r="V71">
        <f ca="1"/>
        <v>0</v>
      </c>
      <c r="Y71" s="2">
        <f t="shared" ca="1" si="1"/>
        <v>45579</v>
      </c>
      <c r="Z71">
        <f t="shared" ca="1" si="2"/>
        <v>0</v>
      </c>
      <c r="AB71" s="63">
        <f t="shared" ca="1" si="4"/>
        <v>77.866479248615079</v>
      </c>
      <c r="AC71" s="63">
        <f t="shared" ca="1" si="5"/>
        <v>77.866479248615079</v>
      </c>
      <c r="AD71" s="3">
        <f t="shared" ca="1" si="6"/>
        <v>0</v>
      </c>
    </row>
    <row r="72" spans="8:30">
      <c r="H72" t="b">
        <f t="shared" ca="1" si="3"/>
        <v>1</v>
      </c>
      <c r="I72" t="b">
        <f t="shared" ca="1" si="0"/>
        <v>1</v>
      </c>
      <c r="J72" s="2">
        <f ca="1"/>
        <v>45580</v>
      </c>
      <c r="K72">
        <f ca="1"/>
        <v>77.610838080470216</v>
      </c>
      <c r="L72">
        <f ca="1"/>
        <v>0</v>
      </c>
      <c r="M72">
        <f ca="1"/>
        <v>0.14189393542416973</v>
      </c>
      <c r="N72">
        <f ca="1"/>
        <v>0.81116981478703687</v>
      </c>
      <c r="O72">
        <f ca="1"/>
        <v>0</v>
      </c>
      <c r="P72">
        <f ca="1"/>
        <v>0</v>
      </c>
      <c r="Q72">
        <f ca="1"/>
        <v>0</v>
      </c>
      <c r="R72">
        <f ca="1"/>
        <v>4.701642075019765E-2</v>
      </c>
      <c r="S72">
        <f ca="1"/>
        <v>1</v>
      </c>
      <c r="T72">
        <f ca="1"/>
        <v>0.10999999999999943</v>
      </c>
      <c r="U72">
        <f ca="1"/>
        <v>0</v>
      </c>
      <c r="V72">
        <f ca="1"/>
        <v>0</v>
      </c>
      <c r="Y72" s="2">
        <f t="shared" ca="1" si="1"/>
        <v>45580</v>
      </c>
      <c r="Z72">
        <f t="shared" ca="1" si="2"/>
        <v>0</v>
      </c>
      <c r="AB72" s="63">
        <f t="shared" ca="1" si="4"/>
        <v>77.657854501220413</v>
      </c>
      <c r="AC72" s="63">
        <f t="shared" ca="1" si="5"/>
        <v>77.657854501220413</v>
      </c>
      <c r="AD72" s="3">
        <f t="shared" ca="1" si="6"/>
        <v>0</v>
      </c>
    </row>
    <row r="73" spans="8:30">
      <c r="H73" t="b">
        <f t="shared" ca="1" si="3"/>
        <v>1</v>
      </c>
      <c r="I73" t="b">
        <f t="shared" ca="1" si="0"/>
        <v>1</v>
      </c>
      <c r="J73" s="2">
        <f ca="1"/>
        <v>45581</v>
      </c>
      <c r="K73">
        <f ca="1"/>
        <v>78.526604627816496</v>
      </c>
      <c r="L73">
        <f ca="1"/>
        <v>0</v>
      </c>
      <c r="M73">
        <f ca="1"/>
        <v>0.1438195505527613</v>
      </c>
      <c r="N73">
        <f ca="1"/>
        <v>0.85411541496928001</v>
      </c>
      <c r="O73">
        <f ca="1"/>
        <v>0</v>
      </c>
      <c r="P73">
        <f ca="1"/>
        <v>0</v>
      </c>
      <c r="Q73">
        <f ca="1"/>
        <v>0</v>
      </c>
      <c r="R73">
        <f ca="1"/>
        <v>8.2168418175772223E-2</v>
      </c>
      <c r="S73">
        <f ca="1"/>
        <v>1</v>
      </c>
      <c r="T73">
        <f ca="1"/>
        <v>0.18999999999999773</v>
      </c>
      <c r="U73">
        <f ca="1"/>
        <v>0</v>
      </c>
      <c r="V73">
        <f ca="1"/>
        <v>0</v>
      </c>
      <c r="Y73" s="2">
        <f t="shared" ca="1" si="1"/>
        <v>45581</v>
      </c>
      <c r="Z73">
        <f t="shared" ca="1" si="2"/>
        <v>0</v>
      </c>
      <c r="AB73" s="63">
        <f t="shared" ca="1" si="4"/>
        <v>78.608773045992265</v>
      </c>
      <c r="AC73" s="63">
        <f t="shared" ca="1" si="5"/>
        <v>78.608773045992265</v>
      </c>
      <c r="AD73" s="3">
        <f t="shared" ca="1" si="6"/>
        <v>0</v>
      </c>
    </row>
    <row r="74" spans="8:30">
      <c r="H74" t="b">
        <f t="shared" ca="1" si="3"/>
        <v>1</v>
      </c>
      <c r="I74" t="b">
        <f t="shared" ca="1" si="0"/>
        <v>1</v>
      </c>
      <c r="J74" s="2">
        <f ca="1"/>
        <v>45582</v>
      </c>
      <c r="K74">
        <f ca="1"/>
        <v>79.18797421492242</v>
      </c>
      <c r="L74">
        <f ca="1"/>
        <v>0</v>
      </c>
      <c r="M74">
        <f ca="1"/>
        <v>0.13520883216861357</v>
      </c>
      <c r="N74">
        <f ca="1"/>
        <v>0.81835290327237142</v>
      </c>
      <c r="O74">
        <f ca="1"/>
        <v>0</v>
      </c>
      <c r="P74">
        <f ca="1"/>
        <v>0</v>
      </c>
      <c r="Q74">
        <f ca="1"/>
        <v>0</v>
      </c>
      <c r="R74">
        <f ca="1"/>
        <v>0.29219214833506235</v>
      </c>
      <c r="S74">
        <f ca="1"/>
        <v>1</v>
      </c>
      <c r="T74">
        <f ca="1"/>
        <v>0.67000000000000171</v>
      </c>
      <c r="U74">
        <f ca="1"/>
        <v>0</v>
      </c>
      <c r="V74">
        <f ca="1"/>
        <v>0</v>
      </c>
      <c r="Y74" s="2">
        <f t="shared" ca="1" si="1"/>
        <v>45582</v>
      </c>
      <c r="Z74">
        <f t="shared" ca="1" si="2"/>
        <v>0</v>
      </c>
      <c r="AB74" s="63">
        <f t="shared" ca="1" si="4"/>
        <v>79.480166363257482</v>
      </c>
      <c r="AC74" s="63">
        <f t="shared" ca="1" si="5"/>
        <v>79.480166363257482</v>
      </c>
      <c r="AD74" s="3">
        <f t="shared" ca="1" si="6"/>
        <v>0</v>
      </c>
    </row>
    <row r="75" spans="8:30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45583</v>
      </c>
      <c r="K75">
        <f ca="1"/>
        <v>20</v>
      </c>
      <c r="L75">
        <f ca="1"/>
        <v>0</v>
      </c>
      <c r="M75">
        <f ca="1"/>
        <v>0.12930619546547817</v>
      </c>
      <c r="N75">
        <f ca="1"/>
        <v>0.80046834048921633</v>
      </c>
      <c r="O75">
        <f ca="1"/>
        <v>0</v>
      </c>
      <c r="P75">
        <f ca="1"/>
        <v>0</v>
      </c>
      <c r="Q75">
        <f ca="1"/>
        <v>0</v>
      </c>
      <c r="R75">
        <f ca="1"/>
        <v>0</v>
      </c>
      <c r="S75">
        <f ca="1"/>
        <v>0.98550724637681164</v>
      </c>
      <c r="T75">
        <f ca="1"/>
        <v>0</v>
      </c>
      <c r="U75">
        <f ca="1"/>
        <v>0</v>
      </c>
      <c r="V75">
        <f ca="1"/>
        <v>0</v>
      </c>
      <c r="Y75" s="2">
        <f t="shared" ref="Y75:Y138" ca="1" si="8">IFERROR(J75,$Y$9)</f>
        <v>45583</v>
      </c>
      <c r="Z75">
        <f t="shared" ref="Z75:Z138" ca="1" si="9">IFERROR(O75,0)</f>
        <v>0</v>
      </c>
      <c r="AB75" s="63">
        <f t="shared" ca="1" si="4"/>
        <v>80.117748750877112</v>
      </c>
      <c r="AC75" s="63">
        <f t="shared" ca="1" si="5"/>
        <v>20</v>
      </c>
      <c r="AD75" s="3">
        <f t="shared" ca="1" si="6"/>
        <v>-60.117748750877112</v>
      </c>
    </row>
    <row r="76" spans="8:30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45584</v>
      </c>
      <c r="K76">
        <f ca="1"/>
        <v>20.916766697274554</v>
      </c>
      <c r="L76">
        <f ca="1"/>
        <v>0</v>
      </c>
      <c r="M76">
        <f ca="1"/>
        <v>0.12479640750953358</v>
      </c>
      <c r="N76">
        <f ca="1"/>
        <v>0.79197028976502037</v>
      </c>
      <c r="O76">
        <f ca="1"/>
        <v>0</v>
      </c>
      <c r="P76">
        <f ca="1"/>
        <v>0</v>
      </c>
      <c r="Q76">
        <f ca="1"/>
        <v>0</v>
      </c>
      <c r="R76">
        <f ca="1"/>
        <v>0</v>
      </c>
      <c r="S76">
        <f ca="1"/>
        <v>0.96170762444864522</v>
      </c>
      <c r="T76">
        <f ca="1"/>
        <v>0</v>
      </c>
      <c r="U76">
        <f ca="1"/>
        <v>0</v>
      </c>
      <c r="V76">
        <f ca="1"/>
        <v>0</v>
      </c>
      <c r="Y76" s="2">
        <f t="shared" ca="1" si="8"/>
        <v>45584</v>
      </c>
      <c r="Z76">
        <f t="shared" ca="1" si="9"/>
        <v>0</v>
      </c>
      <c r="AB76" s="63">
        <f t="shared" ca="1" si="4"/>
        <v>20.916766697274557</v>
      </c>
      <c r="AC76" s="63">
        <f t="shared" ca="1" si="5"/>
        <v>20.916766697274554</v>
      </c>
      <c r="AD76" s="3">
        <f t="shared" ca="1" si="6"/>
        <v>0</v>
      </c>
    </row>
    <row r="77" spans="8:30">
      <c r="H77" t="b">
        <f t="shared" ca="1" si="10"/>
        <v>1</v>
      </c>
      <c r="I77" t="b">
        <f t="shared" ca="1" si="7"/>
        <v>1</v>
      </c>
      <c r="J77" s="2">
        <f ca="1"/>
        <v>45585</v>
      </c>
      <c r="K77">
        <f ca="1"/>
        <v>21.866935048247335</v>
      </c>
      <c r="L77">
        <f ca="1"/>
        <v>0</v>
      </c>
      <c r="M77">
        <f ca="1"/>
        <v>0.12531726974389379</v>
      </c>
      <c r="N77">
        <f ca="1"/>
        <v>0.82485108122888717</v>
      </c>
      <c r="O77">
        <f ca="1"/>
        <v>0</v>
      </c>
      <c r="P77">
        <f ca="1"/>
        <v>0</v>
      </c>
      <c r="Q77">
        <f ca="1"/>
        <v>0</v>
      </c>
      <c r="R77">
        <f ca="1"/>
        <v>0</v>
      </c>
      <c r="S77">
        <f ca="1"/>
        <v>0.96304935755184784</v>
      </c>
      <c r="T77">
        <f ca="1"/>
        <v>0</v>
      </c>
      <c r="U77">
        <f ca="1"/>
        <v>0</v>
      </c>
      <c r="V77">
        <f ca="1"/>
        <v>0</v>
      </c>
      <c r="Y77" s="2">
        <f t="shared" ca="1" si="8"/>
        <v>45585</v>
      </c>
      <c r="Z77">
        <f t="shared" ca="1" si="9"/>
        <v>0</v>
      </c>
      <c r="AB77" s="63">
        <f t="shared" ref="AB77:AB140" ca="1" si="11">K76+M77+N77+O77</f>
        <v>21.866935048247335</v>
      </c>
      <c r="AC77" s="63">
        <f t="shared" ref="AC77:AC140" ca="1" si="12">K77+L77+R77</f>
        <v>21.866935048247335</v>
      </c>
      <c r="AD77" s="3">
        <f t="shared" ref="AD77:AD140" ca="1" si="13">AC77-AB77</f>
        <v>0</v>
      </c>
    </row>
    <row r="78" spans="8:30">
      <c r="H78" t="b">
        <f t="shared" ca="1" si="10"/>
        <v>1</v>
      </c>
      <c r="I78" t="b">
        <f t="shared" ca="1" si="7"/>
        <v>1</v>
      </c>
      <c r="J78" s="2">
        <f ca="1"/>
        <v>45586</v>
      </c>
      <c r="K78">
        <f ca="1"/>
        <v>22.836369551933231</v>
      </c>
      <c r="L78">
        <f ca="1"/>
        <v>0</v>
      </c>
      <c r="M78">
        <f ca="1"/>
        <v>0.12416421595119687</v>
      </c>
      <c r="N78">
        <f ca="1"/>
        <v>0.84527028773470103</v>
      </c>
      <c r="O78">
        <f ca="1"/>
        <v>0</v>
      </c>
      <c r="P78">
        <f ca="1"/>
        <v>0</v>
      </c>
      <c r="Q78">
        <f ca="1"/>
        <v>0</v>
      </c>
      <c r="R78">
        <f ca="1"/>
        <v>0</v>
      </c>
      <c r="S78">
        <f ca="1"/>
        <v>0.97098452232755983</v>
      </c>
      <c r="T78">
        <f ca="1"/>
        <v>0</v>
      </c>
      <c r="U78">
        <f ca="1"/>
        <v>0</v>
      </c>
      <c r="V78">
        <f ca="1"/>
        <v>0</v>
      </c>
      <c r="Y78" s="2">
        <f t="shared" ca="1" si="8"/>
        <v>45586</v>
      </c>
      <c r="Z78">
        <f t="shared" ca="1" si="9"/>
        <v>0</v>
      </c>
      <c r="AB78" s="63">
        <f t="shared" ca="1" si="11"/>
        <v>22.836369551933231</v>
      </c>
      <c r="AC78" s="63">
        <f t="shared" ca="1" si="12"/>
        <v>22.836369551933231</v>
      </c>
      <c r="AD78" s="3">
        <f t="shared" ca="1" si="13"/>
        <v>0</v>
      </c>
    </row>
    <row r="79" spans="8:30">
      <c r="H79" t="b">
        <f t="shared" ca="1" si="10"/>
        <v>1</v>
      </c>
      <c r="I79" t="b">
        <f t="shared" ca="1" si="7"/>
        <v>1</v>
      </c>
      <c r="J79" s="2">
        <f ca="1"/>
        <v>45587</v>
      </c>
      <c r="K79">
        <f ca="1"/>
        <v>23.832778283943441</v>
      </c>
      <c r="L79">
        <f ca="1"/>
        <v>0</v>
      </c>
      <c r="M79">
        <f ca="1"/>
        <v>0.1236843894014843</v>
      </c>
      <c r="N79">
        <f ca="1"/>
        <v>0.87272434260872245</v>
      </c>
      <c r="O79">
        <f ca="1"/>
        <v>0</v>
      </c>
      <c r="P79">
        <f ca="1"/>
        <v>0</v>
      </c>
      <c r="Q79">
        <f ca="1"/>
        <v>0</v>
      </c>
      <c r="R79">
        <f ca="1"/>
        <v>0</v>
      </c>
      <c r="S79">
        <f ca="1"/>
        <v>0.98812111125775848</v>
      </c>
      <c r="T79">
        <f ca="1"/>
        <v>0</v>
      </c>
      <c r="U79">
        <f ca="1"/>
        <v>0</v>
      </c>
      <c r="V79">
        <f ca="1"/>
        <v>0</v>
      </c>
      <c r="Y79" s="2">
        <f t="shared" ca="1" si="8"/>
        <v>45587</v>
      </c>
      <c r="Z79">
        <f t="shared" ca="1" si="9"/>
        <v>0</v>
      </c>
      <c r="AB79" s="63">
        <f t="shared" ca="1" si="11"/>
        <v>23.832778283943437</v>
      </c>
      <c r="AC79" s="63">
        <f t="shared" ca="1" si="12"/>
        <v>23.832778283943441</v>
      </c>
      <c r="AD79" s="3">
        <f t="shared" ca="1" si="13"/>
        <v>0</v>
      </c>
    </row>
    <row r="80" spans="8:30">
      <c r="H80" t="b">
        <f t="shared" ca="1" si="10"/>
        <v>1</v>
      </c>
      <c r="I80" t="b">
        <f t="shared" ca="1" si="7"/>
        <v>1</v>
      </c>
      <c r="J80" s="2">
        <f ca="1"/>
        <v>45588</v>
      </c>
      <c r="K80">
        <f ca="1"/>
        <v>24.777255496453904</v>
      </c>
      <c r="L80">
        <f ca="1"/>
        <v>0</v>
      </c>
      <c r="M80">
        <f ca="1"/>
        <v>0.11527642011603767</v>
      </c>
      <c r="N80">
        <f ca="1"/>
        <v>0.82920079239442868</v>
      </c>
      <c r="O80">
        <f ca="1"/>
        <v>0</v>
      </c>
      <c r="P80">
        <f ca="1"/>
        <v>0</v>
      </c>
      <c r="Q80">
        <f ca="1"/>
        <v>0</v>
      </c>
      <c r="R80">
        <f ca="1"/>
        <v>0</v>
      </c>
      <c r="S80">
        <f ca="1"/>
        <v>0.98940698339253685</v>
      </c>
      <c r="T80">
        <f ca="1"/>
        <v>0</v>
      </c>
      <c r="U80">
        <f ca="1"/>
        <v>0</v>
      </c>
      <c r="V80">
        <f ca="1"/>
        <v>0</v>
      </c>
      <c r="Y80" s="2">
        <f t="shared" ca="1" si="8"/>
        <v>45588</v>
      </c>
      <c r="Z80">
        <f t="shared" ca="1" si="9"/>
        <v>0</v>
      </c>
      <c r="AB80" s="63">
        <f t="shared" ca="1" si="11"/>
        <v>24.777255496453908</v>
      </c>
      <c r="AC80" s="63">
        <f t="shared" ca="1" si="12"/>
        <v>24.777255496453904</v>
      </c>
      <c r="AD80" s="3">
        <f t="shared" ca="1" si="13"/>
        <v>0</v>
      </c>
    </row>
    <row r="81" spans="8:30">
      <c r="H81" t="b">
        <f t="shared" ca="1" si="10"/>
        <v>1</v>
      </c>
      <c r="I81" t="b">
        <f t="shared" ca="1" si="7"/>
        <v>1</v>
      </c>
      <c r="J81" s="2">
        <f ca="1"/>
        <v>45589</v>
      </c>
      <c r="K81">
        <f ca="1"/>
        <v>25.754994880502199</v>
      </c>
      <c r="L81">
        <f ca="1"/>
        <v>0</v>
      </c>
      <c r="M81">
        <f ca="1"/>
        <v>0.11546629200635294</v>
      </c>
      <c r="N81">
        <f ca="1"/>
        <v>0.86227309204194291</v>
      </c>
      <c r="O81">
        <f ca="1"/>
        <v>0</v>
      </c>
      <c r="P81">
        <f ca="1"/>
        <v>2.4710874548403985</v>
      </c>
      <c r="Q81">
        <f ca="1"/>
        <v>1.542631109524043</v>
      </c>
      <c r="R81">
        <f ca="1"/>
        <v>0</v>
      </c>
      <c r="S81">
        <f ca="1"/>
        <v>0.96688303276554022</v>
      </c>
      <c r="T81">
        <f ca="1"/>
        <v>0</v>
      </c>
      <c r="U81">
        <f ca="1"/>
        <v>0</v>
      </c>
      <c r="V81">
        <f ca="1"/>
        <v>7.6069562734662269E-3</v>
      </c>
      <c r="Y81" s="2">
        <f t="shared" ca="1" si="8"/>
        <v>45589</v>
      </c>
      <c r="Z81">
        <f t="shared" ca="1" si="9"/>
        <v>0</v>
      </c>
      <c r="AB81" s="63">
        <f t="shared" ca="1" si="11"/>
        <v>25.754994880502199</v>
      </c>
      <c r="AC81" s="63">
        <f t="shared" ca="1" si="12"/>
        <v>25.754994880502199</v>
      </c>
      <c r="AD81" s="3">
        <f t="shared" ca="1" si="13"/>
        <v>0</v>
      </c>
    </row>
    <row r="82" spans="8:30">
      <c r="H82" t="b">
        <f t="shared" ca="1" si="10"/>
        <v>1</v>
      </c>
      <c r="I82" t="b">
        <f t="shared" ca="1" si="7"/>
        <v>1</v>
      </c>
      <c r="J82" s="2">
        <f ca="1"/>
        <v>45590</v>
      </c>
      <c r="K82">
        <f ca="1"/>
        <v>26.59001332671809</v>
      </c>
      <c r="L82">
        <f ca="1"/>
        <v>0.132628610689558</v>
      </c>
      <c r="M82">
        <f ca="1"/>
        <v>0.11427183008812491</v>
      </c>
      <c r="N82">
        <f ca="1"/>
        <v>0.8533752268173237</v>
      </c>
      <c r="O82">
        <f ca="1"/>
        <v>0</v>
      </c>
      <c r="P82">
        <f ca="1"/>
        <v>2.6037160655299565</v>
      </c>
      <c r="Q82">
        <f ca="1"/>
        <v>1.6254274591481315</v>
      </c>
      <c r="R82">
        <f ca="1"/>
        <v>0</v>
      </c>
      <c r="S82">
        <f ca="1"/>
        <v>0.93235668628140322</v>
      </c>
      <c r="T82">
        <f ca="1"/>
        <v>0</v>
      </c>
      <c r="U82">
        <f ca="1"/>
        <v>0</v>
      </c>
      <c r="V82">
        <f ca="1"/>
        <v>8.6680931137574305E-3</v>
      </c>
      <c r="Y82" s="2">
        <f t="shared" ca="1" si="8"/>
        <v>45590</v>
      </c>
      <c r="Z82">
        <f t="shared" ca="1" si="9"/>
        <v>0</v>
      </c>
      <c r="AB82" s="63">
        <f t="shared" ca="1" si="11"/>
        <v>26.722641937407648</v>
      </c>
      <c r="AC82" s="63">
        <f t="shared" ca="1" si="12"/>
        <v>26.722641937407648</v>
      </c>
      <c r="AD82" s="3">
        <f t="shared" ca="1" si="13"/>
        <v>0</v>
      </c>
    </row>
    <row r="83" spans="8:30">
      <c r="H83" t="b">
        <f t="shared" ca="1" si="10"/>
        <v>1</v>
      </c>
      <c r="I83" t="b">
        <f t="shared" ca="1" si="7"/>
        <v>1</v>
      </c>
      <c r="J83" s="2">
        <f ca="1"/>
        <v>45591</v>
      </c>
      <c r="K83">
        <f ca="1"/>
        <v>27.474796317834183</v>
      </c>
      <c r="L83">
        <f ca="1"/>
        <v>0.14743915872337743</v>
      </c>
      <c r="M83">
        <f ca="1"/>
        <v>0.11667953210930193</v>
      </c>
      <c r="N83">
        <f ca="1"/>
        <v>0.91554261773016854</v>
      </c>
      <c r="O83">
        <f ca="1"/>
        <v>0</v>
      </c>
      <c r="P83">
        <f ca="1"/>
        <v>2.7511552242533339</v>
      </c>
      <c r="Q83">
        <f ca="1"/>
        <v>1.7174696216232856</v>
      </c>
      <c r="R83">
        <f ca="1"/>
        <v>0</v>
      </c>
      <c r="S83">
        <f ca="1"/>
        <v>0.93729875684629393</v>
      </c>
      <c r="T83">
        <f ca="1"/>
        <v>0</v>
      </c>
      <c r="U83">
        <f ca="1"/>
        <v>0</v>
      </c>
      <c r="V83">
        <f ca="1"/>
        <v>9.9455116080266054E-3</v>
      </c>
      <c r="Y83" s="2">
        <f t="shared" ca="1" si="8"/>
        <v>45591</v>
      </c>
      <c r="Z83">
        <f t="shared" ca="1" si="9"/>
        <v>0</v>
      </c>
      <c r="AB83" s="63">
        <f t="shared" ca="1" si="11"/>
        <v>27.62223547655756</v>
      </c>
      <c r="AC83" s="63">
        <f t="shared" ca="1" si="12"/>
        <v>27.62223547655756</v>
      </c>
      <c r="AD83" s="3">
        <f t="shared" ca="1" si="13"/>
        <v>0</v>
      </c>
    </row>
    <row r="84" spans="8:30">
      <c r="H84" t="b">
        <f t="shared" ca="1" si="10"/>
        <v>1</v>
      </c>
      <c r="I84" t="b">
        <f t="shared" ca="1" si="7"/>
        <v>1</v>
      </c>
      <c r="J84" s="2">
        <f ca="1"/>
        <v>45592</v>
      </c>
      <c r="K84">
        <f ca="1"/>
        <v>28.328972347106859</v>
      </c>
      <c r="L84">
        <f ca="1"/>
        <v>0.1495789740953799</v>
      </c>
      <c r="M84">
        <f ca="1"/>
        <v>0.10860263835606077</v>
      </c>
      <c r="N84">
        <f ca="1"/>
        <v>0.89515236501199669</v>
      </c>
      <c r="O84">
        <f ca="1"/>
        <v>0</v>
      </c>
      <c r="P84">
        <f ca="1"/>
        <v>2.9007341983487138</v>
      </c>
      <c r="Q84">
        <f ca="1"/>
        <v>1.810847611268386</v>
      </c>
      <c r="R84">
        <f ca="1"/>
        <v>0</v>
      </c>
      <c r="S84">
        <f ca="1"/>
        <v>0.95762121410035062</v>
      </c>
      <c r="T84">
        <f ca="1"/>
        <v>0</v>
      </c>
      <c r="U84">
        <f ca="1"/>
        <v>0</v>
      </c>
      <c r="V84">
        <f ca="1"/>
        <v>1.1349059133857038E-2</v>
      </c>
      <c r="Y84" s="2">
        <f t="shared" ca="1" si="8"/>
        <v>45592</v>
      </c>
      <c r="Z84">
        <f t="shared" ca="1" si="9"/>
        <v>0</v>
      </c>
      <c r="AB84" s="63">
        <f t="shared" ca="1" si="11"/>
        <v>28.478551321202239</v>
      </c>
      <c r="AC84" s="63">
        <f t="shared" ca="1" si="12"/>
        <v>28.478551321202239</v>
      </c>
      <c r="AD84" s="3">
        <f t="shared" ca="1" si="13"/>
        <v>0</v>
      </c>
    </row>
    <row r="85" spans="8:30">
      <c r="H85" t="b">
        <f t="shared" ca="1" si="10"/>
        <v>1</v>
      </c>
      <c r="I85" t="b">
        <f t="shared" ca="1" si="7"/>
        <v>1</v>
      </c>
      <c r="J85" s="2">
        <f ca="1"/>
        <v>45593</v>
      </c>
      <c r="K85">
        <f ca="1"/>
        <v>29.164142936858543</v>
      </c>
      <c r="L85">
        <f ca="1"/>
        <v>0.15786683648523381</v>
      </c>
      <c r="M85">
        <f ca="1"/>
        <v>0.10535143949242709</v>
      </c>
      <c r="N85">
        <f ca="1"/>
        <v>0.88768598674448973</v>
      </c>
      <c r="O85">
        <f ca="1"/>
        <v>0</v>
      </c>
      <c r="P85">
        <f ca="1"/>
        <v>3.0586010348339476</v>
      </c>
      <c r="Q85">
        <f ca="1"/>
        <v>1.9093994826913245</v>
      </c>
      <c r="R85">
        <f ca="1"/>
        <v>0</v>
      </c>
      <c r="S85">
        <f ca="1"/>
        <v>0.94954902966041121</v>
      </c>
      <c r="T85">
        <f ca="1"/>
        <v>0</v>
      </c>
      <c r="U85">
        <f ca="1"/>
        <v>0</v>
      </c>
      <c r="V85">
        <f ca="1"/>
        <v>1.2950480353080492E-2</v>
      </c>
      <c r="Y85" s="2">
        <f t="shared" ca="1" si="8"/>
        <v>45593</v>
      </c>
      <c r="Z85">
        <f t="shared" ca="1" si="9"/>
        <v>0</v>
      </c>
      <c r="AB85" s="63">
        <f t="shared" ca="1" si="11"/>
        <v>29.322009773343776</v>
      </c>
      <c r="AC85" s="63">
        <f t="shared" ca="1" si="12"/>
        <v>29.322009773343776</v>
      </c>
      <c r="AD85" s="3">
        <f t="shared" ca="1" si="13"/>
        <v>0</v>
      </c>
    </row>
    <row r="86" spans="8:30">
      <c r="H86" t="b">
        <f t="shared" ca="1" si="10"/>
        <v>1</v>
      </c>
      <c r="I86" t="b">
        <f t="shared" ca="1" si="7"/>
        <v>1</v>
      </c>
      <c r="J86" s="2">
        <f ca="1"/>
        <v>45594</v>
      </c>
      <c r="K86">
        <f ca="1"/>
        <v>29.999323212735966</v>
      </c>
      <c r="L86">
        <f ca="1"/>
        <v>0.17152186740717834</v>
      </c>
      <c r="M86">
        <f ca="1"/>
        <v>0.10507364315757961</v>
      </c>
      <c r="N86">
        <f ca="1"/>
        <v>0.90162850012702433</v>
      </c>
      <c r="O86">
        <f ca="1"/>
        <v>0</v>
      </c>
      <c r="P86">
        <f ca="1"/>
        <v>3.230122902241126</v>
      </c>
      <c r="Q86">
        <f ca="1"/>
        <v>2.0164758097989219</v>
      </c>
      <c r="R86">
        <f ca="1"/>
        <v>0</v>
      </c>
      <c r="S86">
        <f ca="1"/>
        <v>0.93307832870042584</v>
      </c>
      <c r="T86">
        <f ca="1"/>
        <v>0</v>
      </c>
      <c r="U86">
        <f ca="1"/>
        <v>0</v>
      </c>
      <c r="V86">
        <f ca="1"/>
        <v>1.4833135836290484E-2</v>
      </c>
      <c r="Y86" s="2">
        <f t="shared" ca="1" si="8"/>
        <v>45594</v>
      </c>
      <c r="Z86">
        <f t="shared" ca="1" si="9"/>
        <v>0</v>
      </c>
      <c r="AB86" s="63">
        <f t="shared" ca="1" si="11"/>
        <v>30.170845080143145</v>
      </c>
      <c r="AC86" s="63">
        <f t="shared" ca="1" si="12"/>
        <v>30.170845080143145</v>
      </c>
      <c r="AD86" s="3">
        <f t="shared" ca="1" si="13"/>
        <v>0</v>
      </c>
    </row>
    <row r="87" spans="8:30">
      <c r="H87" t="b">
        <f t="shared" ca="1" si="10"/>
        <v>1</v>
      </c>
      <c r="I87" t="b">
        <f t="shared" ca="1" si="7"/>
        <v>1</v>
      </c>
      <c r="J87" s="2">
        <f ca="1"/>
        <v>45595</v>
      </c>
      <c r="K87">
        <f ca="1"/>
        <v>30.779817155893667</v>
      </c>
      <c r="L87">
        <f ca="1"/>
        <v>0.1786464958673819</v>
      </c>
      <c r="M87">
        <f ca="1"/>
        <v>0.10034519033251676</v>
      </c>
      <c r="N87">
        <f ca="1"/>
        <v>0.85879524869257107</v>
      </c>
      <c r="O87">
        <f ca="1"/>
        <v>0</v>
      </c>
      <c r="P87">
        <f ca="1"/>
        <v>3.4087693981085079</v>
      </c>
      <c r="Q87">
        <f ca="1"/>
        <v>2.1279998441234302</v>
      </c>
      <c r="R87">
        <f ca="1"/>
        <v>0</v>
      </c>
      <c r="S87">
        <f ca="1"/>
        <v>0.90712662943657563</v>
      </c>
      <c r="T87">
        <f ca="1"/>
        <v>0</v>
      </c>
      <c r="U87">
        <f ca="1"/>
        <v>0</v>
      </c>
      <c r="V87">
        <f ca="1"/>
        <v>1.6955132633557541E-2</v>
      </c>
      <c r="Y87" s="2">
        <f t="shared" ca="1" si="8"/>
        <v>45595</v>
      </c>
      <c r="Z87">
        <f t="shared" ca="1" si="9"/>
        <v>0</v>
      </c>
      <c r="AB87" s="63">
        <f t="shared" ca="1" si="11"/>
        <v>30.958463651761054</v>
      </c>
      <c r="AC87" s="63">
        <f t="shared" ca="1" si="12"/>
        <v>30.958463651761051</v>
      </c>
      <c r="AD87" s="3">
        <f t="shared" ca="1" si="13"/>
        <v>0</v>
      </c>
    </row>
    <row r="88" spans="8:30">
      <c r="H88" t="b">
        <f t="shared" ca="1" si="10"/>
        <v>1</v>
      </c>
      <c r="I88" t="b">
        <f t="shared" ca="1" si="7"/>
        <v>1</v>
      </c>
      <c r="J88" s="2">
        <f ca="1"/>
        <v>45596</v>
      </c>
      <c r="K88">
        <f ca="1"/>
        <v>31.496614687459932</v>
      </c>
      <c r="L88">
        <f ca="1"/>
        <v>0.18190539297974961</v>
      </c>
      <c r="M88">
        <f ca="1"/>
        <v>9.391513805318219E-2</v>
      </c>
      <c r="N88">
        <f ca="1"/>
        <v>0.80478778649283045</v>
      </c>
      <c r="O88">
        <f ca="1"/>
        <v>0</v>
      </c>
      <c r="P88">
        <f ca="1"/>
        <v>3.5906747910882575</v>
      </c>
      <c r="Q88">
        <f ca="1"/>
        <v>2.2415583171961213</v>
      </c>
      <c r="R88">
        <f ca="1"/>
        <v>0</v>
      </c>
      <c r="S88">
        <f ca="1"/>
        <v>0.88871700644618934</v>
      </c>
      <c r="T88">
        <f ca="1"/>
        <v>0</v>
      </c>
      <c r="U88">
        <f ca="1"/>
        <v>0</v>
      </c>
      <c r="V88">
        <f ca="1"/>
        <v>1.9287868588721137E-2</v>
      </c>
      <c r="Y88" s="2">
        <f t="shared" ca="1" si="8"/>
        <v>45596</v>
      </c>
      <c r="Z88">
        <f t="shared" ca="1" si="9"/>
        <v>0</v>
      </c>
      <c r="AB88" s="63">
        <f t="shared" ca="1" si="11"/>
        <v>31.678520080439682</v>
      </c>
      <c r="AC88" s="63">
        <f t="shared" ca="1" si="12"/>
        <v>31.678520080439682</v>
      </c>
      <c r="AD88" s="3">
        <f t="shared" ca="1" si="13"/>
        <v>0</v>
      </c>
    </row>
    <row r="89" spans="8:30">
      <c r="H89" t="b">
        <f t="shared" ca="1" si="10"/>
        <v>1</v>
      </c>
      <c r="I89" t="b">
        <f t="shared" ca="1" si="7"/>
        <v>1</v>
      </c>
      <c r="J89" s="2">
        <f ca="1"/>
        <v>45597</v>
      </c>
      <c r="K89">
        <f ca="1"/>
        <v>32.169296376342885</v>
      </c>
      <c r="L89">
        <f ca="1"/>
        <v>0.19234660064827125</v>
      </c>
      <c r="M89">
        <f ca="1"/>
        <v>9.1344908059705077E-2</v>
      </c>
      <c r="N89">
        <f ca="1"/>
        <v>0.77368338147151838</v>
      </c>
      <c r="O89">
        <f ca="1"/>
        <v>0</v>
      </c>
      <c r="P89">
        <f ca="1"/>
        <v>3.7830213917365287</v>
      </c>
      <c r="Q89">
        <f ca="1"/>
        <v>2.3616349455606906</v>
      </c>
      <c r="R89">
        <f ca="1"/>
        <v>0</v>
      </c>
      <c r="S89">
        <f ca="1"/>
        <v>0.85390762580005442</v>
      </c>
      <c r="T89">
        <f ca="1"/>
        <v>0</v>
      </c>
      <c r="U89">
        <f ca="1"/>
        <v>0</v>
      </c>
      <c r="V89">
        <f ca="1"/>
        <v>2.1946427134702819E-2</v>
      </c>
      <c r="Y89" s="2">
        <f t="shared" ca="1" si="8"/>
        <v>45597</v>
      </c>
      <c r="Z89">
        <f t="shared" ca="1" si="9"/>
        <v>0</v>
      </c>
      <c r="AB89" s="63">
        <f t="shared" ca="1" si="11"/>
        <v>32.361642976991156</v>
      </c>
      <c r="AC89" s="63">
        <f t="shared" ca="1" si="12"/>
        <v>32.361642976991156</v>
      </c>
      <c r="AD89" s="3">
        <f t="shared" ca="1" si="13"/>
        <v>0</v>
      </c>
    </row>
    <row r="90" spans="8:30">
      <c r="H90" t="b">
        <f t="shared" ca="1" si="10"/>
        <v>1</v>
      </c>
      <c r="I90" t="b">
        <f t="shared" ca="1" si="7"/>
        <v>1</v>
      </c>
      <c r="J90" s="2">
        <f ca="1"/>
        <v>45598</v>
      </c>
      <c r="K90">
        <f ca="1"/>
        <v>32.817393911015472</v>
      </c>
      <c r="L90">
        <f ca="1"/>
        <v>0.20091121889110219</v>
      </c>
      <c r="M90">
        <f ca="1"/>
        <v>8.7798197765707187E-2</v>
      </c>
      <c r="N90">
        <f ca="1"/>
        <v>0.76121055579798214</v>
      </c>
      <c r="O90">
        <f ca="1"/>
        <v>0</v>
      </c>
      <c r="P90">
        <f ca="1"/>
        <v>3.9839326106276309</v>
      </c>
      <c r="Q90">
        <f ca="1"/>
        <v>2.4870582266779619</v>
      </c>
      <c r="R90">
        <f ca="1"/>
        <v>0</v>
      </c>
      <c r="S90">
        <f ca="1"/>
        <v>0.8485882067363697</v>
      </c>
      <c r="T90">
        <f ca="1"/>
        <v>0</v>
      </c>
      <c r="U90">
        <f ca="1"/>
        <v>0</v>
      </c>
      <c r="V90">
        <f ca="1"/>
        <v>2.4937081200336917E-2</v>
      </c>
      <c r="Y90" s="2">
        <f t="shared" ca="1" si="8"/>
        <v>45598</v>
      </c>
      <c r="Z90">
        <f t="shared" ca="1" si="9"/>
        <v>0</v>
      </c>
      <c r="AB90" s="63">
        <f t="shared" ca="1" si="11"/>
        <v>33.018305129906572</v>
      </c>
      <c r="AC90" s="63">
        <f t="shared" ca="1" si="12"/>
        <v>33.018305129906572</v>
      </c>
      <c r="AD90" s="3">
        <f t="shared" ca="1" si="13"/>
        <v>0</v>
      </c>
    </row>
    <row r="91" spans="8:30">
      <c r="H91" t="b">
        <f t="shared" ca="1" si="10"/>
        <v>1</v>
      </c>
      <c r="I91" t="b">
        <f t="shared" ca="1" si="7"/>
        <v>1</v>
      </c>
      <c r="J91" s="2">
        <f ca="1"/>
        <v>45599</v>
      </c>
      <c r="K91">
        <f ca="1"/>
        <v>33.468695294387125</v>
      </c>
      <c r="L91">
        <f ca="1"/>
        <v>0.21470941723404513</v>
      </c>
      <c r="M91">
        <f ca="1"/>
        <v>8.6262392558332124E-2</v>
      </c>
      <c r="N91">
        <f ca="1"/>
        <v>0.77974840804736611</v>
      </c>
      <c r="O91">
        <f ca="1"/>
        <v>0</v>
      </c>
      <c r="P91">
        <f ca="1"/>
        <v>4.1986420278616761</v>
      </c>
      <c r="Q91">
        <f ca="1"/>
        <v>2.6210953389154192</v>
      </c>
      <c r="R91">
        <f ca="1"/>
        <v>0</v>
      </c>
      <c r="S91">
        <f ca="1"/>
        <v>0.85335226722913027</v>
      </c>
      <c r="T91">
        <f ca="1"/>
        <v>0</v>
      </c>
      <c r="U91">
        <f ca="1"/>
        <v>0</v>
      </c>
      <c r="V91">
        <f ca="1"/>
        <v>2.8377562907458815E-2</v>
      </c>
      <c r="Y91" s="2">
        <f t="shared" ca="1" si="8"/>
        <v>45599</v>
      </c>
      <c r="Z91">
        <f t="shared" ca="1" si="9"/>
        <v>0</v>
      </c>
      <c r="AB91" s="63">
        <f t="shared" ca="1" si="11"/>
        <v>33.683404711621172</v>
      </c>
      <c r="AC91" s="63">
        <f t="shared" ca="1" si="12"/>
        <v>33.683404711621172</v>
      </c>
      <c r="AD91" s="3">
        <f t="shared" ca="1" si="13"/>
        <v>0</v>
      </c>
    </row>
    <row r="92" spans="8:30">
      <c r="H92" t="b">
        <f t="shared" ca="1" si="10"/>
        <v>1</v>
      </c>
      <c r="I92" t="b">
        <f t="shared" ca="1" si="7"/>
        <v>1</v>
      </c>
      <c r="J92" s="2">
        <f ca="1"/>
        <v>45600</v>
      </c>
      <c r="K92">
        <f ca="1"/>
        <v>34.174962727319098</v>
      </c>
      <c r="L92">
        <f ca="1"/>
        <v>0.231856236379965</v>
      </c>
      <c r="M92">
        <f ca="1"/>
        <v>8.5516209561038892E-2</v>
      </c>
      <c r="N92">
        <f ca="1"/>
        <v>0.85260745975090357</v>
      </c>
      <c r="O92">
        <f ca="1"/>
        <v>0</v>
      </c>
      <c r="P92">
        <f ca="1"/>
        <v>4.4304982642416411</v>
      </c>
      <c r="Q92">
        <f ca="1"/>
        <v>2.7658367330236233</v>
      </c>
      <c r="R92">
        <f ca="1"/>
        <v>0</v>
      </c>
      <c r="S92">
        <f ca="1"/>
        <v>0.90009471361017734</v>
      </c>
      <c r="T92">
        <f ca="1"/>
        <v>0</v>
      </c>
      <c r="U92">
        <f ca="1"/>
        <v>0</v>
      </c>
      <c r="V92">
        <f ca="1"/>
        <v>3.2379382687355872E-2</v>
      </c>
      <c r="Y92" s="2">
        <f t="shared" ca="1" si="8"/>
        <v>45600</v>
      </c>
      <c r="Z92">
        <f t="shared" ca="1" si="9"/>
        <v>0</v>
      </c>
      <c r="AB92" s="63">
        <f t="shared" ca="1" si="11"/>
        <v>34.406818963699074</v>
      </c>
      <c r="AC92" s="63">
        <f t="shared" ca="1" si="12"/>
        <v>34.406818963699067</v>
      </c>
      <c r="AD92" s="3">
        <f t="shared" ca="1" si="13"/>
        <v>0</v>
      </c>
    </row>
    <row r="93" spans="8:30">
      <c r="H93" t="b">
        <f t="shared" ca="1" si="10"/>
        <v>1</v>
      </c>
      <c r="I93" t="b">
        <f t="shared" ca="1" si="7"/>
        <v>1</v>
      </c>
      <c r="J93" s="2">
        <f ca="1"/>
        <v>45601</v>
      </c>
      <c r="K93">
        <f ca="1"/>
        <v>34.856688117819914</v>
      </c>
      <c r="L93">
        <f ca="1"/>
        <v>0.2377633654038025</v>
      </c>
      <c r="M93">
        <f ca="1"/>
        <v>8.0532406790903011E-2</v>
      </c>
      <c r="N93">
        <f ca="1"/>
        <v>0.83895634911371264</v>
      </c>
      <c r="O93">
        <f ca="1"/>
        <v>0</v>
      </c>
      <c r="P93">
        <f ca="1"/>
        <v>4.6682616296454436</v>
      </c>
      <c r="Q93">
        <f ca="1"/>
        <v>2.914265783342576</v>
      </c>
      <c r="R93">
        <f ca="1"/>
        <v>0</v>
      </c>
      <c r="S93">
        <f ca="1"/>
        <v>0.91341808154841808</v>
      </c>
      <c r="T93">
        <f ca="1"/>
        <v>0</v>
      </c>
      <c r="U93">
        <f ca="1"/>
        <v>0</v>
      </c>
      <c r="V93">
        <f ca="1"/>
        <v>3.6794634254938771E-2</v>
      </c>
      <c r="Y93" s="2">
        <f t="shared" ca="1" si="8"/>
        <v>45601</v>
      </c>
      <c r="Z93">
        <f t="shared" ca="1" si="9"/>
        <v>0</v>
      </c>
      <c r="AB93" s="63">
        <f t="shared" ca="1" si="11"/>
        <v>35.094451483223715</v>
      </c>
      <c r="AC93" s="63">
        <f t="shared" ca="1" si="12"/>
        <v>35.094451483223715</v>
      </c>
      <c r="AD93" s="3">
        <f t="shared" ca="1" si="13"/>
        <v>0</v>
      </c>
    </row>
    <row r="94" spans="8:30">
      <c r="H94" t="b">
        <f t="shared" ca="1" si="10"/>
        <v>1</v>
      </c>
      <c r="I94" t="b">
        <f t="shared" ca="1" si="7"/>
        <v>1</v>
      </c>
      <c r="J94" s="2">
        <f ca="1"/>
        <v>45602</v>
      </c>
      <c r="K94">
        <f ca="1"/>
        <v>35.559676231848186</v>
      </c>
      <c r="L94">
        <f ca="1"/>
        <v>0.25596792639027299</v>
      </c>
      <c r="M94">
        <f ca="1"/>
        <v>7.9609325545114018E-2</v>
      </c>
      <c r="N94">
        <f ca="1"/>
        <v>0.87934671487342642</v>
      </c>
      <c r="O94">
        <f ca="1"/>
        <v>0</v>
      </c>
      <c r="P94">
        <f ca="1"/>
        <v>4.9242295560357165</v>
      </c>
      <c r="Q94">
        <f ca="1"/>
        <v>3.0740594343185994</v>
      </c>
      <c r="R94">
        <f ca="1"/>
        <v>0</v>
      </c>
      <c r="S94">
        <f ca="1"/>
        <v>0.92987325704190915</v>
      </c>
      <c r="T94">
        <f ca="1"/>
        <v>0</v>
      </c>
      <c r="U94">
        <f ca="1"/>
        <v>0</v>
      </c>
      <c r="V94">
        <f ca="1"/>
        <v>4.1902166262482859E-2</v>
      </c>
      <c r="Y94" s="2">
        <f t="shared" ca="1" si="8"/>
        <v>45602</v>
      </c>
      <c r="Z94">
        <f t="shared" ca="1" si="9"/>
        <v>0</v>
      </c>
      <c r="AB94" s="63">
        <f t="shared" ca="1" si="11"/>
        <v>35.815644158238456</v>
      </c>
      <c r="AC94" s="63">
        <f t="shared" ca="1" si="12"/>
        <v>35.815644158238456</v>
      </c>
      <c r="AD94" s="3">
        <f t="shared" ca="1" si="13"/>
        <v>0</v>
      </c>
    </row>
    <row r="95" spans="8:30">
      <c r="H95" t="b">
        <f t="shared" ca="1" si="10"/>
        <v>1</v>
      </c>
      <c r="I95" t="b">
        <f t="shared" ca="1" si="7"/>
        <v>1</v>
      </c>
      <c r="J95" s="2">
        <f ca="1"/>
        <v>45603</v>
      </c>
      <c r="K95">
        <f ca="1"/>
        <v>36.264458843837701</v>
      </c>
      <c r="L95">
        <f ca="1"/>
        <v>0.27477093000962594</v>
      </c>
      <c r="M95">
        <f ca="1"/>
        <v>7.8365509627568386E-2</v>
      </c>
      <c r="N95">
        <f ca="1"/>
        <v>0.90118803237157385</v>
      </c>
      <c r="O95">
        <f ca="1"/>
        <v>0</v>
      </c>
      <c r="P95">
        <f ca="1"/>
        <v>5.1990004860453425</v>
      </c>
      <c r="Q95">
        <f ca="1"/>
        <v>3.2455912770283426</v>
      </c>
      <c r="R95">
        <f ca="1"/>
        <v>0</v>
      </c>
      <c r="S95">
        <f ca="1"/>
        <v>0.93202379472290087</v>
      </c>
      <c r="T95">
        <f ca="1"/>
        <v>0</v>
      </c>
      <c r="U95">
        <f ca="1"/>
        <v>0</v>
      </c>
      <c r="V95">
        <f ca="1"/>
        <v>4.7794105083725641E-2</v>
      </c>
      <c r="Y95" s="2">
        <f t="shared" ca="1" si="8"/>
        <v>45603</v>
      </c>
      <c r="Z95">
        <f t="shared" ca="1" si="9"/>
        <v>0</v>
      </c>
      <c r="AB95" s="63">
        <f t="shared" ca="1" si="11"/>
        <v>36.539229773847325</v>
      </c>
      <c r="AC95" s="63">
        <f t="shared" ca="1" si="12"/>
        <v>36.539229773847325</v>
      </c>
      <c r="AD95" s="3">
        <f t="shared" ca="1" si="13"/>
        <v>0</v>
      </c>
    </row>
    <row r="96" spans="8:30">
      <c r="H96" t="b">
        <f t="shared" ca="1" si="10"/>
        <v>1</v>
      </c>
      <c r="I96" t="b">
        <f t="shared" ca="1" si="7"/>
        <v>1</v>
      </c>
      <c r="J96" s="2">
        <f ca="1"/>
        <v>45604</v>
      </c>
      <c r="K96">
        <f ca="1"/>
        <v>36.932810505783351</v>
      </c>
      <c r="L96">
        <f ca="1"/>
        <v>0.28258952265508519</v>
      </c>
      <c r="M96">
        <f ca="1"/>
        <v>7.3897930654760913E-2</v>
      </c>
      <c r="N96">
        <f ca="1"/>
        <v>0.87704325394597415</v>
      </c>
      <c r="O96">
        <f ca="1"/>
        <v>0</v>
      </c>
      <c r="P96">
        <f ca="1"/>
        <v>5.4815900087004277</v>
      </c>
      <c r="Q96">
        <f ca="1"/>
        <v>3.4220040494777249</v>
      </c>
      <c r="R96">
        <f ca="1"/>
        <v>0</v>
      </c>
      <c r="S96">
        <f ca="1"/>
        <v>0.93450825472847909</v>
      </c>
      <c r="T96">
        <f ca="1"/>
        <v>0</v>
      </c>
      <c r="U96">
        <f ca="1"/>
        <v>0</v>
      </c>
      <c r="V96">
        <f ca="1"/>
        <v>5.4294319928685941E-2</v>
      </c>
      <c r="Y96" s="2">
        <f t="shared" ca="1" si="8"/>
        <v>45604</v>
      </c>
      <c r="Z96">
        <f t="shared" ca="1" si="9"/>
        <v>0</v>
      </c>
      <c r="AB96" s="63">
        <f t="shared" ca="1" si="11"/>
        <v>37.215400028438438</v>
      </c>
      <c r="AC96" s="63">
        <f t="shared" ca="1" si="12"/>
        <v>37.215400028438438</v>
      </c>
      <c r="AD96" s="3">
        <f t="shared" ca="1" si="13"/>
        <v>0</v>
      </c>
    </row>
    <row r="97" spans="8:30">
      <c r="H97" t="b">
        <f t="shared" ca="1" si="10"/>
        <v>1</v>
      </c>
      <c r="I97" t="b">
        <f t="shared" ca="1" si="7"/>
        <v>1</v>
      </c>
      <c r="J97" s="2">
        <f ca="1"/>
        <v>45605</v>
      </c>
      <c r="K97">
        <f ca="1"/>
        <v>37.591836574156602</v>
      </c>
      <c r="L97">
        <f ca="1"/>
        <v>0.30513826453624304</v>
      </c>
      <c r="M97">
        <f ca="1"/>
        <v>7.3195489853851825E-2</v>
      </c>
      <c r="N97">
        <f ca="1"/>
        <v>0.89096884305564905</v>
      </c>
      <c r="O97">
        <f ca="1"/>
        <v>0</v>
      </c>
      <c r="P97">
        <f ca="1"/>
        <v>5.7867282732366707</v>
      </c>
      <c r="Q97">
        <f ca="1"/>
        <v>3.6124933737862359</v>
      </c>
      <c r="R97">
        <f ca="1"/>
        <v>0</v>
      </c>
      <c r="S97">
        <f ca="1"/>
        <v>0.92362442526581678</v>
      </c>
      <c r="T97">
        <f ca="1"/>
        <v>0</v>
      </c>
      <c r="U97">
        <f ca="1"/>
        <v>0</v>
      </c>
      <c r="V97">
        <f ca="1"/>
        <v>6.1810894377751932E-2</v>
      </c>
      <c r="Y97" s="2">
        <f t="shared" ca="1" si="8"/>
        <v>45605</v>
      </c>
      <c r="Z97">
        <f t="shared" ca="1" si="9"/>
        <v>0</v>
      </c>
      <c r="AB97" s="63">
        <f t="shared" ca="1" si="11"/>
        <v>37.896974838692849</v>
      </c>
      <c r="AC97" s="63">
        <f t="shared" ca="1" si="12"/>
        <v>37.896974838692842</v>
      </c>
      <c r="AD97" s="3">
        <f t="shared" ca="1" si="13"/>
        <v>0</v>
      </c>
    </row>
    <row r="98" spans="8:30">
      <c r="H98" t="b">
        <f t="shared" ca="1" si="10"/>
        <v>1</v>
      </c>
      <c r="I98" t="b">
        <f t="shared" ca="1" si="7"/>
        <v>1</v>
      </c>
      <c r="J98" s="2">
        <f ca="1"/>
        <v>45606</v>
      </c>
      <c r="K98">
        <f ca="1"/>
        <v>38.209969138076104</v>
      </c>
      <c r="L98">
        <f ca="1"/>
        <v>0.32406894974327294</v>
      </c>
      <c r="M98">
        <f ca="1"/>
        <v>7.1210950716485755E-2</v>
      </c>
      <c r="N98">
        <f ca="1"/>
        <v>0.87099056294628696</v>
      </c>
      <c r="O98">
        <f ca="1"/>
        <v>0</v>
      </c>
      <c r="P98">
        <f ca="1"/>
        <v>6.1107972229799437</v>
      </c>
      <c r="Q98">
        <f ca="1"/>
        <v>3.8148005978893367</v>
      </c>
      <c r="R98">
        <f ca="1"/>
        <v>0</v>
      </c>
      <c r="S98">
        <f ca="1"/>
        <v>0.89908947440380105</v>
      </c>
      <c r="T98">
        <f ca="1"/>
        <v>0</v>
      </c>
      <c r="U98">
        <f ca="1"/>
        <v>0</v>
      </c>
      <c r="V98">
        <f ca="1"/>
        <v>7.0351859002761918E-2</v>
      </c>
      <c r="Y98" s="2">
        <f t="shared" ca="1" si="8"/>
        <v>45606</v>
      </c>
      <c r="Z98">
        <f t="shared" ca="1" si="9"/>
        <v>0</v>
      </c>
      <c r="AB98" s="63">
        <f t="shared" ca="1" si="11"/>
        <v>38.534038087819376</v>
      </c>
      <c r="AC98" s="63">
        <f t="shared" ca="1" si="12"/>
        <v>38.534038087819376</v>
      </c>
      <c r="AD98" s="3">
        <f t="shared" ca="1" si="13"/>
        <v>0</v>
      </c>
    </row>
    <row r="99" spans="8:30">
      <c r="H99" t="b">
        <f t="shared" ca="1" si="10"/>
        <v>1</v>
      </c>
      <c r="I99" t="b">
        <f t="shared" ca="1" si="7"/>
        <v>1</v>
      </c>
      <c r="J99" s="2">
        <f ca="1"/>
        <v>45607</v>
      </c>
      <c r="K99">
        <f ca="1"/>
        <v>38.813237010135893</v>
      </c>
      <c r="L99">
        <f ca="1"/>
        <v>0.34116736861071573</v>
      </c>
      <c r="M99">
        <f ca="1"/>
        <v>6.8648075735804781E-2</v>
      </c>
      <c r="N99">
        <f ca="1"/>
        <v>0.87578716493469688</v>
      </c>
      <c r="O99">
        <f ca="1"/>
        <v>0</v>
      </c>
      <c r="P99">
        <f ca="1"/>
        <v>6.4519645915906594</v>
      </c>
      <c r="Q99">
        <f ca="1"/>
        <v>4.0277818889166666</v>
      </c>
      <c r="R99">
        <f ca="1"/>
        <v>0</v>
      </c>
      <c r="S99">
        <f ca="1"/>
        <v>0.90539308204632085</v>
      </c>
      <c r="T99">
        <f ca="1"/>
        <v>0</v>
      </c>
      <c r="U99">
        <f ca="1"/>
        <v>0</v>
      </c>
      <c r="V99">
        <f ca="1"/>
        <v>7.9951767981730815E-2</v>
      </c>
      <c r="Y99" s="2">
        <f t="shared" ca="1" si="8"/>
        <v>45607</v>
      </c>
      <c r="Z99">
        <f t="shared" ca="1" si="9"/>
        <v>0</v>
      </c>
      <c r="AB99" s="63">
        <f t="shared" ca="1" si="11"/>
        <v>39.154404378746612</v>
      </c>
      <c r="AC99" s="63">
        <f t="shared" ca="1" si="12"/>
        <v>39.154404378746605</v>
      </c>
      <c r="AD99" s="3">
        <f t="shared" ca="1" si="13"/>
        <v>0</v>
      </c>
    </row>
    <row r="100" spans="8:30">
      <c r="H100" t="b">
        <f t="shared" ca="1" si="10"/>
        <v>1</v>
      </c>
      <c r="I100" t="b">
        <f t="shared" ca="1" si="7"/>
        <v>1</v>
      </c>
      <c r="J100" s="2">
        <f ca="1"/>
        <v>45608</v>
      </c>
      <c r="K100">
        <f ca="1"/>
        <v>39.376431508184595</v>
      </c>
      <c r="L100">
        <f ca="1"/>
        <v>0.35409470550756694</v>
      </c>
      <c r="M100">
        <f ca="1"/>
        <v>6.5282269615458688E-2</v>
      </c>
      <c r="N100">
        <f ca="1"/>
        <v>0.85200693394080895</v>
      </c>
      <c r="O100">
        <f ca="1"/>
        <v>0</v>
      </c>
      <c r="P100">
        <f ca="1"/>
        <v>6.8060592970982263</v>
      </c>
      <c r="Q100">
        <f ca="1"/>
        <v>4.2488333565058642</v>
      </c>
      <c r="R100">
        <f ca="1"/>
        <v>0</v>
      </c>
      <c r="S100">
        <f ca="1"/>
        <v>0.89887702752424437</v>
      </c>
      <c r="T100">
        <f ca="1"/>
        <v>0</v>
      </c>
      <c r="U100">
        <f ca="1"/>
        <v>0</v>
      </c>
      <c r="V100">
        <f ca="1"/>
        <v>9.0556513546231232E-2</v>
      </c>
      <c r="Y100" s="2">
        <f t="shared" ca="1" si="8"/>
        <v>45608</v>
      </c>
      <c r="Z100">
        <f t="shared" ca="1" si="9"/>
        <v>0</v>
      </c>
      <c r="AB100" s="63">
        <f t="shared" ca="1" si="11"/>
        <v>39.730526213692158</v>
      </c>
      <c r="AC100" s="63">
        <f t="shared" ca="1" si="12"/>
        <v>39.730526213692158</v>
      </c>
      <c r="AD100" s="3">
        <f t="shared" ca="1" si="13"/>
        <v>0</v>
      </c>
    </row>
    <row r="101" spans="8:30">
      <c r="H101" t="b">
        <f t="shared" ca="1" si="10"/>
        <v>1</v>
      </c>
      <c r="I101" t="b">
        <f t="shared" ca="1" si="7"/>
        <v>1</v>
      </c>
      <c r="J101" s="2">
        <f ca="1"/>
        <v>45609</v>
      </c>
      <c r="K101">
        <f ca="1"/>
        <v>39.911377598108366</v>
      </c>
      <c r="L101">
        <f ca="1"/>
        <v>0.37180784746333195</v>
      </c>
      <c r="M101">
        <f ca="1"/>
        <v>6.2878323414595982E-2</v>
      </c>
      <c r="N101">
        <f ca="1"/>
        <v>0.84387561397250488</v>
      </c>
      <c r="O101">
        <f ca="1"/>
        <v>0</v>
      </c>
      <c r="P101">
        <f ca="1"/>
        <v>7.1778671445615583</v>
      </c>
      <c r="Q101">
        <f ca="1"/>
        <v>4.4809426455310684</v>
      </c>
      <c r="R101">
        <f ca="1"/>
        <v>0</v>
      </c>
      <c r="S101">
        <f ca="1"/>
        <v>0.89463990377442093</v>
      </c>
      <c r="T101">
        <f ca="1"/>
        <v>0</v>
      </c>
      <c r="U101">
        <f ca="1"/>
        <v>0</v>
      </c>
      <c r="V101">
        <f ca="1"/>
        <v>0.10236832601781634</v>
      </c>
      <c r="Y101" s="2">
        <f t="shared" ca="1" si="8"/>
        <v>45609</v>
      </c>
      <c r="Z101">
        <f t="shared" ca="1" si="9"/>
        <v>0</v>
      </c>
      <c r="AB101" s="63">
        <f t="shared" ca="1" si="11"/>
        <v>40.283185445571696</v>
      </c>
      <c r="AC101" s="63">
        <f t="shared" ca="1" si="12"/>
        <v>40.283185445571696</v>
      </c>
      <c r="AD101" s="3">
        <f t="shared" ca="1" si="13"/>
        <v>0</v>
      </c>
    </row>
    <row r="102" spans="8:30">
      <c r="H102" t="b">
        <f t="shared" ca="1" si="10"/>
        <v>1</v>
      </c>
      <c r="I102" t="b">
        <f t="shared" ca="1" si="7"/>
        <v>1</v>
      </c>
      <c r="J102" s="2">
        <f ca="1"/>
        <v>45610</v>
      </c>
      <c r="K102">
        <f ca="1"/>
        <v>40.419119630564907</v>
      </c>
      <c r="L102">
        <f ca="1"/>
        <v>0.40137367447879058</v>
      </c>
      <c r="M102">
        <f ca="1"/>
        <v>6.2240206519851071E-2</v>
      </c>
      <c r="N102">
        <f ca="1"/>
        <v>0.84687550041548021</v>
      </c>
      <c r="O102">
        <f ca="1"/>
        <v>0</v>
      </c>
      <c r="P102">
        <f ca="1"/>
        <v>7.5792408190403489</v>
      </c>
      <c r="Q102">
        <f ca="1"/>
        <v>4.7315090573276715</v>
      </c>
      <c r="R102">
        <f ca="1"/>
        <v>0</v>
      </c>
      <c r="S102">
        <f ca="1"/>
        <v>0.87443475559309936</v>
      </c>
      <c r="T102">
        <f ca="1"/>
        <v>0</v>
      </c>
      <c r="U102">
        <f ca="1"/>
        <v>0</v>
      </c>
      <c r="V102">
        <f ca="1"/>
        <v>0.11585993249996331</v>
      </c>
      <c r="Y102" s="2">
        <f t="shared" ca="1" si="8"/>
        <v>45610</v>
      </c>
      <c r="Z102">
        <f t="shared" ca="1" si="9"/>
        <v>0</v>
      </c>
      <c r="AB102" s="63">
        <f t="shared" ca="1" si="11"/>
        <v>40.820493305043698</v>
      </c>
      <c r="AC102" s="63">
        <f t="shared" ca="1" si="12"/>
        <v>40.820493305043698</v>
      </c>
      <c r="AD102" s="3">
        <f t="shared" ca="1" si="13"/>
        <v>0</v>
      </c>
    </row>
    <row r="103" spans="8:30">
      <c r="H103" t="b">
        <f t="shared" ca="1" si="10"/>
        <v>1</v>
      </c>
      <c r="I103" t="b">
        <f t="shared" ca="1" si="7"/>
        <v>1</v>
      </c>
      <c r="J103" s="2">
        <f ca="1"/>
        <v>45611</v>
      </c>
      <c r="K103">
        <f ca="1"/>
        <v>40.934681904353035</v>
      </c>
      <c r="L103">
        <f ca="1"/>
        <v>0.43295269610114673</v>
      </c>
      <c r="M103">
        <f ca="1"/>
        <v>6.1469774135421318E-2</v>
      </c>
      <c r="N103">
        <f ca="1"/>
        <v>0.88704519575384577</v>
      </c>
      <c r="O103">
        <f ca="1"/>
        <v>0</v>
      </c>
      <c r="P103">
        <f ca="1"/>
        <v>8.0121935151414956</v>
      </c>
      <c r="Q103">
        <f ca="1"/>
        <v>5.0017893732467522</v>
      </c>
      <c r="R103">
        <f ca="1"/>
        <v>0</v>
      </c>
      <c r="S103">
        <f ca="1"/>
        <v>0.88934108264114986</v>
      </c>
      <c r="T103">
        <f ca="1"/>
        <v>0</v>
      </c>
      <c r="U103">
        <f ca="1"/>
        <v>0</v>
      </c>
      <c r="V103">
        <f ca="1"/>
        <v>0.13122179503873491</v>
      </c>
      <c r="Y103" s="2">
        <f t="shared" ca="1" si="8"/>
        <v>45611</v>
      </c>
      <c r="Z103">
        <f t="shared" ca="1" si="9"/>
        <v>0</v>
      </c>
      <c r="AB103" s="63">
        <f t="shared" ca="1" si="11"/>
        <v>41.367634600454174</v>
      </c>
      <c r="AC103" s="63">
        <f t="shared" ca="1" si="12"/>
        <v>41.367634600454181</v>
      </c>
      <c r="AD103" s="3">
        <f t="shared" ca="1" si="13"/>
        <v>0</v>
      </c>
    </row>
    <row r="104" spans="8:30">
      <c r="H104" t="b">
        <f t="shared" ca="1" si="10"/>
        <v>1</v>
      </c>
      <c r="I104" t="b">
        <f t="shared" ca="1" si="7"/>
        <v>1</v>
      </c>
      <c r="J104" s="2">
        <f ca="1"/>
        <v>45612</v>
      </c>
      <c r="K104">
        <f ca="1"/>
        <v>41.386741099642585</v>
      </c>
      <c r="L104">
        <f ca="1"/>
        <v>0.44533550550312206</v>
      </c>
      <c r="M104">
        <f ca="1"/>
        <v>5.7794294442148342E-2</v>
      </c>
      <c r="N104">
        <f ca="1"/>
        <v>0.83960040635052868</v>
      </c>
      <c r="O104">
        <f ca="1"/>
        <v>0</v>
      </c>
      <c r="P104">
        <f ca="1"/>
        <v>8.4575290206446176</v>
      </c>
      <c r="Q104">
        <f ca="1"/>
        <v>5.2797999323708522</v>
      </c>
      <c r="R104">
        <f ca="1"/>
        <v>0</v>
      </c>
      <c r="S104">
        <f ca="1"/>
        <v>0.87094682884424646</v>
      </c>
      <c r="T104">
        <f ca="1"/>
        <v>0</v>
      </c>
      <c r="U104">
        <f ca="1"/>
        <v>0</v>
      </c>
      <c r="V104">
        <f ca="1"/>
        <v>0.147830708657048</v>
      </c>
      <c r="Y104" s="2">
        <f t="shared" ca="1" si="8"/>
        <v>45612</v>
      </c>
      <c r="Z104">
        <f t="shared" ca="1" si="9"/>
        <v>0</v>
      </c>
      <c r="AB104" s="63">
        <f t="shared" ca="1" si="11"/>
        <v>41.832076605145708</v>
      </c>
      <c r="AC104" s="63">
        <f t="shared" ca="1" si="12"/>
        <v>41.832076605145708</v>
      </c>
      <c r="AD104" s="3">
        <f t="shared" ca="1" si="13"/>
        <v>0</v>
      </c>
    </row>
    <row r="105" spans="8:30">
      <c r="H105" t="b">
        <f t="shared" ca="1" si="10"/>
        <v>1</v>
      </c>
      <c r="I105" t="b">
        <f t="shared" ca="1" si="7"/>
        <v>1</v>
      </c>
      <c r="J105" s="2">
        <f ca="1"/>
        <v>45613</v>
      </c>
      <c r="K105">
        <f ca="1"/>
        <v>41.779417667691959</v>
      </c>
      <c r="L105">
        <f ca="1"/>
        <v>0.45741202679359994</v>
      </c>
      <c r="M105">
        <f ca="1"/>
        <v>5.4423684825486873E-2</v>
      </c>
      <c r="N105">
        <f ca="1"/>
        <v>0.79566491001748862</v>
      </c>
      <c r="O105">
        <f ca="1"/>
        <v>0</v>
      </c>
      <c r="P105">
        <f ca="1"/>
        <v>8.9149410474382176</v>
      </c>
      <c r="Q105">
        <f ca="1"/>
        <v>5.5653495275582179</v>
      </c>
      <c r="R105">
        <f ca="1"/>
        <v>0</v>
      </c>
      <c r="S105">
        <f ca="1"/>
        <v>0.85324903444768285</v>
      </c>
      <c r="T105">
        <f ca="1"/>
        <v>0</v>
      </c>
      <c r="U105">
        <f ca="1"/>
        <v>0</v>
      </c>
      <c r="V105">
        <f ca="1"/>
        <v>0.16566107594164642</v>
      </c>
      <c r="Y105" s="2">
        <f t="shared" ca="1" si="8"/>
        <v>45613</v>
      </c>
      <c r="Z105">
        <f t="shared" ca="1" si="9"/>
        <v>0</v>
      </c>
      <c r="AB105" s="63">
        <f t="shared" ca="1" si="11"/>
        <v>42.236829694485557</v>
      </c>
      <c r="AC105" s="63">
        <f t="shared" ca="1" si="12"/>
        <v>42.236829694485557</v>
      </c>
      <c r="AD105" s="3">
        <f t="shared" ca="1" si="13"/>
        <v>0</v>
      </c>
    </row>
    <row r="106" spans="8:30">
      <c r="H106" t="b">
        <f t="shared" ca="1" si="10"/>
        <v>1</v>
      </c>
      <c r="I106" t="b">
        <f t="shared" ca="1" si="7"/>
        <v>1</v>
      </c>
      <c r="J106" s="2">
        <f ca="1"/>
        <v>45614</v>
      </c>
      <c r="K106">
        <f ca="1"/>
        <v>42.119098122773877</v>
      </c>
      <c r="L106">
        <f ca="1"/>
        <v>0.48044533867402528</v>
      </c>
      <c r="M106">
        <f ca="1"/>
        <v>5.249546657257298E-2</v>
      </c>
      <c r="N106">
        <f ca="1"/>
        <v>0.76763032718337032</v>
      </c>
      <c r="O106">
        <f ca="1"/>
        <v>0</v>
      </c>
      <c r="P106">
        <f ca="1"/>
        <v>9.3953863861122429</v>
      </c>
      <c r="Q106">
        <f ca="1"/>
        <v>5.8652781781661085</v>
      </c>
      <c r="R106">
        <f ca="1"/>
        <v>0</v>
      </c>
      <c r="S106">
        <f ca="1"/>
        <v>0.82741668664977097</v>
      </c>
      <c r="T106">
        <f ca="1"/>
        <v>0</v>
      </c>
      <c r="U106">
        <f ca="1"/>
        <v>0</v>
      </c>
      <c r="V106">
        <f ca="1"/>
        <v>0.18513238572028495</v>
      </c>
      <c r="Y106" s="2">
        <f t="shared" ca="1" si="8"/>
        <v>45614</v>
      </c>
      <c r="Z106">
        <f t="shared" ca="1" si="9"/>
        <v>0</v>
      </c>
      <c r="AB106" s="63">
        <f t="shared" ca="1" si="11"/>
        <v>42.599543461447901</v>
      </c>
      <c r="AC106" s="63">
        <f t="shared" ca="1" si="12"/>
        <v>42.599543461447901</v>
      </c>
      <c r="AD106" s="3">
        <f t="shared" ca="1" si="13"/>
        <v>0</v>
      </c>
    </row>
    <row r="107" spans="8:30">
      <c r="H107" t="b">
        <f t="shared" ca="1" si="10"/>
        <v>1</v>
      </c>
      <c r="I107" t="b">
        <f t="shared" ca="1" si="7"/>
        <v>1</v>
      </c>
      <c r="J107" s="2">
        <f ca="1"/>
        <v>45615</v>
      </c>
      <c r="K107">
        <f ca="1"/>
        <v>42.433526603380052</v>
      </c>
      <c r="L107">
        <f ca="1"/>
        <v>0.52071322357824101</v>
      </c>
      <c r="M107">
        <f ca="1"/>
        <v>5.2214445985500291E-2</v>
      </c>
      <c r="N107">
        <f ca="1"/>
        <v>0.7829272581989154</v>
      </c>
      <c r="O107">
        <f ca="1"/>
        <v>0</v>
      </c>
      <c r="P107">
        <f ca="1"/>
        <v>9.9160996096904839</v>
      </c>
      <c r="Q107">
        <f ca="1"/>
        <v>6.1903449483683879</v>
      </c>
      <c r="R107">
        <f ca="1"/>
        <v>0</v>
      </c>
      <c r="S107">
        <f ca="1"/>
        <v>0.81545447736532573</v>
      </c>
      <c r="T107">
        <f ca="1"/>
        <v>0</v>
      </c>
      <c r="U107">
        <f ca="1"/>
        <v>0</v>
      </c>
      <c r="V107">
        <f ca="1"/>
        <v>0.20697018765925498</v>
      </c>
      <c r="Y107" s="2">
        <f t="shared" ca="1" si="8"/>
        <v>45615</v>
      </c>
      <c r="Z107">
        <f t="shared" ca="1" si="9"/>
        <v>0</v>
      </c>
      <c r="AB107" s="63">
        <f t="shared" ca="1" si="11"/>
        <v>42.954239826958293</v>
      </c>
      <c r="AC107" s="63">
        <f t="shared" ca="1" si="12"/>
        <v>42.954239826958293</v>
      </c>
      <c r="AD107" s="3">
        <f t="shared" ca="1" si="13"/>
        <v>0</v>
      </c>
    </row>
    <row r="108" spans="8:30">
      <c r="H108" t="b">
        <f t="shared" ca="1" si="10"/>
        <v>1</v>
      </c>
      <c r="I108" t="b">
        <f t="shared" ca="1" si="7"/>
        <v>1</v>
      </c>
      <c r="J108" s="2">
        <f ca="1"/>
        <v>45616</v>
      </c>
      <c r="K108">
        <f ca="1"/>
        <v>42.71729310013248</v>
      </c>
      <c r="L108">
        <f ca="1"/>
        <v>0.55134608357685622</v>
      </c>
      <c r="M108">
        <f ca="1"/>
        <v>5.0659317652858249E-2</v>
      </c>
      <c r="N108">
        <f ca="1"/>
        <v>0.7844532626764229</v>
      </c>
      <c r="O108">
        <f ca="1"/>
        <v>0</v>
      </c>
      <c r="P108">
        <f ca="1"/>
        <v>10.46744569326734</v>
      </c>
      <c r="Q108">
        <f ca="1"/>
        <v>6.5345349603300793</v>
      </c>
      <c r="R108">
        <f ca="1"/>
        <v>0</v>
      </c>
      <c r="S108">
        <f ca="1"/>
        <v>0.81246824697699338</v>
      </c>
      <c r="T108">
        <f ca="1"/>
        <v>0</v>
      </c>
      <c r="U108">
        <f ca="1"/>
        <v>0</v>
      </c>
      <c r="V108">
        <f ca="1"/>
        <v>0.23077095816763929</v>
      </c>
      <c r="Y108" s="2">
        <f t="shared" ca="1" si="8"/>
        <v>45616</v>
      </c>
      <c r="Z108">
        <f t="shared" ca="1" si="9"/>
        <v>0</v>
      </c>
      <c r="AB108" s="63">
        <f t="shared" ca="1" si="11"/>
        <v>43.268639183709332</v>
      </c>
      <c r="AC108" s="63">
        <f t="shared" ca="1" si="12"/>
        <v>43.26863918370934</v>
      </c>
      <c r="AD108" s="3">
        <f t="shared" ca="1" si="13"/>
        <v>0</v>
      </c>
    </row>
    <row r="109" spans="8:30">
      <c r="H109" t="b">
        <f t="shared" ca="1" si="10"/>
        <v>1</v>
      </c>
      <c r="I109" t="b">
        <f t="shared" ca="1" si="7"/>
        <v>1</v>
      </c>
      <c r="J109" s="2">
        <f ca="1"/>
        <v>45617</v>
      </c>
      <c r="K109">
        <f ca="1"/>
        <v>42.990182751433615</v>
      </c>
      <c r="L109">
        <f ca="1"/>
        <v>0.59021666045866716</v>
      </c>
      <c r="M109">
        <f ca="1"/>
        <v>4.9679722850092034E-2</v>
      </c>
      <c r="N109">
        <f ca="1"/>
        <v>0.81342658890970365</v>
      </c>
      <c r="O109">
        <f ca="1"/>
        <v>0</v>
      </c>
      <c r="P109">
        <f ca="1"/>
        <v>11.057662353726007</v>
      </c>
      <c r="Q109">
        <f ca="1"/>
        <v>6.9029907913851316</v>
      </c>
      <c r="R109">
        <f ca="1"/>
        <v>0</v>
      </c>
      <c r="S109">
        <f ca="1"/>
        <v>0.82573866325799128</v>
      </c>
      <c r="T109">
        <f ca="1"/>
        <v>0</v>
      </c>
      <c r="U109">
        <f ca="1"/>
        <v>0</v>
      </c>
      <c r="V109">
        <f ca="1"/>
        <v>0.25683400122415484</v>
      </c>
      <c r="Y109" s="2">
        <f t="shared" ca="1" si="8"/>
        <v>45617</v>
      </c>
      <c r="Z109">
        <f t="shared" ca="1" si="9"/>
        <v>0</v>
      </c>
      <c r="AB109" s="63">
        <f t="shared" ca="1" si="11"/>
        <v>43.58039941189228</v>
      </c>
      <c r="AC109" s="63">
        <f t="shared" ca="1" si="12"/>
        <v>43.58039941189228</v>
      </c>
      <c r="AD109" s="3">
        <f t="shared" ca="1" si="13"/>
        <v>0</v>
      </c>
    </row>
    <row r="110" spans="8:30">
      <c r="H110" t="b">
        <f t="shared" ca="1" si="10"/>
        <v>1</v>
      </c>
      <c r="I110" t="b">
        <f t="shared" ca="1" si="7"/>
        <v>1</v>
      </c>
      <c r="J110" s="2">
        <f ca="1"/>
        <v>45618</v>
      </c>
      <c r="K110">
        <f ca="1"/>
        <v>43.229406810283372</v>
      </c>
      <c r="L110">
        <f ca="1"/>
        <v>0.63207141230413555</v>
      </c>
      <c r="M110">
        <f ca="1"/>
        <v>4.8690871894468302E-2</v>
      </c>
      <c r="N110">
        <f ca="1"/>
        <v>0.82260459925941809</v>
      </c>
      <c r="O110">
        <f ca="1"/>
        <v>0</v>
      </c>
      <c r="P110">
        <f ca="1"/>
        <v>11.689733766030143</v>
      </c>
      <c r="Q110">
        <f ca="1"/>
        <v>7.2975753788918221</v>
      </c>
      <c r="R110">
        <f ca="1"/>
        <v>0</v>
      </c>
      <c r="S110">
        <f ca="1"/>
        <v>0.81980796373504039</v>
      </c>
      <c r="T110">
        <f ca="1"/>
        <v>0</v>
      </c>
      <c r="U110">
        <f ca="1"/>
        <v>0</v>
      </c>
      <c r="V110">
        <f ca="1"/>
        <v>0.28518916512409415</v>
      </c>
      <c r="Y110" s="2">
        <f t="shared" ca="1" si="8"/>
        <v>45618</v>
      </c>
      <c r="Z110">
        <f t="shared" ca="1" si="9"/>
        <v>0</v>
      </c>
      <c r="AB110" s="63">
        <f t="shared" ca="1" si="11"/>
        <v>43.861478222587508</v>
      </c>
      <c r="AC110" s="63">
        <f t="shared" ca="1" si="12"/>
        <v>43.861478222587508</v>
      </c>
      <c r="AD110" s="3">
        <f t="shared" ca="1" si="13"/>
        <v>0</v>
      </c>
    </row>
    <row r="111" spans="8:30">
      <c r="H111" t="b">
        <f t="shared" ca="1" si="10"/>
        <v>1</v>
      </c>
      <c r="I111" t="b">
        <f t="shared" ca="1" si="7"/>
        <v>1</v>
      </c>
      <c r="J111" s="2">
        <f ca="1"/>
        <v>45619</v>
      </c>
      <c r="K111">
        <f ca="1"/>
        <v>43.415812919286907</v>
      </c>
      <c r="L111">
        <f ca="1"/>
        <v>0.66020082341100483</v>
      </c>
      <c r="M111">
        <f ca="1"/>
        <v>4.6476219152651765E-2</v>
      </c>
      <c r="N111">
        <f ca="1"/>
        <v>0.80013071326188945</v>
      </c>
      <c r="O111">
        <f ca="1"/>
        <v>0</v>
      </c>
      <c r="P111">
        <f ca="1"/>
        <v>12.349934589441148</v>
      </c>
      <c r="Q111">
        <f ca="1"/>
        <v>7.7097203747041956</v>
      </c>
      <c r="R111">
        <f ca="1"/>
        <v>0</v>
      </c>
      <c r="S111">
        <f ca="1"/>
        <v>0.80796504709729478</v>
      </c>
      <c r="T111">
        <f ca="1"/>
        <v>0</v>
      </c>
      <c r="U111">
        <f ca="1"/>
        <v>0</v>
      </c>
      <c r="V111">
        <f ca="1"/>
        <v>0.31504371804019271</v>
      </c>
      <c r="Y111" s="2">
        <f t="shared" ca="1" si="8"/>
        <v>45619</v>
      </c>
      <c r="Z111">
        <f t="shared" ca="1" si="9"/>
        <v>0</v>
      </c>
      <c r="AB111" s="63">
        <f t="shared" ca="1" si="11"/>
        <v>44.07601374269791</v>
      </c>
      <c r="AC111" s="63">
        <f t="shared" ca="1" si="12"/>
        <v>44.07601374269791</v>
      </c>
      <c r="AD111" s="3">
        <f t="shared" ca="1" si="13"/>
        <v>0</v>
      </c>
    </row>
    <row r="112" spans="8:30">
      <c r="H112" t="b">
        <f t="shared" ca="1" si="10"/>
        <v>1</v>
      </c>
      <c r="I112" t="b">
        <f t="shared" ca="1" si="7"/>
        <v>1</v>
      </c>
      <c r="J112" s="2">
        <f ca="1"/>
        <v>45620</v>
      </c>
      <c r="K112">
        <f ca="1"/>
        <v>43.566414799595464</v>
      </c>
      <c r="L112">
        <f ca="1"/>
        <v>0.72521132507253583</v>
      </c>
      <c r="M112">
        <f ca="1"/>
        <v>4.6766559032830557E-2</v>
      </c>
      <c r="N112">
        <f ca="1"/>
        <v>0.82904664634826042</v>
      </c>
      <c r="O112">
        <f ca="1"/>
        <v>0</v>
      </c>
      <c r="P112">
        <f ca="1"/>
        <v>13.075145914513683</v>
      </c>
      <c r="Q112">
        <f ca="1"/>
        <v>8.1624496169836043</v>
      </c>
      <c r="R112">
        <f ca="1"/>
        <v>0</v>
      </c>
      <c r="S112">
        <f ca="1"/>
        <v>0.79643954020903818</v>
      </c>
      <c r="T112">
        <f ca="1"/>
        <v>0</v>
      </c>
      <c r="U112">
        <f ca="1"/>
        <v>0</v>
      </c>
      <c r="V112">
        <f ca="1"/>
        <v>0.34782246652723386</v>
      </c>
      <c r="Y112" s="2">
        <f t="shared" ca="1" si="8"/>
        <v>45620</v>
      </c>
      <c r="Z112">
        <f t="shared" ca="1" si="9"/>
        <v>0</v>
      </c>
      <c r="AB112" s="63">
        <f t="shared" ca="1" si="11"/>
        <v>44.291626124667999</v>
      </c>
      <c r="AC112" s="63">
        <f t="shared" ca="1" si="12"/>
        <v>44.291626124667999</v>
      </c>
      <c r="AD112" s="3">
        <f t="shared" ca="1" si="13"/>
        <v>0</v>
      </c>
    </row>
    <row r="113" spans="8:30">
      <c r="H113" t="b">
        <f t="shared" ca="1" si="10"/>
        <v>1</v>
      </c>
      <c r="I113" t="b">
        <f t="shared" ca="1" si="7"/>
        <v>1</v>
      </c>
      <c r="J113" s="2">
        <f ca="1"/>
        <v>45621</v>
      </c>
      <c r="K113">
        <f ca="1"/>
        <v>43.655262136803366</v>
      </c>
      <c r="L113">
        <f ca="1"/>
        <v>0.76854192441441427</v>
      </c>
      <c r="M113">
        <f ca="1"/>
        <v>4.5197198927965587E-2</v>
      </c>
      <c r="N113">
        <f ca="1"/>
        <v>0.81219206269434918</v>
      </c>
      <c r="O113">
        <f ca="1"/>
        <v>0</v>
      </c>
      <c r="P113">
        <f ca="1"/>
        <v>13.843687838928098</v>
      </c>
      <c r="Q113">
        <f ca="1"/>
        <v>8.6422289462229749</v>
      </c>
      <c r="R113">
        <f ca="1"/>
        <v>0</v>
      </c>
      <c r="S113">
        <f ca="1"/>
        <v>0.77764364419685084</v>
      </c>
      <c r="T113">
        <f ca="1"/>
        <v>0</v>
      </c>
      <c r="U113">
        <f ca="1"/>
        <v>0</v>
      </c>
      <c r="V113">
        <f ca="1"/>
        <v>0.3822195120054781</v>
      </c>
      <c r="Y113" s="2">
        <f t="shared" ca="1" si="8"/>
        <v>45621</v>
      </c>
      <c r="Z113">
        <f t="shared" ca="1" si="9"/>
        <v>0</v>
      </c>
      <c r="AB113" s="63">
        <f t="shared" ca="1" si="11"/>
        <v>44.42380406121778</v>
      </c>
      <c r="AC113" s="63">
        <f t="shared" ca="1" si="12"/>
        <v>44.42380406121778</v>
      </c>
      <c r="AD113" s="3">
        <f t="shared" ca="1" si="13"/>
        <v>0</v>
      </c>
    </row>
    <row r="114" spans="8:30">
      <c r="H114" t="b">
        <f t="shared" ca="1" si="10"/>
        <v>1</v>
      </c>
      <c r="I114" t="b">
        <f t="shared" ca="1" si="7"/>
        <v>1</v>
      </c>
      <c r="J114" s="2">
        <f ca="1"/>
        <v>45622</v>
      </c>
      <c r="K114">
        <f ca="1"/>
        <v>43.692940665867845</v>
      </c>
      <c r="L114">
        <f ca="1"/>
        <v>0.79285838084367732</v>
      </c>
      <c r="M114">
        <f ca="1"/>
        <v>4.247398475868458E-2</v>
      </c>
      <c r="N114">
        <f ca="1"/>
        <v>0.78806292514946885</v>
      </c>
      <c r="O114">
        <f ca="1"/>
        <v>0</v>
      </c>
      <c r="P114">
        <f ca="1"/>
        <v>14.636546219771775</v>
      </c>
      <c r="Q114">
        <f ca="1"/>
        <v>9.1371883623053627</v>
      </c>
      <c r="R114">
        <f ca="1"/>
        <v>0</v>
      </c>
      <c r="S114">
        <f ca="1"/>
        <v>0.7768814096682175</v>
      </c>
      <c r="T114">
        <f ca="1"/>
        <v>0</v>
      </c>
      <c r="U114">
        <f ca="1"/>
        <v>0</v>
      </c>
      <c r="V114">
        <f ca="1"/>
        <v>0.41702021774393977</v>
      </c>
      <c r="Y114" s="2">
        <f t="shared" ca="1" si="8"/>
        <v>45622</v>
      </c>
      <c r="Z114">
        <f t="shared" ca="1" si="9"/>
        <v>0</v>
      </c>
      <c r="AB114" s="63">
        <f t="shared" ca="1" si="11"/>
        <v>44.48579904671152</v>
      </c>
      <c r="AC114" s="63">
        <f t="shared" ca="1" si="12"/>
        <v>44.48579904671152</v>
      </c>
      <c r="AD114" s="3">
        <f t="shared" ca="1" si="13"/>
        <v>0</v>
      </c>
    </row>
    <row r="115" spans="8:30">
      <c r="H115" t="b">
        <f t="shared" ca="1" si="10"/>
        <v>1</v>
      </c>
      <c r="I115" t="b">
        <f t="shared" ca="1" si="7"/>
        <v>1</v>
      </c>
      <c r="J115" s="2">
        <f ca="1"/>
        <v>45623</v>
      </c>
      <c r="K115">
        <f ca="1"/>
        <v>43.703804220211289</v>
      </c>
      <c r="L115">
        <f ca="1"/>
        <v>0.83175696287583101</v>
      </c>
      <c r="M115">
        <f ca="1"/>
        <v>4.0720949318469479E-2</v>
      </c>
      <c r="N115">
        <f ca="1"/>
        <v>0.8018995679008023</v>
      </c>
      <c r="O115">
        <f ca="1"/>
        <v>0</v>
      </c>
      <c r="P115">
        <f ca="1"/>
        <v>15.468303182647606</v>
      </c>
      <c r="Q115">
        <f ca="1"/>
        <v>9.6564310803168816</v>
      </c>
      <c r="R115">
        <f ca="1"/>
        <v>0</v>
      </c>
      <c r="S115">
        <f ca="1"/>
        <v>0.79518563419734856</v>
      </c>
      <c r="T115">
        <f ca="1"/>
        <v>0</v>
      </c>
      <c r="U115">
        <f ca="1"/>
        <v>0</v>
      </c>
      <c r="V115">
        <f ca="1"/>
        <v>0.45248245119988795</v>
      </c>
      <c r="Y115" s="2">
        <f t="shared" ca="1" si="8"/>
        <v>45623</v>
      </c>
      <c r="Z115">
        <f t="shared" ca="1" si="9"/>
        <v>0</v>
      </c>
      <c r="AB115" s="63">
        <f t="shared" ca="1" si="11"/>
        <v>44.535561183087118</v>
      </c>
      <c r="AC115" s="63">
        <f t="shared" ca="1" si="12"/>
        <v>44.535561183087118</v>
      </c>
      <c r="AD115" s="3">
        <f t="shared" ca="1" si="13"/>
        <v>0</v>
      </c>
    </row>
    <row r="116" spans="8:30">
      <c r="H116" t="b">
        <f t="shared" ca="1" si="10"/>
        <v>1</v>
      </c>
      <c r="I116" t="b">
        <f t="shared" ca="1" si="7"/>
        <v>1</v>
      </c>
      <c r="J116" s="2">
        <f ca="1"/>
        <v>45624</v>
      </c>
      <c r="K116">
        <f ca="1"/>
        <v>43.656119130816116</v>
      </c>
      <c r="L116">
        <f ca="1"/>
        <v>0.88313776315408887</v>
      </c>
      <c r="M116">
        <f ca="1"/>
        <v>3.9557298871775615E-2</v>
      </c>
      <c r="N116">
        <f ca="1"/>
        <v>0.7958953748871378</v>
      </c>
      <c r="O116">
        <f ca="1"/>
        <v>0</v>
      </c>
      <c r="P116">
        <f ca="1"/>
        <v>16.351440945801695</v>
      </c>
      <c r="Q116">
        <f ca="1"/>
        <v>10.207749401636658</v>
      </c>
      <c r="R116">
        <f ca="1"/>
        <v>0</v>
      </c>
      <c r="S116">
        <f ca="1"/>
        <v>0.7825692400461256</v>
      </c>
      <c r="T116">
        <f ca="1"/>
        <v>0</v>
      </c>
      <c r="U116">
        <f ca="1"/>
        <v>0</v>
      </c>
      <c r="V116">
        <f ca="1"/>
        <v>0.4886907529050078</v>
      </c>
      <c r="Y116" s="2">
        <f t="shared" ca="1" si="8"/>
        <v>45624</v>
      </c>
      <c r="Z116">
        <f t="shared" ca="1" si="9"/>
        <v>0</v>
      </c>
      <c r="AB116" s="63">
        <f t="shared" ca="1" si="11"/>
        <v>44.539256893970204</v>
      </c>
      <c r="AC116" s="63">
        <f t="shared" ca="1" si="12"/>
        <v>44.539256893970204</v>
      </c>
      <c r="AD116" s="3">
        <f t="shared" ca="1" si="13"/>
        <v>0</v>
      </c>
    </row>
    <row r="117" spans="8:30">
      <c r="H117" t="b">
        <f t="shared" ca="1" si="10"/>
        <v>1</v>
      </c>
      <c r="I117" t="b">
        <f t="shared" ca="1" si="7"/>
        <v>1</v>
      </c>
      <c r="J117" s="2">
        <f ca="1"/>
        <v>45625</v>
      </c>
      <c r="K117">
        <f ca="1"/>
        <v>43.550723331004278</v>
      </c>
      <c r="L117">
        <f ca="1"/>
        <v>0.94817584645236863</v>
      </c>
      <c r="M117">
        <f ca="1"/>
        <v>3.886414820341777E-2</v>
      </c>
      <c r="N117">
        <f ca="1"/>
        <v>0.80391589843711719</v>
      </c>
      <c r="O117">
        <f ca="1"/>
        <v>0</v>
      </c>
      <c r="P117">
        <f ca="1"/>
        <v>17.299616792254064</v>
      </c>
      <c r="Q117">
        <f ca="1"/>
        <v>10.799669187871498</v>
      </c>
      <c r="R117">
        <f ca="1"/>
        <v>0</v>
      </c>
      <c r="S117">
        <f ca="1"/>
        <v>0.77290301823033347</v>
      </c>
      <c r="T117">
        <f ca="1"/>
        <v>0</v>
      </c>
      <c r="U117">
        <f ca="1"/>
        <v>0</v>
      </c>
      <c r="V117">
        <f ca="1"/>
        <v>0.5256709763142785</v>
      </c>
      <c r="Y117" s="2">
        <f t="shared" ca="1" si="8"/>
        <v>45625</v>
      </c>
      <c r="Z117">
        <f t="shared" ca="1" si="9"/>
        <v>0</v>
      </c>
      <c r="AB117" s="63">
        <f t="shared" ca="1" si="11"/>
        <v>44.49889917745665</v>
      </c>
      <c r="AC117" s="63">
        <f t="shared" ca="1" si="12"/>
        <v>44.49889917745665</v>
      </c>
      <c r="AD117" s="3">
        <f t="shared" ca="1" si="13"/>
        <v>0</v>
      </c>
    </row>
    <row r="118" spans="8:30">
      <c r="H118" t="b">
        <f t="shared" ca="1" si="10"/>
        <v>1</v>
      </c>
      <c r="I118" t="b">
        <f t="shared" ca="1" si="7"/>
        <v>1</v>
      </c>
      <c r="J118" s="2">
        <f ca="1"/>
        <v>45626</v>
      </c>
      <c r="K118">
        <f ca="1"/>
        <v>43.363822852122411</v>
      </c>
      <c r="L118">
        <f ca="1"/>
        <v>1.0163747482430701</v>
      </c>
      <c r="M118">
        <f ca="1"/>
        <v>3.8079004697626928E-2</v>
      </c>
      <c r="N118">
        <f ca="1"/>
        <v>0.79139526466357013</v>
      </c>
      <c r="O118">
        <f ca="1"/>
        <v>0</v>
      </c>
      <c r="P118">
        <f ca="1"/>
        <v>18.315991540497134</v>
      </c>
      <c r="Q118">
        <f ca="1"/>
        <v>11.434163650017391</v>
      </c>
      <c r="R118">
        <f ca="1"/>
        <v>0</v>
      </c>
      <c r="S118">
        <f ca="1"/>
        <v>0.74568528445032267</v>
      </c>
      <c r="T118">
        <f ca="1"/>
        <v>0</v>
      </c>
      <c r="U118">
        <f ca="1"/>
        <v>0</v>
      </c>
      <c r="V118">
        <f ca="1"/>
        <v>0.56294696778764863</v>
      </c>
      <c r="Y118" s="2">
        <f t="shared" ca="1" si="8"/>
        <v>45626</v>
      </c>
      <c r="Z118">
        <f t="shared" ca="1" si="9"/>
        <v>0</v>
      </c>
      <c r="AB118" s="63">
        <f t="shared" ca="1" si="11"/>
        <v>44.380197600365477</v>
      </c>
      <c r="AC118" s="63">
        <f t="shared" ca="1" si="12"/>
        <v>44.380197600365477</v>
      </c>
      <c r="AD118" s="3">
        <f t="shared" ca="1" si="13"/>
        <v>0</v>
      </c>
    </row>
    <row r="119" spans="8:30">
      <c r="H119" t="b">
        <f t="shared" ca="1" si="10"/>
        <v>1</v>
      </c>
      <c r="I119" t="b">
        <f t="shared" ca="1" si="7"/>
        <v>1</v>
      </c>
      <c r="J119" s="2">
        <f ca="1"/>
        <v>45627</v>
      </c>
      <c r="K119">
        <f ca="1"/>
        <v>43.149601158206437</v>
      </c>
      <c r="L119">
        <f ca="1"/>
        <v>1.1007242571266325</v>
      </c>
      <c r="M119">
        <f ca="1"/>
        <v>3.7694460367319493E-2</v>
      </c>
      <c r="N119">
        <f ca="1"/>
        <v>0.84880810284334296</v>
      </c>
      <c r="O119">
        <f ca="1"/>
        <v>0</v>
      </c>
      <c r="P119">
        <f ca="1"/>
        <v>19.416715797623766</v>
      </c>
      <c r="Q119">
        <f ca="1"/>
        <v>12.121315162492273</v>
      </c>
      <c r="R119">
        <f ca="1"/>
        <v>0</v>
      </c>
      <c r="S119">
        <f ca="1"/>
        <v>0.774172881051305</v>
      </c>
      <c r="T119">
        <f ca="1"/>
        <v>0</v>
      </c>
      <c r="U119">
        <f ca="1"/>
        <v>0</v>
      </c>
      <c r="V119">
        <f ca="1"/>
        <v>0.60044538325100549</v>
      </c>
      <c r="Y119" s="2">
        <f t="shared" ca="1" si="8"/>
        <v>45627</v>
      </c>
      <c r="Z119">
        <f t="shared" ca="1" si="9"/>
        <v>0</v>
      </c>
      <c r="AB119" s="63">
        <f t="shared" ca="1" si="11"/>
        <v>44.250325415333073</v>
      </c>
      <c r="AC119" s="63">
        <f t="shared" ca="1" si="12"/>
        <v>44.250325415333066</v>
      </c>
      <c r="AD119" s="3">
        <f t="shared" ca="1" si="13"/>
        <v>0</v>
      </c>
    </row>
    <row r="120" spans="8:30">
      <c r="H120" t="b">
        <f t="shared" ca="1" si="10"/>
        <v>1</v>
      </c>
      <c r="I120" t="b">
        <f t="shared" ca="1" si="7"/>
        <v>1</v>
      </c>
      <c r="J120" s="2">
        <f ca="1"/>
        <v>45628</v>
      </c>
      <c r="K120">
        <f ca="1"/>
        <v>42.841046459552857</v>
      </c>
      <c r="L120">
        <f ca="1"/>
        <v>1.1838013576394992</v>
      </c>
      <c r="M120">
        <f ca="1"/>
        <v>3.6971609414102602E-2</v>
      </c>
      <c r="N120">
        <f ca="1"/>
        <v>0.83827504957181709</v>
      </c>
      <c r="O120">
        <f ca="1"/>
        <v>0</v>
      </c>
      <c r="P120">
        <f ca="1"/>
        <v>20.600517155263265</v>
      </c>
      <c r="Q120">
        <f ca="1"/>
        <v>12.860329396170796</v>
      </c>
      <c r="R120">
        <f ca="1"/>
        <v>0</v>
      </c>
      <c r="S120">
        <f ca="1"/>
        <v>0.74732777855283894</v>
      </c>
      <c r="T120">
        <f ca="1"/>
        <v>0</v>
      </c>
      <c r="U120">
        <f ca="1"/>
        <v>0</v>
      </c>
      <c r="V120">
        <f ca="1"/>
        <v>0.63742914385859428</v>
      </c>
      <c r="Y120" s="2">
        <f t="shared" ca="1" si="8"/>
        <v>45628</v>
      </c>
      <c r="Z120">
        <f t="shared" ca="1" si="9"/>
        <v>0</v>
      </c>
      <c r="AB120" s="63">
        <f t="shared" ca="1" si="11"/>
        <v>44.024847817192359</v>
      </c>
      <c r="AC120" s="63">
        <f t="shared" ca="1" si="12"/>
        <v>44.024847817192352</v>
      </c>
      <c r="AD120" s="3">
        <f t="shared" ca="1" si="13"/>
        <v>0</v>
      </c>
    </row>
    <row r="121" spans="8:30">
      <c r="H121" t="b">
        <f t="shared" ca="1" si="10"/>
        <v>1</v>
      </c>
      <c r="I121" t="b">
        <f t="shared" ca="1" si="7"/>
        <v>1</v>
      </c>
      <c r="J121" s="2">
        <f ca="1"/>
        <v>45629</v>
      </c>
      <c r="K121">
        <f ca="1"/>
        <v>42.507728229235767</v>
      </c>
      <c r="L121">
        <f ca="1"/>
        <v>1.2550482276062986</v>
      </c>
      <c r="M121">
        <f ca="1"/>
        <v>3.5649764568949749E-2</v>
      </c>
      <c r="N121">
        <f ca="1"/>
        <v>0.88608023272025904</v>
      </c>
      <c r="O121">
        <f ca="1"/>
        <v>0</v>
      </c>
      <c r="P121">
        <f ca="1"/>
        <v>21.855565382869564</v>
      </c>
      <c r="Q121">
        <f ca="1"/>
        <v>13.643821067445348</v>
      </c>
      <c r="R121">
        <f ca="1"/>
        <v>0</v>
      </c>
      <c r="S121">
        <f ca="1"/>
        <v>0.78660260897351586</v>
      </c>
      <c r="T121">
        <f ca="1"/>
        <v>0</v>
      </c>
      <c r="U121">
        <f ca="1"/>
        <v>0</v>
      </c>
      <c r="V121">
        <f ca="1"/>
        <v>0.67295764779789258</v>
      </c>
      <c r="Y121" s="2">
        <f t="shared" ca="1" si="8"/>
        <v>45629</v>
      </c>
      <c r="Z121">
        <f t="shared" ca="1" si="9"/>
        <v>0</v>
      </c>
      <c r="AB121" s="63">
        <f t="shared" ca="1" si="11"/>
        <v>43.762776456842069</v>
      </c>
      <c r="AC121" s="63">
        <f t="shared" ca="1" si="12"/>
        <v>43.762776456842062</v>
      </c>
      <c r="AD121" s="3">
        <f t="shared" ca="1" si="13"/>
        <v>0</v>
      </c>
    </row>
    <row r="122" spans="8:30">
      <c r="H122" t="b">
        <f t="shared" ca="1" si="10"/>
        <v>1</v>
      </c>
      <c r="I122" t="b">
        <f t="shared" ca="1" si="7"/>
        <v>1</v>
      </c>
      <c r="J122" s="2">
        <f ca="1"/>
        <v>45630</v>
      </c>
      <c r="K122">
        <f ca="1"/>
        <v>42.125739443122797</v>
      </c>
      <c r="L122">
        <f ca="1"/>
        <v>1.3115701846715986</v>
      </c>
      <c r="M122">
        <f ca="1"/>
        <v>3.3839659111862375E-2</v>
      </c>
      <c r="N122">
        <f ca="1"/>
        <v>0.8957417394467726</v>
      </c>
      <c r="O122">
        <f ca="1"/>
        <v>0</v>
      </c>
      <c r="P122">
        <f ca="1"/>
        <v>23.167135567541163</v>
      </c>
      <c r="Q122">
        <f ca="1"/>
        <v>14.462597823094121</v>
      </c>
      <c r="R122">
        <f ca="1"/>
        <v>0</v>
      </c>
      <c r="S122">
        <f ca="1"/>
        <v>0.80572510123172969</v>
      </c>
      <c r="T122">
        <f ca="1"/>
        <v>0</v>
      </c>
      <c r="U122">
        <f ca="1"/>
        <v>0</v>
      </c>
      <c r="V122">
        <f ca="1"/>
        <v>0.70625807380542782</v>
      </c>
      <c r="Y122" s="2">
        <f t="shared" ca="1" si="8"/>
        <v>45630</v>
      </c>
      <c r="Z122">
        <f t="shared" ca="1" si="9"/>
        <v>0</v>
      </c>
      <c r="AB122" s="63">
        <f t="shared" ca="1" si="11"/>
        <v>43.437309627794399</v>
      </c>
      <c r="AC122" s="63">
        <f t="shared" ca="1" si="12"/>
        <v>43.437309627794392</v>
      </c>
      <c r="AD122" s="3">
        <f t="shared" ca="1" si="13"/>
        <v>0</v>
      </c>
    </row>
    <row r="123" spans="8:30">
      <c r="H123" t="b">
        <f t="shared" ca="1" si="10"/>
        <v>1</v>
      </c>
      <c r="I123" t="b">
        <f t="shared" ca="1" si="7"/>
        <v>1</v>
      </c>
      <c r="J123" s="2">
        <f ca="1"/>
        <v>45631</v>
      </c>
      <c r="K123">
        <f ca="1"/>
        <v>41.668432729759793</v>
      </c>
      <c r="L123">
        <f ca="1"/>
        <v>1.3869657232104231</v>
      </c>
      <c r="M123">
        <f ca="1"/>
        <v>3.2601512065220106E-2</v>
      </c>
      <c r="N123">
        <f ca="1"/>
        <v>0.89705749778219879</v>
      </c>
      <c r="O123">
        <f ca="1"/>
        <v>0</v>
      </c>
      <c r="P123">
        <f ca="1"/>
        <v>24.554101290751586</v>
      </c>
      <c r="Q123">
        <f ca="1"/>
        <v>15.328441914640491</v>
      </c>
      <c r="R123">
        <f ca="1"/>
        <v>0</v>
      </c>
      <c r="S123">
        <f ca="1"/>
        <v>0.80504298695479271</v>
      </c>
      <c r="T123">
        <f ca="1"/>
        <v>0</v>
      </c>
      <c r="U123">
        <f ca="1"/>
        <v>0</v>
      </c>
      <c r="V123">
        <f ca="1"/>
        <v>0.73754472965110884</v>
      </c>
      <c r="Y123" s="2">
        <f t="shared" ca="1" si="8"/>
        <v>45631</v>
      </c>
      <c r="Z123">
        <f t="shared" ca="1" si="9"/>
        <v>0</v>
      </c>
      <c r="AB123" s="63">
        <f t="shared" ca="1" si="11"/>
        <v>43.055398452970216</v>
      </c>
      <c r="AC123" s="63">
        <f t="shared" ca="1" si="12"/>
        <v>43.055398452970216</v>
      </c>
      <c r="AD123" s="3">
        <f t="shared" ca="1" si="13"/>
        <v>0</v>
      </c>
    </row>
    <row r="124" spans="8:30">
      <c r="H124" t="b">
        <f t="shared" ca="1" si="10"/>
        <v>1</v>
      </c>
      <c r="I124" t="b">
        <f t="shared" ca="1" si="7"/>
        <v>1</v>
      </c>
      <c r="J124" s="2">
        <f ca="1"/>
        <v>45632</v>
      </c>
      <c r="K124">
        <f ca="1"/>
        <v>41.145463575774642</v>
      </c>
      <c r="L124">
        <f ca="1"/>
        <v>1.416596260654547</v>
      </c>
      <c r="M124">
        <f ca="1"/>
        <v>3.0255738599807458E-2</v>
      </c>
      <c r="N124">
        <f ca="1"/>
        <v>0.86337136806958292</v>
      </c>
      <c r="O124">
        <f ca="1"/>
        <v>0</v>
      </c>
      <c r="P124">
        <f ca="1"/>
        <v>25.970697551406133</v>
      </c>
      <c r="Q124">
        <f ca="1"/>
        <v>16.212783525877505</v>
      </c>
      <c r="R124">
        <f ca="1"/>
        <v>0</v>
      </c>
      <c r="S124">
        <f ca="1"/>
        <v>0.80725589945356468</v>
      </c>
      <c r="T124">
        <f ca="1"/>
        <v>0</v>
      </c>
      <c r="U124">
        <f ca="1"/>
        <v>0</v>
      </c>
      <c r="V124">
        <f ca="1"/>
        <v>0.76572917336794921</v>
      </c>
      <c r="Y124" s="2">
        <f t="shared" ca="1" si="8"/>
        <v>45632</v>
      </c>
      <c r="Z124">
        <f t="shared" ca="1" si="9"/>
        <v>0</v>
      </c>
      <c r="AB124" s="63">
        <f t="shared" ca="1" si="11"/>
        <v>42.562059836429185</v>
      </c>
      <c r="AC124" s="63">
        <f t="shared" ca="1" si="12"/>
        <v>42.562059836429185</v>
      </c>
      <c r="AD124" s="3">
        <f t="shared" ca="1" si="13"/>
        <v>0</v>
      </c>
    </row>
    <row r="125" spans="8:30">
      <c r="H125" t="b">
        <f t="shared" ca="1" si="10"/>
        <v>1</v>
      </c>
      <c r="I125" t="b">
        <f t="shared" ca="1" si="7"/>
        <v>1</v>
      </c>
      <c r="J125" s="2">
        <f ca="1"/>
        <v>45633</v>
      </c>
      <c r="K125">
        <f ca="1"/>
        <v>40.524044772893603</v>
      </c>
      <c r="L125">
        <f ca="1"/>
        <v>1.4867104802871722</v>
      </c>
      <c r="M125">
        <f ca="1"/>
        <v>2.9032996678875378E-2</v>
      </c>
      <c r="N125">
        <f ca="1"/>
        <v>0.83625868072726461</v>
      </c>
      <c r="O125">
        <f ca="1"/>
        <v>0</v>
      </c>
      <c r="P125">
        <f ca="1"/>
        <v>27.457408031693305</v>
      </c>
      <c r="Q125">
        <f ca="1"/>
        <v>17.140895492636915</v>
      </c>
      <c r="R125">
        <f ca="1"/>
        <v>0</v>
      </c>
      <c r="S125">
        <f ca="1"/>
        <v>0.78585637257195629</v>
      </c>
      <c r="T125">
        <f ca="1"/>
        <v>0</v>
      </c>
      <c r="U125">
        <f ca="1"/>
        <v>0</v>
      </c>
      <c r="V125">
        <f ca="1"/>
        <v>0.79166448695638558</v>
      </c>
      <c r="Y125" s="2">
        <f t="shared" ca="1" si="8"/>
        <v>45633</v>
      </c>
      <c r="Z125">
        <f t="shared" ca="1" si="9"/>
        <v>0</v>
      </c>
      <c r="AB125" s="63">
        <f t="shared" ca="1" si="11"/>
        <v>42.010755253180783</v>
      </c>
      <c r="AC125" s="63">
        <f t="shared" ca="1" si="12"/>
        <v>42.010755253180776</v>
      </c>
      <c r="AD125" s="3">
        <f t="shared" ca="1" si="13"/>
        <v>0</v>
      </c>
    </row>
    <row r="126" spans="8:30">
      <c r="H126" t="b">
        <f t="shared" ca="1" si="10"/>
        <v>1</v>
      </c>
      <c r="I126" t="b">
        <f t="shared" ca="1" si="7"/>
        <v>1</v>
      </c>
      <c r="J126" s="2">
        <f ca="1"/>
        <v>45634</v>
      </c>
      <c r="K126">
        <f ca="1"/>
        <v>39.768660684252175</v>
      </c>
      <c r="L126">
        <f ca="1"/>
        <v>1.6100472586483008</v>
      </c>
      <c r="M126">
        <f ca="1"/>
        <v>2.8848896593608231E-2</v>
      </c>
      <c r="N126">
        <f ca="1"/>
        <v>0.82581427341326485</v>
      </c>
      <c r="O126">
        <f ca="1"/>
        <v>0</v>
      </c>
      <c r="P126">
        <f ca="1"/>
        <v>29.067455290341606</v>
      </c>
      <c r="Q126">
        <f ca="1"/>
        <v>18.146003176757787</v>
      </c>
      <c r="R126">
        <f ca="1"/>
        <v>0</v>
      </c>
      <c r="S126">
        <f ca="1"/>
        <v>0.74847304215140265</v>
      </c>
      <c r="T126">
        <f ca="1"/>
        <v>0</v>
      </c>
      <c r="U126">
        <f ca="1"/>
        <v>0</v>
      </c>
      <c r="V126">
        <f ca="1"/>
        <v>0.81606719914427406</v>
      </c>
      <c r="Y126" s="2">
        <f t="shared" ca="1" si="8"/>
        <v>45634</v>
      </c>
      <c r="Z126">
        <f t="shared" ca="1" si="9"/>
        <v>0</v>
      </c>
      <c r="AB126" s="63">
        <f t="shared" ca="1" si="11"/>
        <v>41.378707942900476</v>
      </c>
      <c r="AC126" s="63">
        <f t="shared" ca="1" si="12"/>
        <v>41.378707942900476</v>
      </c>
      <c r="AD126" s="3">
        <f t="shared" ca="1" si="13"/>
        <v>0</v>
      </c>
    </row>
    <row r="127" spans="8:30">
      <c r="H127" t="b">
        <f t="shared" ca="1" si="10"/>
        <v>1</v>
      </c>
      <c r="I127" t="b">
        <f t="shared" ca="1" si="7"/>
        <v>1</v>
      </c>
      <c r="J127" s="2">
        <f ca="1"/>
        <v>45635</v>
      </c>
      <c r="K127">
        <f ca="1"/>
        <v>38.915970485666733</v>
      </c>
      <c r="L127">
        <f ca="1"/>
        <v>1.6860284362697087</v>
      </c>
      <c r="M127">
        <f ca="1"/>
        <v>2.758254285122419E-2</v>
      </c>
      <c r="N127">
        <f ca="1"/>
        <v>0.80575569483304188</v>
      </c>
      <c r="O127">
        <f ca="1"/>
        <v>0</v>
      </c>
      <c r="P127">
        <f ca="1"/>
        <v>30.753483726611314</v>
      </c>
      <c r="Q127">
        <f ca="1"/>
        <v>19.198543794952869</v>
      </c>
      <c r="R127">
        <f ca="1"/>
        <v>0</v>
      </c>
      <c r="S127">
        <f ca="1"/>
        <v>0.73521135665232706</v>
      </c>
      <c r="T127">
        <f ca="1"/>
        <v>0</v>
      </c>
      <c r="U127">
        <f ca="1"/>
        <v>0</v>
      </c>
      <c r="V127">
        <f ca="1"/>
        <v>0.83808161163427952</v>
      </c>
      <c r="Y127" s="2">
        <f t="shared" ca="1" si="8"/>
        <v>45635</v>
      </c>
      <c r="Z127">
        <f t="shared" ca="1" si="9"/>
        <v>0</v>
      </c>
      <c r="AB127" s="63">
        <f t="shared" ca="1" si="11"/>
        <v>40.601998921936442</v>
      </c>
      <c r="AC127" s="63">
        <f t="shared" ca="1" si="12"/>
        <v>40.601998921936442</v>
      </c>
      <c r="AD127" s="3">
        <f t="shared" ca="1" si="13"/>
        <v>0</v>
      </c>
    </row>
    <row r="128" spans="8:30">
      <c r="H128" t="b">
        <f t="shared" ca="1" si="10"/>
        <v>1</v>
      </c>
      <c r="I128" t="b">
        <f t="shared" ca="1" si="7"/>
        <v>1</v>
      </c>
      <c r="J128" s="2">
        <f ca="1"/>
        <v>45636</v>
      </c>
      <c r="K128">
        <f ca="1"/>
        <v>37.905505142687382</v>
      </c>
      <c r="L128">
        <f ca="1"/>
        <v>1.8335900206653761</v>
      </c>
      <c r="M128">
        <f ca="1"/>
        <v>2.7534836605273227E-2</v>
      </c>
      <c r="N128">
        <f ca="1"/>
        <v>0.7955898410807557</v>
      </c>
      <c r="O128">
        <f ca="1"/>
        <v>0</v>
      </c>
      <c r="P128">
        <f ca="1"/>
        <v>32.58707374727669</v>
      </c>
      <c r="Q128">
        <f ca="1"/>
        <v>20.343203002562309</v>
      </c>
      <c r="R128">
        <f ca="1"/>
        <v>0</v>
      </c>
      <c r="S128">
        <f ca="1"/>
        <v>0.69369618047719628</v>
      </c>
      <c r="T128">
        <f ca="1"/>
        <v>0</v>
      </c>
      <c r="U128">
        <f ca="1"/>
        <v>0</v>
      </c>
      <c r="V128">
        <f ca="1"/>
        <v>0.85853427800876092</v>
      </c>
      <c r="Y128" s="2">
        <f t="shared" ca="1" si="8"/>
        <v>45636</v>
      </c>
      <c r="Z128">
        <f t="shared" ca="1" si="9"/>
        <v>0</v>
      </c>
      <c r="AB128" s="63">
        <f t="shared" ca="1" si="11"/>
        <v>39.739095163352758</v>
      </c>
      <c r="AC128" s="63">
        <f t="shared" ca="1" si="12"/>
        <v>39.739095163352758</v>
      </c>
      <c r="AD128" s="3">
        <f t="shared" ca="1" si="13"/>
        <v>0</v>
      </c>
    </row>
    <row r="129" spans="8:30">
      <c r="H129" t="b">
        <f t="shared" ca="1" si="10"/>
        <v>1</v>
      </c>
      <c r="I129" t="b">
        <f t="shared" ca="1" si="7"/>
        <v>1</v>
      </c>
      <c r="J129" s="2">
        <f ca="1"/>
        <v>45637</v>
      </c>
      <c r="K129">
        <f ca="1"/>
        <v>36.743934816573386</v>
      </c>
      <c r="L129">
        <f ca="1"/>
        <v>1.9847023559106489</v>
      </c>
      <c r="M129">
        <f ca="1"/>
        <v>2.7300508221584252E-2</v>
      </c>
      <c r="N129">
        <f ca="1"/>
        <v>0.79583152157506587</v>
      </c>
      <c r="O129">
        <f ca="1"/>
        <v>0</v>
      </c>
      <c r="P129">
        <f ca="1"/>
        <v>34.571776103187339</v>
      </c>
      <c r="Q129">
        <f ca="1"/>
        <v>21.582197434498013</v>
      </c>
      <c r="R129">
        <f ca="1"/>
        <v>0</v>
      </c>
      <c r="S129">
        <f ca="1"/>
        <v>0.66726520378141652</v>
      </c>
      <c r="T129">
        <f ca="1"/>
        <v>0</v>
      </c>
      <c r="U129">
        <f ca="1"/>
        <v>0</v>
      </c>
      <c r="V129">
        <f ca="1"/>
        <v>0.87724723049260167</v>
      </c>
      <c r="Y129" s="2">
        <f t="shared" ca="1" si="8"/>
        <v>45637</v>
      </c>
      <c r="Z129">
        <f t="shared" ca="1" si="9"/>
        <v>0</v>
      </c>
      <c r="AB129" s="63">
        <f t="shared" ca="1" si="11"/>
        <v>38.728637172484035</v>
      </c>
      <c r="AC129" s="63">
        <f t="shared" ca="1" si="12"/>
        <v>38.728637172484035</v>
      </c>
      <c r="AD129" s="3">
        <f t="shared" ca="1" si="13"/>
        <v>0</v>
      </c>
    </row>
    <row r="130" spans="8:30">
      <c r="H130" t="b">
        <f t="shared" ca="1" si="10"/>
        <v>1</v>
      </c>
      <c r="I130" t="b">
        <f t="shared" ca="1" si="7"/>
        <v>1</v>
      </c>
      <c r="J130" s="2">
        <f ca="1"/>
        <v>45638</v>
      </c>
      <c r="K130">
        <f ca="1"/>
        <v>35.454303136052424</v>
      </c>
      <c r="L130">
        <f ca="1"/>
        <v>2.0634181958857027</v>
      </c>
      <c r="M130">
        <f ca="1"/>
        <v>2.5798674211912953E-2</v>
      </c>
      <c r="N130">
        <f ca="1"/>
        <v>0.74798784115282446</v>
      </c>
      <c r="O130">
        <f ca="1"/>
        <v>0</v>
      </c>
      <c r="P130">
        <f ca="1"/>
        <v>36.635194299073042</v>
      </c>
      <c r="Q130">
        <f ca="1"/>
        <v>22.870331974089552</v>
      </c>
      <c r="R130">
        <f ca="1"/>
        <v>0</v>
      </c>
      <c r="S130">
        <f ca="1"/>
        <v>0.63400555711764695</v>
      </c>
      <c r="T130">
        <f ca="1"/>
        <v>0</v>
      </c>
      <c r="U130">
        <f ca="1"/>
        <v>0</v>
      </c>
      <c r="V130">
        <f ca="1"/>
        <v>0.89358674493291612</v>
      </c>
      <c r="Y130" s="2">
        <f t="shared" ca="1" si="8"/>
        <v>45638</v>
      </c>
      <c r="Z130">
        <f t="shared" ca="1" si="9"/>
        <v>0</v>
      </c>
      <c r="AB130" s="63">
        <f t="shared" ca="1" si="11"/>
        <v>37.517721331938127</v>
      </c>
      <c r="AC130" s="63">
        <f t="shared" ca="1" si="12"/>
        <v>37.517721331938127</v>
      </c>
      <c r="AD130" s="3">
        <f t="shared" ca="1" si="13"/>
        <v>0</v>
      </c>
    </row>
    <row r="131" spans="8:30">
      <c r="H131" t="b">
        <f t="shared" ca="1" si="10"/>
        <v>1</v>
      </c>
      <c r="I131" t="b">
        <f t="shared" ca="1" si="7"/>
        <v>1</v>
      </c>
      <c r="J131" s="2">
        <f ca="1"/>
        <v>45639</v>
      </c>
      <c r="K131">
        <f ca="1"/>
        <v>34.064454328070887</v>
      </c>
      <c r="L131">
        <f ca="1"/>
        <v>2.1611332282860332</v>
      </c>
      <c r="M131">
        <f ca="1"/>
        <v>2.464804686981914E-2</v>
      </c>
      <c r="N131">
        <f ca="1"/>
        <v>0.74663637343467715</v>
      </c>
      <c r="O131">
        <f ca="1"/>
        <v>0</v>
      </c>
      <c r="P131">
        <f ca="1"/>
        <v>38.796327527359075</v>
      </c>
      <c r="Q131">
        <f ca="1"/>
        <v>24.2194672882808</v>
      </c>
      <c r="R131">
        <f ca="1"/>
        <v>0</v>
      </c>
      <c r="S131">
        <f ca="1"/>
        <v>0.6372782904824037</v>
      </c>
      <c r="T131">
        <f ca="1"/>
        <v>0</v>
      </c>
      <c r="U131">
        <f ca="1"/>
        <v>0</v>
      </c>
      <c r="V131">
        <f ca="1"/>
        <v>0.90791694505336695</v>
      </c>
      <c r="Y131" s="2">
        <f t="shared" ca="1" si="8"/>
        <v>45639</v>
      </c>
      <c r="Z131">
        <f t="shared" ca="1" si="9"/>
        <v>0</v>
      </c>
      <c r="AB131" s="63">
        <f t="shared" ca="1" si="11"/>
        <v>36.225587556356921</v>
      </c>
      <c r="AC131" s="63">
        <f t="shared" ca="1" si="12"/>
        <v>36.225587556356921</v>
      </c>
      <c r="AD131" s="3">
        <f t="shared" ca="1" si="13"/>
        <v>0</v>
      </c>
    </row>
    <row r="132" spans="8:30">
      <c r="H132" t="b">
        <f t="shared" ca="1" si="10"/>
        <v>1</v>
      </c>
      <c r="I132" t="b">
        <f t="shared" ca="1" si="7"/>
        <v>1</v>
      </c>
      <c r="J132" s="2">
        <f ca="1"/>
        <v>45640</v>
      </c>
      <c r="K132">
        <f ca="1"/>
        <v>32.554268029497862</v>
      </c>
      <c r="L132">
        <f ca="1"/>
        <v>2.2502589909045625</v>
      </c>
      <c r="M132">
        <f ca="1"/>
        <v>2.3429214755838146E-2</v>
      </c>
      <c r="N132">
        <f ca="1"/>
        <v>0.71664347757570035</v>
      </c>
      <c r="O132">
        <f ca="1"/>
        <v>0</v>
      </c>
      <c r="P132">
        <f ca="1"/>
        <v>41.046586518263638</v>
      </c>
      <c r="Q132">
        <f ca="1"/>
        <v>25.624241335049522</v>
      </c>
      <c r="R132">
        <f ca="1"/>
        <v>0</v>
      </c>
      <c r="S132">
        <f ca="1"/>
        <v>0.61583943165718869</v>
      </c>
      <c r="T132">
        <f ca="1"/>
        <v>0</v>
      </c>
      <c r="U132">
        <f ca="1"/>
        <v>0</v>
      </c>
      <c r="V132">
        <f ca="1"/>
        <v>0.92037950628389154</v>
      </c>
      <c r="Y132" s="2">
        <f t="shared" ca="1" si="8"/>
        <v>45640</v>
      </c>
      <c r="Z132">
        <f t="shared" ca="1" si="9"/>
        <v>0</v>
      </c>
      <c r="AB132" s="63">
        <f t="shared" ca="1" si="11"/>
        <v>34.804527020402425</v>
      </c>
      <c r="AC132" s="63">
        <f t="shared" ca="1" si="12"/>
        <v>34.804527020402425</v>
      </c>
      <c r="AD132" s="3">
        <f t="shared" ca="1" si="13"/>
        <v>0</v>
      </c>
    </row>
    <row r="133" spans="8:30">
      <c r="H133" t="b">
        <f t="shared" ca="1" si="10"/>
        <v>1</v>
      </c>
      <c r="I133" t="b">
        <f t="shared" ca="1" si="7"/>
        <v>1</v>
      </c>
      <c r="J133" s="2">
        <f ca="1"/>
        <v>45641</v>
      </c>
      <c r="K133">
        <f ca="1"/>
        <v>30.943083518086958</v>
      </c>
      <c r="L133">
        <f ca="1"/>
        <v>2.3768463965883626</v>
      </c>
      <c r="M133">
        <f ca="1"/>
        <v>2.2680536985262734E-2</v>
      </c>
      <c r="N133">
        <f ca="1"/>
        <v>0.74298134819219819</v>
      </c>
      <c r="O133">
        <f ca="1"/>
        <v>0</v>
      </c>
      <c r="P133">
        <f ca="1"/>
        <v>43.423432914852</v>
      </c>
      <c r="Q133">
        <f ca="1"/>
        <v>27.108040375328386</v>
      </c>
      <c r="R133">
        <f ca="1"/>
        <v>0</v>
      </c>
      <c r="S133">
        <f ca="1"/>
        <v>0.63707858346228141</v>
      </c>
      <c r="T133">
        <f ca="1"/>
        <v>0</v>
      </c>
      <c r="U133">
        <f ca="1"/>
        <v>0</v>
      </c>
      <c r="V133">
        <f ca="1"/>
        <v>0.93134285293353636</v>
      </c>
      <c r="Y133" s="2">
        <f t="shared" ca="1" si="8"/>
        <v>45641</v>
      </c>
      <c r="Z133">
        <f t="shared" ca="1" si="9"/>
        <v>0</v>
      </c>
      <c r="AB133" s="63">
        <f t="shared" ca="1" si="11"/>
        <v>33.319929914675321</v>
      </c>
      <c r="AC133" s="63">
        <f t="shared" ca="1" si="12"/>
        <v>33.319929914675321</v>
      </c>
      <c r="AD133" s="3">
        <f t="shared" ca="1" si="13"/>
        <v>0</v>
      </c>
    </row>
    <row r="134" spans="8:30">
      <c r="H134" t="b">
        <f t="shared" ca="1" si="10"/>
        <v>1</v>
      </c>
      <c r="I134" t="b">
        <f t="shared" ca="1" si="7"/>
        <v>1</v>
      </c>
      <c r="J134" s="2">
        <f ca="1"/>
        <v>45642</v>
      </c>
      <c r="K134">
        <f ca="1"/>
        <v>29.221154598849331</v>
      </c>
      <c r="L134">
        <f ca="1"/>
        <v>2.500046739937055</v>
      </c>
      <c r="M134">
        <f ca="1"/>
        <v>2.1863442019641965E-2</v>
      </c>
      <c r="N134">
        <f ca="1"/>
        <v>0.75625437867978751</v>
      </c>
      <c r="O134">
        <f ca="1"/>
        <v>0</v>
      </c>
      <c r="P134">
        <f ca="1"/>
        <v>45.923479654789055</v>
      </c>
      <c r="Q134">
        <f ca="1"/>
        <v>28.668749960388443</v>
      </c>
      <c r="R134">
        <f ca="1"/>
        <v>0</v>
      </c>
      <c r="S134">
        <f ca="1"/>
        <v>0.64803493468427131</v>
      </c>
      <c r="T134">
        <f ca="1"/>
        <v>0</v>
      </c>
      <c r="U134">
        <f ca="1"/>
        <v>0</v>
      </c>
      <c r="V134">
        <f ca="1"/>
        <v>0.94091434404998298</v>
      </c>
      <c r="Y134" s="2">
        <f t="shared" ca="1" si="8"/>
        <v>45642</v>
      </c>
      <c r="Z134">
        <f t="shared" ca="1" si="9"/>
        <v>0</v>
      </c>
      <c r="AB134" s="63">
        <f t="shared" ca="1" si="11"/>
        <v>31.72120133878639</v>
      </c>
      <c r="AC134" s="63">
        <f t="shared" ca="1" si="12"/>
        <v>31.721201338786386</v>
      </c>
      <c r="AD134" s="3">
        <f t="shared" ca="1" si="13"/>
        <v>0</v>
      </c>
    </row>
    <row r="135" spans="8:30">
      <c r="H135" t="b">
        <f t="shared" ca="1" si="10"/>
        <v>1</v>
      </c>
      <c r="I135" t="b">
        <f t="shared" ca="1" si="7"/>
        <v>1</v>
      </c>
      <c r="J135" s="2">
        <f ca="1"/>
        <v>45643</v>
      </c>
      <c r="K135">
        <f ca="1"/>
        <v>27.415134924589371</v>
      </c>
      <c r="L135">
        <f ca="1"/>
        <v>2.5743366028317638</v>
      </c>
      <c r="M135">
        <f ca="1"/>
        <v>2.0594955835818496E-2</v>
      </c>
      <c r="N135">
        <f ca="1"/>
        <v>0.74772197273598417</v>
      </c>
      <c r="O135">
        <f ca="1"/>
        <v>0</v>
      </c>
      <c r="P135">
        <f ca="1"/>
        <v>48.497816257620819</v>
      </c>
      <c r="Q135">
        <f ca="1"/>
        <v>30.275836638820557</v>
      </c>
      <c r="R135">
        <f ca="1"/>
        <v>0</v>
      </c>
      <c r="S135">
        <f ca="1"/>
        <v>0.65700837140196533</v>
      </c>
      <c r="T135">
        <f ca="1"/>
        <v>0</v>
      </c>
      <c r="U135">
        <f ca="1"/>
        <v>0</v>
      </c>
      <c r="V135">
        <f ca="1"/>
        <v>0.94908884922448833</v>
      </c>
      <c r="Y135" s="2">
        <f t="shared" ca="1" si="8"/>
        <v>45643</v>
      </c>
      <c r="Z135">
        <f t="shared" ca="1" si="9"/>
        <v>0</v>
      </c>
      <c r="AB135" s="63">
        <f t="shared" ca="1" si="11"/>
        <v>29.989471527421134</v>
      </c>
      <c r="AC135" s="63">
        <f t="shared" ca="1" si="12"/>
        <v>29.989471527421134</v>
      </c>
      <c r="AD135" s="3">
        <f t="shared" ca="1" si="13"/>
        <v>0</v>
      </c>
    </row>
    <row r="136" spans="8:30">
      <c r="H136" t="b">
        <f t="shared" ca="1" si="10"/>
        <v>1</v>
      </c>
      <c r="I136" t="b">
        <f t="shared" ca="1" si="7"/>
        <v>1</v>
      </c>
      <c r="J136" s="2">
        <f ca="1"/>
        <v>45644</v>
      </c>
      <c r="K136">
        <f ca="1"/>
        <v>100.94891813164588</v>
      </c>
      <c r="L136">
        <f ca="1"/>
        <v>2.7238551770047508</v>
      </c>
      <c r="M136">
        <f ca="1"/>
        <v>2.0062618786203856E-2</v>
      </c>
      <c r="N136">
        <f ca="1"/>
        <v>0.76153852433802205</v>
      </c>
      <c r="O136">
        <f ca="1"/>
        <v>75.476037240937032</v>
      </c>
      <c r="P136">
        <f ca="1"/>
        <v>51.22167143462557</v>
      </c>
      <c r="Q136">
        <f ca="1"/>
        <v>31.976263600907593</v>
      </c>
      <c r="R136">
        <f ca="1"/>
        <v>0</v>
      </c>
      <c r="S136">
        <f ca="1"/>
        <v>0.66023397458455657</v>
      </c>
      <c r="T136">
        <f ca="1"/>
        <v>0</v>
      </c>
      <c r="U136">
        <f ca="1"/>
        <v>0</v>
      </c>
      <c r="V136">
        <f ca="1"/>
        <v>0.95625553435042421</v>
      </c>
      <c r="Y136" s="2">
        <f t="shared" ca="1" si="8"/>
        <v>45644</v>
      </c>
      <c r="Z136">
        <f t="shared" ca="1" si="9"/>
        <v>75.476037240937032</v>
      </c>
      <c r="AB136" s="63">
        <f t="shared" ca="1" si="11"/>
        <v>103.67277330865062</v>
      </c>
      <c r="AC136" s="63">
        <f t="shared" ca="1" si="12"/>
        <v>103.67277330865063</v>
      </c>
      <c r="AD136" s="3">
        <f t="shared" ca="1" si="13"/>
        <v>0</v>
      </c>
    </row>
    <row r="137" spans="8:30">
      <c r="H137" t="b">
        <f t="shared" ca="1" si="10"/>
        <v>1</v>
      </c>
      <c r="I137" t="b">
        <f t="shared" ca="1" si="7"/>
        <v>1</v>
      </c>
      <c r="J137" s="2">
        <f ca="1"/>
        <v>45645</v>
      </c>
      <c r="K137">
        <f ca="1"/>
        <v>98.808315611903438</v>
      </c>
      <c r="L137">
        <f ca="1"/>
        <v>2.8973887125778219</v>
      </c>
      <c r="M137">
        <f ca="1"/>
        <v>1.9670727554753853E-2</v>
      </c>
      <c r="N137">
        <f ca="1"/>
        <v>0.73711546528061733</v>
      </c>
      <c r="O137">
        <f ca="1"/>
        <v>0</v>
      </c>
      <c r="P137">
        <f ca="1"/>
        <v>54.119060147203392</v>
      </c>
      <c r="Q137">
        <f ca="1"/>
        <v>33.785022718538677</v>
      </c>
      <c r="R137">
        <f ca="1"/>
        <v>0</v>
      </c>
      <c r="S137">
        <f ca="1"/>
        <v>0.61956848486754268</v>
      </c>
      <c r="T137">
        <f ca="1"/>
        <v>0</v>
      </c>
      <c r="U137">
        <f ca="1"/>
        <v>0</v>
      </c>
      <c r="V137">
        <f ca="1"/>
        <v>0.96254778428432752</v>
      </c>
      <c r="Y137" s="2">
        <f t="shared" ca="1" si="8"/>
        <v>45645</v>
      </c>
      <c r="Z137">
        <f t="shared" ca="1" si="9"/>
        <v>0</v>
      </c>
      <c r="AB137" s="63">
        <f t="shared" ca="1" si="11"/>
        <v>101.70570432448126</v>
      </c>
      <c r="AC137" s="63">
        <f t="shared" ca="1" si="12"/>
        <v>101.70570432448126</v>
      </c>
      <c r="AD137" s="3">
        <f t="shared" ca="1" si="13"/>
        <v>0</v>
      </c>
    </row>
    <row r="138" spans="8:30">
      <c r="H138" t="b">
        <f t="shared" ca="1" si="10"/>
        <v>1</v>
      </c>
      <c r="I138" t="b">
        <f t="shared" ca="1" si="7"/>
        <v>1</v>
      </c>
      <c r="J138" s="2">
        <f ca="1"/>
        <v>45646</v>
      </c>
      <c r="K138">
        <f ca="1"/>
        <v>96.531449798814776</v>
      </c>
      <c r="L138">
        <f ca="1"/>
        <v>3.0300140516432279</v>
      </c>
      <c r="M138">
        <f ca="1"/>
        <v>1.8911565863639623E-2</v>
      </c>
      <c r="N138">
        <f ca="1"/>
        <v>0.73423667269094528</v>
      </c>
      <c r="O138">
        <f ca="1"/>
        <v>0</v>
      </c>
      <c r="P138">
        <f ca="1"/>
        <v>57.14907419884662</v>
      </c>
      <c r="Q138">
        <f ca="1"/>
        <v>35.676576143409974</v>
      </c>
      <c r="R138">
        <f ca="1"/>
        <v>0</v>
      </c>
      <c r="S138">
        <f ca="1"/>
        <v>0.61663589429297194</v>
      </c>
      <c r="T138">
        <f ca="1"/>
        <v>0</v>
      </c>
      <c r="U138">
        <f ca="1"/>
        <v>0</v>
      </c>
      <c r="V138">
        <f ca="1"/>
        <v>0.96796527084037176</v>
      </c>
      <c r="Y138" s="2">
        <f t="shared" ca="1" si="8"/>
        <v>45646</v>
      </c>
      <c r="Z138">
        <f t="shared" ca="1" si="9"/>
        <v>0</v>
      </c>
      <c r="AB138" s="63">
        <f t="shared" ca="1" si="11"/>
        <v>99.561463850458011</v>
      </c>
      <c r="AC138" s="63">
        <f t="shared" ca="1" si="12"/>
        <v>99.561463850458011</v>
      </c>
      <c r="AD138" s="3">
        <f t="shared" ca="1" si="13"/>
        <v>0</v>
      </c>
    </row>
    <row r="139" spans="8:30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45647</v>
      </c>
      <c r="K139">
        <f ca="1"/>
        <v>94.063228253787585</v>
      </c>
      <c r="L139">
        <f ca="1"/>
        <v>3.1950612560799669</v>
      </c>
      <c r="M139">
        <f ca="1"/>
        <v>1.8383519292870076E-2</v>
      </c>
      <c r="N139">
        <f ca="1"/>
        <v>0.70845619175990182</v>
      </c>
      <c r="O139">
        <f ca="1"/>
        <v>0</v>
      </c>
      <c r="P139">
        <f ca="1"/>
        <v>60.344135454926587</v>
      </c>
      <c r="Q139">
        <f ca="1"/>
        <v>37.671163943533884</v>
      </c>
      <c r="R139">
        <f ca="1"/>
        <v>0</v>
      </c>
      <c r="S139">
        <f ca="1"/>
        <v>0.58063148689825594</v>
      </c>
      <c r="T139">
        <f ca="1"/>
        <v>0</v>
      </c>
      <c r="U139">
        <f ca="1"/>
        <v>0</v>
      </c>
      <c r="V139">
        <f ca="1"/>
        <v>0.97266121552439966</v>
      </c>
      <c r="Y139" s="2">
        <f t="shared" ref="Y139:Y202" ca="1" si="15">IFERROR(J139,$Y$9)</f>
        <v>45647</v>
      </c>
      <c r="Z139">
        <f t="shared" ref="Z139:Z202" ca="1" si="16">IFERROR(O139,0)</f>
        <v>0</v>
      </c>
      <c r="AB139" s="63">
        <f t="shared" ca="1" si="11"/>
        <v>97.258289509867552</v>
      </c>
      <c r="AC139" s="63">
        <f t="shared" ca="1" si="12"/>
        <v>97.258289509867552</v>
      </c>
      <c r="AD139" s="3">
        <f t="shared" ca="1" si="13"/>
        <v>0</v>
      </c>
    </row>
    <row r="140" spans="8:30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45648</v>
      </c>
      <c r="K140">
        <f ca="1"/>
        <v>91.48354127867276</v>
      </c>
      <c r="L140">
        <f ca="1"/>
        <v>3.260907892959608</v>
      </c>
      <c r="M140">
        <f ca="1"/>
        <v>1.7221633785085899E-2</v>
      </c>
      <c r="N140">
        <f ca="1"/>
        <v>0.66399928405969499</v>
      </c>
      <c r="O140">
        <f ca="1"/>
        <v>0</v>
      </c>
      <c r="P140">
        <f ca="1"/>
        <v>63.605043347886195</v>
      </c>
      <c r="Q140">
        <f ca="1"/>
        <v>39.706857966065712</v>
      </c>
      <c r="R140">
        <f ca="1"/>
        <v>0</v>
      </c>
      <c r="S140">
        <f ca="1"/>
        <v>0.55392719509071675</v>
      </c>
      <c r="T140">
        <f ca="1"/>
        <v>0</v>
      </c>
      <c r="U140">
        <f ca="1"/>
        <v>0</v>
      </c>
      <c r="V140">
        <f ca="1"/>
        <v>0.97660431847097307</v>
      </c>
      <c r="Y140" s="2">
        <f t="shared" ca="1" si="15"/>
        <v>45648</v>
      </c>
      <c r="Z140">
        <f t="shared" ca="1" si="16"/>
        <v>0</v>
      </c>
      <c r="AB140" s="63">
        <f t="shared" ca="1" si="11"/>
        <v>94.744449171632368</v>
      </c>
      <c r="AC140" s="63">
        <f t="shared" ca="1" si="12"/>
        <v>94.744449171632368</v>
      </c>
      <c r="AD140" s="3">
        <f t="shared" ca="1" si="13"/>
        <v>0</v>
      </c>
    </row>
    <row r="141" spans="8:30">
      <c r="H141" t="b">
        <f t="shared" ca="1" si="17"/>
        <v>1</v>
      </c>
      <c r="I141" t="b">
        <f t="shared" ca="1" si="14"/>
        <v>1</v>
      </c>
      <c r="J141" s="2">
        <f ca="1"/>
        <v>45649</v>
      </c>
      <c r="K141">
        <f ca="1"/>
        <v>88.737959750025823</v>
      </c>
      <c r="L141">
        <f ca="1"/>
        <v>3.4248578534964338</v>
      </c>
      <c r="M141">
        <f ca="1"/>
        <v>1.6733682997031707E-2</v>
      </c>
      <c r="N141">
        <f ca="1"/>
        <v>0.66254264185247125</v>
      </c>
      <c r="O141">
        <f ca="1"/>
        <v>0</v>
      </c>
      <c r="P141">
        <f ca="1"/>
        <v>67.029901201382629</v>
      </c>
      <c r="Q141">
        <f ca="1"/>
        <v>41.844901385027825</v>
      </c>
      <c r="R141">
        <f ca="1"/>
        <v>0</v>
      </c>
      <c r="S141">
        <f ca="1"/>
        <v>0.54412568827552688</v>
      </c>
      <c r="T141">
        <f ca="1"/>
        <v>0</v>
      </c>
      <c r="U141">
        <f ca="1"/>
        <v>0</v>
      </c>
      <c r="V141">
        <f ca="1"/>
        <v>0.98001605682513426</v>
      </c>
      <c r="Y141" s="2">
        <f t="shared" ca="1" si="15"/>
        <v>45649</v>
      </c>
      <c r="Z141">
        <f t="shared" ca="1" si="16"/>
        <v>0</v>
      </c>
      <c r="AB141" s="63">
        <f t="shared" ref="AB141:AB204" ca="1" si="18">K140+M141+N141+O141</f>
        <v>92.162817603522257</v>
      </c>
      <c r="AC141" s="63">
        <f t="shared" ref="AC141:AC204" ca="1" si="19">K141+L141+R141</f>
        <v>92.162817603522257</v>
      </c>
      <c r="AD141" s="3">
        <f t="shared" ref="AD141:AD204" ca="1" si="20">AC141-AB141</f>
        <v>0</v>
      </c>
    </row>
    <row r="142" spans="8:30">
      <c r="H142" t="b">
        <f t="shared" ca="1" si="17"/>
        <v>1</v>
      </c>
      <c r="I142" t="b">
        <f t="shared" ca="1" si="14"/>
        <v>1</v>
      </c>
      <c r="J142" s="2">
        <f ca="1"/>
        <v>45650</v>
      </c>
      <c r="K142">
        <f ca="1"/>
        <v>85.821951614609247</v>
      </c>
      <c r="L142">
        <f ca="1"/>
        <v>3.6166777198712481</v>
      </c>
      <c r="M142">
        <f ca="1"/>
        <v>1.6378358039458973E-2</v>
      </c>
      <c r="N142">
        <f ca="1"/>
        <v>0.6842912264152079</v>
      </c>
      <c r="O142">
        <f ca="1"/>
        <v>0</v>
      </c>
      <c r="P142">
        <f ca="1"/>
        <v>70.646578921253877</v>
      </c>
      <c r="Q142">
        <f ca="1"/>
        <v>44.102692606810464</v>
      </c>
      <c r="R142">
        <f ca="1"/>
        <v>0</v>
      </c>
      <c r="S142">
        <f ca="1"/>
        <v>0.55398295997245939</v>
      </c>
      <c r="T142">
        <f ca="1"/>
        <v>0</v>
      </c>
      <c r="U142">
        <f ca="1"/>
        <v>0</v>
      </c>
      <c r="V142">
        <f ca="1"/>
        <v>0.98297811869223006</v>
      </c>
      <c r="Y142" s="2">
        <f t="shared" ca="1" si="15"/>
        <v>45650</v>
      </c>
      <c r="Z142">
        <f t="shared" ca="1" si="16"/>
        <v>0</v>
      </c>
      <c r="AB142" s="63">
        <f t="shared" ca="1" si="18"/>
        <v>89.438629334480495</v>
      </c>
      <c r="AC142" s="63">
        <f t="shared" ca="1" si="19"/>
        <v>89.438629334480495</v>
      </c>
      <c r="AD142" s="3">
        <f t="shared" ca="1" si="20"/>
        <v>0</v>
      </c>
    </row>
    <row r="143" spans="8:30">
      <c r="H143" t="b">
        <f t="shared" ca="1" si="17"/>
        <v>1</v>
      </c>
      <c r="I143" t="b">
        <f t="shared" ca="1" si="14"/>
        <v>1</v>
      </c>
      <c r="J143" s="2">
        <f ca="1"/>
        <v>45651</v>
      </c>
      <c r="K143">
        <f ca="1"/>
        <v>82.776214848097879</v>
      </c>
      <c r="L143">
        <f ca="1"/>
        <v>3.6970803113120354</v>
      </c>
      <c r="M143">
        <f ca="1"/>
        <v>1.5445220815413663E-2</v>
      </c>
      <c r="N143">
        <f ca="1"/>
        <v>0.63589832398525337</v>
      </c>
      <c r="O143">
        <f ca="1"/>
        <v>0</v>
      </c>
      <c r="P143">
        <f ca="1"/>
        <v>74.343659232565912</v>
      </c>
      <c r="Q143">
        <f ca="1"/>
        <v>46.410676928234302</v>
      </c>
      <c r="R143">
        <f ca="1"/>
        <v>0</v>
      </c>
      <c r="S143">
        <f ca="1"/>
        <v>0.51545330104945275</v>
      </c>
      <c r="T143">
        <f ca="1"/>
        <v>0</v>
      </c>
      <c r="U143">
        <f ca="1"/>
        <v>0</v>
      </c>
      <c r="V143">
        <f ca="1"/>
        <v>0.98546885025479058</v>
      </c>
      <c r="Y143" s="2">
        <f t="shared" ca="1" si="15"/>
        <v>45651</v>
      </c>
      <c r="Z143">
        <f t="shared" ca="1" si="16"/>
        <v>0</v>
      </c>
      <c r="AB143" s="63">
        <f t="shared" ca="1" si="18"/>
        <v>86.473295159409915</v>
      </c>
      <c r="AC143" s="63">
        <f t="shared" ca="1" si="19"/>
        <v>86.473295159409915</v>
      </c>
      <c r="AD143" s="3">
        <f t="shared" ca="1" si="20"/>
        <v>0</v>
      </c>
    </row>
    <row r="144" spans="8:30">
      <c r="H144" t="b">
        <f t="shared" ca="1" si="17"/>
        <v>1</v>
      </c>
      <c r="I144" t="b">
        <f t="shared" ca="1" si="14"/>
        <v>1</v>
      </c>
      <c r="J144" s="2">
        <f ca="1"/>
        <v>45652</v>
      </c>
      <c r="K144">
        <f ca="1"/>
        <v>79.558044376263595</v>
      </c>
      <c r="L144">
        <f ca="1"/>
        <v>3.8524677580695794</v>
      </c>
      <c r="M144">
        <f ca="1"/>
        <v>1.4694944767592588E-2</v>
      </c>
      <c r="N144">
        <f ca="1"/>
        <v>0.6196023414677021</v>
      </c>
      <c r="O144">
        <f ca="1"/>
        <v>0</v>
      </c>
      <c r="P144">
        <f ca="1"/>
        <v>78.196126990635491</v>
      </c>
      <c r="Q144">
        <f ca="1"/>
        <v>48.815665307093731</v>
      </c>
      <c r="R144">
        <f ca="1"/>
        <v>0</v>
      </c>
      <c r="S144">
        <f ca="1"/>
        <v>0.49162676880093592</v>
      </c>
      <c r="T144">
        <f ca="1"/>
        <v>0</v>
      </c>
      <c r="U144">
        <f ca="1"/>
        <v>0</v>
      </c>
      <c r="V144">
        <f ca="1"/>
        <v>0.98760773569279736</v>
      </c>
      <c r="Y144" s="2">
        <f t="shared" ca="1" si="15"/>
        <v>45652</v>
      </c>
      <c r="Z144">
        <f t="shared" ca="1" si="16"/>
        <v>0</v>
      </c>
      <c r="AB144" s="63">
        <f t="shared" ca="1" si="18"/>
        <v>83.410512134333175</v>
      </c>
      <c r="AC144" s="63">
        <f t="shared" ca="1" si="19"/>
        <v>83.410512134333175</v>
      </c>
      <c r="AD144" s="3">
        <f t="shared" ca="1" si="20"/>
        <v>0</v>
      </c>
    </row>
    <row r="145" spans="8:30">
      <c r="H145" t="b">
        <f t="shared" ca="1" si="17"/>
        <v>1</v>
      </c>
      <c r="I145" t="b">
        <f t="shared" ca="1" si="14"/>
        <v>1</v>
      </c>
      <c r="J145" s="2">
        <f ca="1"/>
        <v>45653</v>
      </c>
      <c r="K145">
        <f ca="1"/>
        <v>76.017539005090399</v>
      </c>
      <c r="L145">
        <f ca="1"/>
        <v>4.1811983913482322</v>
      </c>
      <c r="M145">
        <f ca="1"/>
        <v>1.3820804061845493E-2</v>
      </c>
      <c r="N145">
        <f ca="1"/>
        <v>0.62687221611318833</v>
      </c>
      <c r="O145">
        <f ca="1"/>
        <v>0</v>
      </c>
      <c r="P145">
        <f ca="1"/>
        <v>82.377325381983724</v>
      </c>
      <c r="Q145">
        <f ca="1"/>
        <v>51.425871069318468</v>
      </c>
      <c r="R145">
        <f ca="1"/>
        <v>0</v>
      </c>
      <c r="S145">
        <f ca="1"/>
        <v>0.45388342245734037</v>
      </c>
      <c r="T145">
        <f ca="1"/>
        <v>0</v>
      </c>
      <c r="U145">
        <f ca="1"/>
        <v>0</v>
      </c>
      <c r="V145">
        <f ca="1"/>
        <v>0.98951307598978655</v>
      </c>
      <c r="Y145" s="2">
        <f t="shared" ca="1" si="15"/>
        <v>45653</v>
      </c>
      <c r="Z145">
        <f t="shared" ca="1" si="16"/>
        <v>0</v>
      </c>
      <c r="AB145" s="63">
        <f t="shared" ca="1" si="18"/>
        <v>80.198737396438631</v>
      </c>
      <c r="AC145" s="63">
        <f t="shared" ca="1" si="19"/>
        <v>80.198737396438631</v>
      </c>
      <c r="AD145" s="3">
        <f t="shared" ca="1" si="20"/>
        <v>0</v>
      </c>
    </row>
    <row r="146" spans="8:30">
      <c r="H146" t="b">
        <f t="shared" ca="1" si="17"/>
        <v>1</v>
      </c>
      <c r="I146" t="b">
        <f t="shared" ca="1" si="14"/>
        <v>1</v>
      </c>
      <c r="J146" s="2">
        <f ca="1"/>
        <v>45654</v>
      </c>
      <c r="K146">
        <f ca="1"/>
        <v>72.25772601155056</v>
      </c>
      <c r="L146">
        <f ca="1"/>
        <v>4.4142429982590841</v>
      </c>
      <c r="M146">
        <f ca="1"/>
        <v>1.3571902052353479E-2</v>
      </c>
      <c r="N146">
        <f ca="1"/>
        <v>0.64085810266690335</v>
      </c>
      <c r="O146">
        <f ca="1"/>
        <v>0</v>
      </c>
      <c r="P146">
        <f ca="1"/>
        <v>86.791568380242808</v>
      </c>
      <c r="Q146">
        <f ca="1"/>
        <v>54.181560092292749</v>
      </c>
      <c r="R146">
        <f ca="1"/>
        <v>0</v>
      </c>
      <c r="S146">
        <f ca="1"/>
        <v>0.45187041607493966</v>
      </c>
      <c r="T146">
        <f ca="1"/>
        <v>0</v>
      </c>
      <c r="U146">
        <f ca="1"/>
        <v>0</v>
      </c>
      <c r="V146">
        <f ca="1"/>
        <v>0.99115518916729251</v>
      </c>
      <c r="Y146" s="2">
        <f t="shared" ca="1" si="15"/>
        <v>45654</v>
      </c>
      <c r="Z146">
        <f t="shared" ca="1" si="16"/>
        <v>0</v>
      </c>
      <c r="AB146" s="63">
        <f t="shared" ca="1" si="18"/>
        <v>76.671969009809644</v>
      </c>
      <c r="AC146" s="63">
        <f t="shared" ca="1" si="19"/>
        <v>76.671969009809644</v>
      </c>
      <c r="AD146" s="3">
        <f t="shared" ca="1" si="20"/>
        <v>0</v>
      </c>
    </row>
    <row r="147" spans="8:30">
      <c r="H147" t="b">
        <f t="shared" ca="1" si="17"/>
        <v>1</v>
      </c>
      <c r="I147" t="b">
        <f t="shared" ca="1" si="14"/>
        <v>1</v>
      </c>
      <c r="J147" s="2">
        <f ca="1"/>
        <v>45655</v>
      </c>
      <c r="K147">
        <f ca="1"/>
        <v>68.404393473130554</v>
      </c>
      <c r="L147">
        <f ca="1"/>
        <v>4.5121543279759777</v>
      </c>
      <c r="M147">
        <f ca="1"/>
        <v>1.3401540916797572E-2</v>
      </c>
      <c r="N147">
        <f ca="1"/>
        <v>0.64542024863916814</v>
      </c>
      <c r="O147">
        <f ca="1"/>
        <v>0</v>
      </c>
      <c r="P147">
        <f ca="1"/>
        <v>91.303722708218785</v>
      </c>
      <c r="Q147">
        <f ca="1"/>
        <v>56.998372432817071</v>
      </c>
      <c r="R147">
        <f ca="1"/>
        <v>0</v>
      </c>
      <c r="S147">
        <f ca="1"/>
        <v>0.47055535463073955</v>
      </c>
      <c r="T147">
        <f ca="1"/>
        <v>0</v>
      </c>
      <c r="U147">
        <f ca="1"/>
        <v>0</v>
      </c>
      <c r="V147">
        <f ca="1"/>
        <v>0.9925261708269838</v>
      </c>
      <c r="Y147" s="2">
        <f t="shared" ca="1" si="15"/>
        <v>45655</v>
      </c>
      <c r="Z147">
        <f t="shared" ca="1" si="16"/>
        <v>0</v>
      </c>
      <c r="AB147" s="63">
        <f t="shared" ca="1" si="18"/>
        <v>72.916547801106532</v>
      </c>
      <c r="AC147" s="63">
        <f t="shared" ca="1" si="19"/>
        <v>72.916547801106532</v>
      </c>
      <c r="AD147" s="3">
        <f t="shared" ca="1" si="20"/>
        <v>0</v>
      </c>
    </row>
    <row r="148" spans="8:30">
      <c r="H148" t="b">
        <f t="shared" ca="1" si="17"/>
        <v>1</v>
      </c>
      <c r="I148" t="b">
        <f t="shared" ca="1" si="14"/>
        <v>1</v>
      </c>
      <c r="J148" s="2">
        <f ca="1"/>
        <v>45656</v>
      </c>
      <c r="K148">
        <f ca="1"/>
        <v>64.546212682609863</v>
      </c>
      <c r="L148">
        <f ca="1"/>
        <v>4.5702284491547971</v>
      </c>
      <c r="M148">
        <f ca="1"/>
        <v>1.3378477698266167E-2</v>
      </c>
      <c r="N148">
        <f ca="1"/>
        <v>0.69866918093584307</v>
      </c>
      <c r="O148">
        <f ca="1"/>
        <v>0</v>
      </c>
      <c r="P148">
        <f ca="1"/>
        <v>95.873951157373583</v>
      </c>
      <c r="Q148">
        <f ca="1"/>
        <v>59.851438830563559</v>
      </c>
      <c r="R148">
        <f ca="1"/>
        <v>0</v>
      </c>
      <c r="S148">
        <f ca="1"/>
        <v>0.55072566946444268</v>
      </c>
      <c r="T148">
        <f ca="1"/>
        <v>0</v>
      </c>
      <c r="U148">
        <f ca="1"/>
        <v>0</v>
      </c>
      <c r="V148">
        <f ca="1"/>
        <v>0.99366543200706114</v>
      </c>
      <c r="Y148" s="2">
        <f t="shared" ca="1" si="15"/>
        <v>45656</v>
      </c>
      <c r="Z148">
        <f t="shared" ca="1" si="16"/>
        <v>0</v>
      </c>
      <c r="AB148" s="63">
        <f t="shared" ca="1" si="18"/>
        <v>69.11644113176466</v>
      </c>
      <c r="AC148" s="63">
        <f t="shared" ca="1" si="19"/>
        <v>69.11644113176466</v>
      </c>
      <c r="AD148" s="3">
        <f t="shared" ca="1" si="20"/>
        <v>0</v>
      </c>
    </row>
    <row r="149" spans="8:30">
      <c r="H149" t="b">
        <f t="shared" ca="1" si="17"/>
        <v>1</v>
      </c>
      <c r="I149" t="b">
        <f t="shared" ca="1" si="14"/>
        <v>1</v>
      </c>
      <c r="J149" s="2">
        <f ca="1"/>
        <v>45657</v>
      </c>
      <c r="K149">
        <f ca="1"/>
        <v>60.554912635592771</v>
      </c>
      <c r="L149">
        <f ca="1"/>
        <v>4.6781158353083612</v>
      </c>
      <c r="M149">
        <f ca="1"/>
        <v>1.2766807845688177E-2</v>
      </c>
      <c r="N149">
        <f ca="1"/>
        <v>0.67404898044557904</v>
      </c>
      <c r="O149">
        <f ca="1"/>
        <v>0</v>
      </c>
      <c r="P149">
        <f ca="1"/>
        <v>100.55206699268194</v>
      </c>
      <c r="Q149">
        <f ca="1"/>
        <v>62.771856320186501</v>
      </c>
      <c r="R149">
        <f ca="1"/>
        <v>0</v>
      </c>
      <c r="S149">
        <f ca="1"/>
        <v>0.530544558096682</v>
      </c>
      <c r="T149">
        <f ca="1"/>
        <v>0</v>
      </c>
      <c r="U149">
        <f ca="1"/>
        <v>0</v>
      </c>
      <c r="V149">
        <f ca="1"/>
        <v>0.99462597670650565</v>
      </c>
      <c r="Y149" s="2">
        <f t="shared" ca="1" si="15"/>
        <v>45657</v>
      </c>
      <c r="Z149">
        <f t="shared" ca="1" si="16"/>
        <v>0</v>
      </c>
      <c r="AB149" s="63">
        <f t="shared" ca="1" si="18"/>
        <v>65.233028470901132</v>
      </c>
      <c r="AC149" s="63">
        <f t="shared" ca="1" si="19"/>
        <v>65.233028470901132</v>
      </c>
      <c r="AD149" s="3">
        <f t="shared" ca="1" si="20"/>
        <v>0</v>
      </c>
    </row>
    <row r="150" spans="8:30">
      <c r="H150" t="b">
        <f t="shared" ca="1" si="17"/>
        <v>1</v>
      </c>
      <c r="I150" t="b">
        <f t="shared" ca="1" si="14"/>
        <v>1</v>
      </c>
      <c r="J150" s="2">
        <f ca="1"/>
        <v>45658</v>
      </c>
      <c r="K150">
        <f ca="1"/>
        <v>56.431681517889338</v>
      </c>
      <c r="L150">
        <f ca="1"/>
        <v>4.7982430583234645</v>
      </c>
      <c r="M150">
        <f ca="1"/>
        <v>1.2247827073997186E-2</v>
      </c>
      <c r="N150">
        <f ca="1"/>
        <v>0.66276411354603482</v>
      </c>
      <c r="O150">
        <f ca="1"/>
        <v>0</v>
      </c>
      <c r="P150">
        <f ca="1"/>
        <v>105.35031005100541</v>
      </c>
      <c r="Q150">
        <f ca="1"/>
        <v>65.767265891113894</v>
      </c>
      <c r="R150">
        <f ca="1"/>
        <v>0</v>
      </c>
      <c r="S150">
        <f ca="1"/>
        <v>0.52065757073033259</v>
      </c>
      <c r="T150">
        <f ca="1"/>
        <v>0</v>
      </c>
      <c r="U150">
        <f ca="1"/>
        <v>0</v>
      </c>
      <c r="V150">
        <f ca="1"/>
        <v>0.99543941503865163</v>
      </c>
      <c r="Y150" s="2">
        <f t="shared" ca="1" si="15"/>
        <v>45658</v>
      </c>
      <c r="Z150">
        <f t="shared" ca="1" si="16"/>
        <v>0</v>
      </c>
      <c r="AB150" s="63">
        <f t="shared" ca="1" si="18"/>
        <v>61.229924576212802</v>
      </c>
      <c r="AC150" s="63">
        <f t="shared" ca="1" si="19"/>
        <v>61.229924576212802</v>
      </c>
      <c r="AD150" s="3">
        <f t="shared" ca="1" si="20"/>
        <v>0</v>
      </c>
    </row>
    <row r="151" spans="8:30">
      <c r="H151" t="b">
        <f t="shared" ca="1" si="17"/>
        <v>1</v>
      </c>
      <c r="I151" t="b">
        <f t="shared" ca="1" si="14"/>
        <v>1</v>
      </c>
      <c r="J151" s="2">
        <f ca="1"/>
        <v>45659</v>
      </c>
      <c r="K151">
        <f ca="1"/>
        <v>52.06673191421973</v>
      </c>
      <c r="L151">
        <f ca="1"/>
        <v>5.0309614221241929</v>
      </c>
      <c r="M151">
        <f ca="1"/>
        <v>1.1844691756568437E-2</v>
      </c>
      <c r="N151">
        <f ca="1"/>
        <v>0.65416712669802179</v>
      </c>
      <c r="O151">
        <f ca="1"/>
        <v>0</v>
      </c>
      <c r="P151">
        <f ca="1"/>
        <v>110.3812714731296</v>
      </c>
      <c r="Q151">
        <f ca="1"/>
        <v>68.907955058298938</v>
      </c>
      <c r="R151">
        <f ca="1"/>
        <v>0</v>
      </c>
      <c r="S151">
        <f ca="1"/>
        <v>0.48946895403671004</v>
      </c>
      <c r="T151">
        <f ca="1"/>
        <v>0</v>
      </c>
      <c r="U151">
        <f ca="1"/>
        <v>0</v>
      </c>
      <c r="V151">
        <f ca="1"/>
        <v>0.99614352007277196</v>
      </c>
      <c r="Y151" s="2">
        <f t="shared" ca="1" si="15"/>
        <v>45659</v>
      </c>
      <c r="Z151">
        <f t="shared" ca="1" si="16"/>
        <v>0</v>
      </c>
      <c r="AB151" s="63">
        <f t="shared" ca="1" si="18"/>
        <v>57.09769333634393</v>
      </c>
      <c r="AC151" s="63">
        <f t="shared" ca="1" si="19"/>
        <v>57.097693336343923</v>
      </c>
      <c r="AD151" s="3">
        <f t="shared" ca="1" si="20"/>
        <v>0</v>
      </c>
    </row>
    <row r="152" spans="8:30">
      <c r="H152" t="b">
        <f t="shared" ca="1" si="17"/>
        <v>1</v>
      </c>
      <c r="I152" t="b">
        <f t="shared" ca="1" si="14"/>
        <v>1</v>
      </c>
      <c r="J152" s="2">
        <f ca="1"/>
        <v>45660</v>
      </c>
      <c r="K152">
        <f ca="1"/>
        <v>123.14293033678928</v>
      </c>
      <c r="L152">
        <f ca="1"/>
        <v>5.1059513606475804</v>
      </c>
      <c r="M152">
        <f ca="1"/>
        <v>1.0574514157767112E-2</v>
      </c>
      <c r="N152">
        <f ca="1"/>
        <v>0.62004942727818113</v>
      </c>
      <c r="O152">
        <f ca="1"/>
        <v>75.551525841781185</v>
      </c>
      <c r="P152">
        <f ca="1"/>
        <v>115.48722283377718</v>
      </c>
      <c r="Q152">
        <f ca="1"/>
        <v>72.095458356582782</v>
      </c>
      <c r="R152">
        <f ca="1"/>
        <v>0</v>
      </c>
      <c r="S152">
        <f ca="1"/>
        <v>0.45882312907661893</v>
      </c>
      <c r="T152">
        <f ca="1"/>
        <v>0</v>
      </c>
      <c r="U152">
        <f ca="1"/>
        <v>0</v>
      </c>
      <c r="V152">
        <f ca="1"/>
        <v>0.99673380018825675</v>
      </c>
      <c r="Y152" s="2">
        <f t="shared" ca="1" si="15"/>
        <v>45660</v>
      </c>
      <c r="Z152">
        <f t="shared" ca="1" si="16"/>
        <v>75.551525841781185</v>
      </c>
      <c r="AB152" s="63">
        <f t="shared" ca="1" si="18"/>
        <v>128.24888169743687</v>
      </c>
      <c r="AC152" s="63">
        <f t="shared" ca="1" si="19"/>
        <v>128.24888169743684</v>
      </c>
      <c r="AD152" s="3">
        <f t="shared" ca="1" si="20"/>
        <v>0</v>
      </c>
    </row>
    <row r="153" spans="8:30">
      <c r="H153" t="b">
        <f t="shared" ca="1" si="17"/>
        <v>1</v>
      </c>
      <c r="I153" t="b">
        <f t="shared" ca="1" si="14"/>
        <v>1</v>
      </c>
      <c r="J153" s="2">
        <f ca="1"/>
        <v>45661</v>
      </c>
      <c r="K153">
        <f ca="1"/>
        <v>118.46798649574175</v>
      </c>
      <c r="L153">
        <f ca="1"/>
        <v>5.2946195613800597</v>
      </c>
      <c r="M153">
        <f ca="1"/>
        <v>9.7850334083240398E-3</v>
      </c>
      <c r="N153">
        <f ca="1"/>
        <v>0.6098906869242221</v>
      </c>
      <c r="O153">
        <f ca="1"/>
        <v>0</v>
      </c>
      <c r="P153">
        <f ca="1"/>
        <v>120.78184239515724</v>
      </c>
      <c r="Q153">
        <f ca="1"/>
        <v>75.40074196056068</v>
      </c>
      <c r="R153">
        <f ca="1"/>
        <v>0</v>
      </c>
      <c r="S153">
        <f ca="1"/>
        <v>0.43198628198853906</v>
      </c>
      <c r="T153">
        <f ca="1"/>
        <v>0</v>
      </c>
      <c r="U153">
        <f ca="1"/>
        <v>0</v>
      </c>
      <c r="V153">
        <f ca="1"/>
        <v>0.99724016501651125</v>
      </c>
      <c r="Y153" s="2">
        <f t="shared" ca="1" si="15"/>
        <v>45661</v>
      </c>
      <c r="Z153">
        <f t="shared" ca="1" si="16"/>
        <v>0</v>
      </c>
      <c r="AB153" s="63">
        <f t="shared" ca="1" si="18"/>
        <v>123.76260605712181</v>
      </c>
      <c r="AC153" s="63">
        <f t="shared" ca="1" si="19"/>
        <v>123.76260605712181</v>
      </c>
      <c r="AD153" s="3">
        <f t="shared" ca="1" si="20"/>
        <v>0</v>
      </c>
    </row>
    <row r="154" spans="8:30">
      <c r="H154" t="b">
        <f t="shared" ca="1" si="17"/>
        <v>1</v>
      </c>
      <c r="I154" t="b">
        <f t="shared" ca="1" si="14"/>
        <v>1</v>
      </c>
      <c r="J154" s="2">
        <f ca="1"/>
        <v>45662</v>
      </c>
      <c r="K154">
        <f ca="1"/>
        <v>113.77022983265718</v>
      </c>
      <c r="L154">
        <f ca="1"/>
        <v>5.2833040142628107</v>
      </c>
      <c r="M154">
        <f ca="1"/>
        <v>8.7968423175759369E-3</v>
      </c>
      <c r="N154">
        <f ca="1"/>
        <v>0.57675050886064883</v>
      </c>
      <c r="O154">
        <f ca="1"/>
        <v>0</v>
      </c>
      <c r="P154">
        <f ca="1"/>
        <v>126.06514640942005</v>
      </c>
      <c r="Q154">
        <f ca="1"/>
        <v>78.698961583468133</v>
      </c>
      <c r="R154">
        <f ca="1"/>
        <v>0</v>
      </c>
      <c r="S154">
        <f ca="1"/>
        <v>0.41248616082289252</v>
      </c>
      <c r="T154">
        <f ca="1"/>
        <v>0</v>
      </c>
      <c r="U154">
        <f ca="1"/>
        <v>0</v>
      </c>
      <c r="V154">
        <f ca="1"/>
        <v>0.99765927522825737</v>
      </c>
      <c r="Y154" s="2">
        <f t="shared" ca="1" si="15"/>
        <v>45662</v>
      </c>
      <c r="Z154">
        <f t="shared" ca="1" si="16"/>
        <v>0</v>
      </c>
      <c r="AB154" s="63">
        <f t="shared" ca="1" si="18"/>
        <v>119.05353384691999</v>
      </c>
      <c r="AC154" s="63">
        <f t="shared" ca="1" si="19"/>
        <v>119.05353384691999</v>
      </c>
      <c r="AD154" s="3">
        <f t="shared" ca="1" si="20"/>
        <v>0</v>
      </c>
    </row>
    <row r="155" spans="8:30">
      <c r="H155" t="b">
        <f t="shared" ca="1" si="17"/>
        <v>1</v>
      </c>
      <c r="I155" t="b">
        <f t="shared" ca="1" si="14"/>
        <v>1</v>
      </c>
      <c r="J155" s="2">
        <f ca="1"/>
        <v>45663</v>
      </c>
      <c r="K155">
        <f ca="1"/>
        <v>108.94101219730962</v>
      </c>
      <c r="L155">
        <f ca="1"/>
        <v>5.4069207414640772</v>
      </c>
      <c r="M155">
        <f ca="1"/>
        <v>8.2734605358929514E-3</v>
      </c>
      <c r="N155">
        <f ca="1"/>
        <v>0.56942964558062414</v>
      </c>
      <c r="O155">
        <f ca="1"/>
        <v>0</v>
      </c>
      <c r="P155">
        <f ca="1"/>
        <v>131.47206715088413</v>
      </c>
      <c r="Q155">
        <f ca="1"/>
        <v>82.074351688004924</v>
      </c>
      <c r="R155">
        <f ca="1"/>
        <v>0</v>
      </c>
      <c r="S155">
        <f ca="1"/>
        <v>0.39756016346677564</v>
      </c>
      <c r="T155">
        <f ca="1"/>
        <v>0</v>
      </c>
      <c r="U155">
        <f ca="1"/>
        <v>0</v>
      </c>
      <c r="V155">
        <f ca="1"/>
        <v>0.99801634727124022</v>
      </c>
      <c r="Y155" s="2">
        <f t="shared" ca="1" si="15"/>
        <v>45663</v>
      </c>
      <c r="Z155">
        <f t="shared" ca="1" si="16"/>
        <v>0</v>
      </c>
      <c r="AB155" s="63">
        <f t="shared" ca="1" si="18"/>
        <v>114.3479329387737</v>
      </c>
      <c r="AC155" s="63">
        <f t="shared" ca="1" si="19"/>
        <v>114.3479329387737</v>
      </c>
      <c r="AD155" s="3">
        <f t="shared" ca="1" si="20"/>
        <v>0</v>
      </c>
    </row>
    <row r="156" spans="8:30">
      <c r="H156" t="b">
        <f t="shared" ca="1" si="17"/>
        <v>1</v>
      </c>
      <c r="I156" t="b">
        <f t="shared" ca="1" si="14"/>
        <v>1</v>
      </c>
      <c r="J156" s="2">
        <f ca="1"/>
        <v>45664</v>
      </c>
      <c r="K156">
        <f ca="1"/>
        <v>103.88942156456476</v>
      </c>
      <c r="L156">
        <f ca="1"/>
        <v>5.6348883742634257</v>
      </c>
      <c r="M156">
        <f ca="1"/>
        <v>7.9051914959649139E-3</v>
      </c>
      <c r="N156">
        <f ca="1"/>
        <v>0.57539255002259337</v>
      </c>
      <c r="O156">
        <f ca="1"/>
        <v>0</v>
      </c>
      <c r="P156">
        <f ca="1"/>
        <v>137.10695552514755</v>
      </c>
      <c r="Q156">
        <f ca="1"/>
        <v>85.592055639682997</v>
      </c>
      <c r="R156">
        <f ca="1"/>
        <v>0</v>
      </c>
      <c r="S156">
        <f ca="1"/>
        <v>0.37935889970040421</v>
      </c>
      <c r="T156">
        <f ca="1"/>
        <v>0</v>
      </c>
      <c r="U156">
        <f ca="1"/>
        <v>0</v>
      </c>
      <c r="V156">
        <f ca="1"/>
        <v>0.99832593069580944</v>
      </c>
      <c r="Y156" s="2">
        <f t="shared" ca="1" si="15"/>
        <v>45664</v>
      </c>
      <c r="Z156">
        <f t="shared" ca="1" si="16"/>
        <v>0</v>
      </c>
      <c r="AB156" s="63">
        <f t="shared" ca="1" si="18"/>
        <v>109.52430993882818</v>
      </c>
      <c r="AC156" s="63">
        <f t="shared" ca="1" si="19"/>
        <v>109.52430993882818</v>
      </c>
      <c r="AD156" s="3">
        <f t="shared" ca="1" si="20"/>
        <v>0</v>
      </c>
    </row>
    <row r="157" spans="8:30">
      <c r="H157" t="b">
        <f t="shared" ca="1" si="17"/>
        <v>1</v>
      </c>
      <c r="I157" t="b">
        <f t="shared" ca="1" si="14"/>
        <v>1</v>
      </c>
      <c r="J157" s="2">
        <f ca="1"/>
        <v>45665</v>
      </c>
      <c r="K157">
        <f ca="1"/>
        <v>98.696941658423896</v>
      </c>
      <c r="L157">
        <f ca="1"/>
        <v>5.7856208074593667</v>
      </c>
      <c r="M157">
        <f ca="1"/>
        <v>7.815450119561973E-3</v>
      </c>
      <c r="N157">
        <f ca="1"/>
        <v>0.58532545119893487</v>
      </c>
      <c r="O157">
        <f ca="1"/>
        <v>0</v>
      </c>
      <c r="P157">
        <f ca="1"/>
        <v>142.89257633260692</v>
      </c>
      <c r="Q157">
        <f ca="1"/>
        <v>89.203857653413351</v>
      </c>
      <c r="R157">
        <f ca="1"/>
        <v>0</v>
      </c>
      <c r="S157">
        <f ca="1"/>
        <v>0.38052212671870617</v>
      </c>
      <c r="T157">
        <f ca="1"/>
        <v>0</v>
      </c>
      <c r="U157">
        <f ca="1"/>
        <v>0</v>
      </c>
      <c r="V157">
        <f ca="1"/>
        <v>0.99859003408034763</v>
      </c>
      <c r="Y157" s="2">
        <f t="shared" ca="1" si="15"/>
        <v>45665</v>
      </c>
      <c r="Z157">
        <f t="shared" ca="1" si="16"/>
        <v>0</v>
      </c>
      <c r="AB157" s="63">
        <f t="shared" ca="1" si="18"/>
        <v>104.48256246588326</v>
      </c>
      <c r="AC157" s="63">
        <f t="shared" ca="1" si="19"/>
        <v>104.48256246588326</v>
      </c>
      <c r="AD157" s="3">
        <f t="shared" ca="1" si="20"/>
        <v>0</v>
      </c>
    </row>
    <row r="158" spans="8:30">
      <c r="H158" t="b">
        <f t="shared" ca="1" si="17"/>
        <v>1</v>
      </c>
      <c r="I158" t="b">
        <f t="shared" ca="1" si="14"/>
        <v>1</v>
      </c>
      <c r="J158" s="2">
        <f ca="1"/>
        <v>45666</v>
      </c>
      <c r="K158">
        <f ca="1"/>
        <v>93.373534090464688</v>
      </c>
      <c r="L158">
        <f ca="1"/>
        <v>5.9302951218739963</v>
      </c>
      <c r="M158">
        <f ca="1"/>
        <v>7.8165229367090916E-3</v>
      </c>
      <c r="N158">
        <f ca="1"/>
        <v>0.59907103097807546</v>
      </c>
      <c r="O158">
        <f ca="1"/>
        <v>0</v>
      </c>
      <c r="P158">
        <f ca="1"/>
        <v>148.82287145448092</v>
      </c>
      <c r="Q158">
        <f ca="1"/>
        <v>92.905975814282883</v>
      </c>
      <c r="R158">
        <f ca="1"/>
        <v>0</v>
      </c>
      <c r="S158">
        <f ca="1"/>
        <v>0.38606591569016524</v>
      </c>
      <c r="T158">
        <f ca="1"/>
        <v>0</v>
      </c>
      <c r="U158">
        <f ca="1"/>
        <v>0</v>
      </c>
      <c r="V158">
        <f ca="1"/>
        <v>0.99881495910579698</v>
      </c>
      <c r="Y158" s="2">
        <f t="shared" ca="1" si="15"/>
        <v>45666</v>
      </c>
      <c r="Z158">
        <f t="shared" ca="1" si="16"/>
        <v>0</v>
      </c>
      <c r="AB158" s="63">
        <f t="shared" ca="1" si="18"/>
        <v>99.303829212338684</v>
      </c>
      <c r="AC158" s="63">
        <f t="shared" ca="1" si="19"/>
        <v>99.303829212338684</v>
      </c>
      <c r="AD158" s="3">
        <f t="shared" ca="1" si="20"/>
        <v>0</v>
      </c>
    </row>
    <row r="159" spans="8:30">
      <c r="H159" t="b">
        <f t="shared" ca="1" si="17"/>
        <v>1</v>
      </c>
      <c r="I159" t="b">
        <f t="shared" ca="1" si="14"/>
        <v>1</v>
      </c>
      <c r="J159" s="2">
        <f ca="1"/>
        <v>45667</v>
      </c>
      <c r="K159">
        <f ca="1"/>
        <v>88.016645929396788</v>
      </c>
      <c r="L159">
        <f ca="1"/>
        <v>5.941368206058911</v>
      </c>
      <c r="M159">
        <f ca="1"/>
        <v>7.1164683730415845E-3</v>
      </c>
      <c r="N159">
        <f ca="1"/>
        <v>0.57736357661797111</v>
      </c>
      <c r="O159">
        <f ca="1"/>
        <v>0</v>
      </c>
      <c r="P159">
        <f ca="1"/>
        <v>154.76423966053983</v>
      </c>
      <c r="Q159">
        <f ca="1"/>
        <v>96.615006593363717</v>
      </c>
      <c r="R159">
        <f ca="1"/>
        <v>0</v>
      </c>
      <c r="S159">
        <f ca="1"/>
        <v>0.36583989557326418</v>
      </c>
      <c r="T159">
        <f ca="1"/>
        <v>0</v>
      </c>
      <c r="U159">
        <f ca="1"/>
        <v>0</v>
      </c>
      <c r="V159">
        <f ca="1"/>
        <v>0.99900254904822994</v>
      </c>
      <c r="Y159" s="2">
        <f t="shared" ca="1" si="15"/>
        <v>45667</v>
      </c>
      <c r="Z159">
        <f t="shared" ca="1" si="16"/>
        <v>0</v>
      </c>
      <c r="AB159" s="63">
        <f t="shared" ca="1" si="18"/>
        <v>93.958014135455699</v>
      </c>
      <c r="AC159" s="63">
        <f t="shared" ca="1" si="19"/>
        <v>93.958014135455699</v>
      </c>
      <c r="AD159" s="3">
        <f t="shared" ca="1" si="20"/>
        <v>0</v>
      </c>
    </row>
    <row r="160" spans="8:30">
      <c r="H160" t="b">
        <f t="shared" ca="1" si="17"/>
        <v>1</v>
      </c>
      <c r="I160" t="b">
        <f t="shared" ca="1" si="14"/>
        <v>1</v>
      </c>
      <c r="J160" s="2">
        <f ca="1"/>
        <v>45668</v>
      </c>
      <c r="K160">
        <f ca="1"/>
        <v>82.672577404302871</v>
      </c>
      <c r="L160">
        <f ca="1"/>
        <v>5.9050757899375412</v>
      </c>
      <c r="M160">
        <f ca="1"/>
        <v>6.4839370094755822E-3</v>
      </c>
      <c r="N160">
        <f ca="1"/>
        <v>0.5545233278341517</v>
      </c>
      <c r="O160">
        <f ca="1"/>
        <v>0</v>
      </c>
      <c r="P160">
        <f ca="1"/>
        <v>160.66931545047737</v>
      </c>
      <c r="Q160">
        <f ca="1"/>
        <v>100.30138102734473</v>
      </c>
      <c r="R160">
        <f ca="1"/>
        <v>0</v>
      </c>
      <c r="S160">
        <f ca="1"/>
        <v>0.34865598281554983</v>
      </c>
      <c r="T160">
        <f ca="1"/>
        <v>0</v>
      </c>
      <c r="U160">
        <f ca="1"/>
        <v>0</v>
      </c>
      <c r="V160">
        <f ca="1"/>
        <v>0.99915842700334978</v>
      </c>
      <c r="Y160" s="2">
        <f t="shared" ca="1" si="15"/>
        <v>45668</v>
      </c>
      <c r="Z160">
        <f t="shared" ca="1" si="16"/>
        <v>0</v>
      </c>
      <c r="AB160" s="63">
        <f t="shared" ca="1" si="18"/>
        <v>88.577653194240412</v>
      </c>
      <c r="AC160" s="63">
        <f t="shared" ca="1" si="19"/>
        <v>88.577653194240412</v>
      </c>
      <c r="AD160" s="3">
        <f t="shared" ca="1" si="20"/>
        <v>0</v>
      </c>
    </row>
    <row r="161" spans="8:30">
      <c r="H161" t="b">
        <f t="shared" ca="1" si="17"/>
        <v>1</v>
      </c>
      <c r="I161" t="b">
        <f t="shared" ca="1" si="14"/>
        <v>1</v>
      </c>
      <c r="J161" s="2">
        <f ca="1"/>
        <v>45669</v>
      </c>
      <c r="K161">
        <f ca="1"/>
        <v>77.245940649696308</v>
      </c>
      <c r="L161">
        <f ca="1"/>
        <v>5.9781364175777867</v>
      </c>
      <c r="M161">
        <f ca="1"/>
        <v>5.989049840980698E-3</v>
      </c>
      <c r="N161">
        <f ca="1"/>
        <v>0.54551061313024185</v>
      </c>
      <c r="O161">
        <f ca="1"/>
        <v>0</v>
      </c>
      <c r="P161">
        <f ca="1"/>
        <v>166.64745186805516</v>
      </c>
      <c r="Q161">
        <f ca="1"/>
        <v>104.03336517734714</v>
      </c>
      <c r="R161">
        <f ca="1"/>
        <v>0</v>
      </c>
      <c r="S161">
        <f ca="1"/>
        <v>0.32754380693829832</v>
      </c>
      <c r="T161">
        <f ca="1"/>
        <v>0</v>
      </c>
      <c r="U161">
        <f ca="1"/>
        <v>0</v>
      </c>
      <c r="V161">
        <f ca="1"/>
        <v>0.99929075793693933</v>
      </c>
      <c r="Y161" s="2">
        <f t="shared" ca="1" si="15"/>
        <v>45669</v>
      </c>
      <c r="Z161">
        <f t="shared" ca="1" si="16"/>
        <v>0</v>
      </c>
      <c r="AB161" s="63">
        <f t="shared" ca="1" si="18"/>
        <v>83.224077067274095</v>
      </c>
      <c r="AC161" s="63">
        <f t="shared" ca="1" si="19"/>
        <v>83.224077067274095</v>
      </c>
      <c r="AD161" s="3">
        <f t="shared" ca="1" si="20"/>
        <v>0</v>
      </c>
    </row>
    <row r="162" spans="8:30">
      <c r="H162" t="b">
        <f t="shared" ca="1" si="17"/>
        <v>1</v>
      </c>
      <c r="I162" t="b">
        <f t="shared" ca="1" si="14"/>
        <v>1</v>
      </c>
      <c r="J162" s="2">
        <f ca="1"/>
        <v>45670</v>
      </c>
      <c r="K162">
        <f ca="1"/>
        <v>71.767430265450088</v>
      </c>
      <c r="L162">
        <f ca="1"/>
        <v>6.0510336801112032</v>
      </c>
      <c r="M162">
        <f ca="1"/>
        <v>6.2852867973663962E-3</v>
      </c>
      <c r="N162">
        <f ca="1"/>
        <v>0.56623800906761657</v>
      </c>
      <c r="O162">
        <f ca="1"/>
        <v>0</v>
      </c>
      <c r="P162">
        <f ca="1"/>
        <v>172.69848554816636</v>
      </c>
      <c r="Q162">
        <f ca="1"/>
        <v>107.81085705908234</v>
      </c>
      <c r="R162">
        <f ca="1"/>
        <v>0</v>
      </c>
      <c r="S162">
        <f ca="1"/>
        <v>0.34869011748703749</v>
      </c>
      <c r="T162">
        <f ca="1"/>
        <v>0</v>
      </c>
      <c r="U162">
        <f ca="1"/>
        <v>0</v>
      </c>
      <c r="V162">
        <f ca="1"/>
        <v>0.99940318630690694</v>
      </c>
      <c r="Y162" s="2">
        <f t="shared" ca="1" si="15"/>
        <v>45670</v>
      </c>
      <c r="Z162">
        <f t="shared" ca="1" si="16"/>
        <v>0</v>
      </c>
      <c r="AB162" s="63">
        <f t="shared" ca="1" si="18"/>
        <v>77.818463945561291</v>
      </c>
      <c r="AC162" s="63">
        <f t="shared" ca="1" si="19"/>
        <v>77.818463945561291</v>
      </c>
      <c r="AD162" s="3">
        <f t="shared" ca="1" si="20"/>
        <v>0</v>
      </c>
    </row>
    <row r="163" spans="8:30">
      <c r="H163" t="b">
        <f t="shared" ca="1" si="17"/>
        <v>1</v>
      </c>
      <c r="I163" t="b">
        <f t="shared" ca="1" si="14"/>
        <v>1</v>
      </c>
      <c r="J163" s="2">
        <f ca="1"/>
        <v>45671</v>
      </c>
      <c r="K163">
        <f ca="1"/>
        <v>66.217971399475417</v>
      </c>
      <c r="L163">
        <f ca="1"/>
        <v>6.1295774325943739</v>
      </c>
      <c r="M163">
        <f ca="1"/>
        <v>6.1757431172217991E-3</v>
      </c>
      <c r="N163">
        <f ca="1"/>
        <v>0.57394282350248071</v>
      </c>
      <c r="O163">
        <f ca="1"/>
        <v>0</v>
      </c>
      <c r="P163">
        <f ca="1"/>
        <v>178.82806298076073</v>
      </c>
      <c r="Q163">
        <f ca="1"/>
        <v>111.63738161904264</v>
      </c>
      <c r="R163">
        <f ca="1"/>
        <v>0</v>
      </c>
      <c r="S163">
        <f ca="1"/>
        <v>0.34641840452448008</v>
      </c>
      <c r="T163">
        <f ca="1"/>
        <v>0</v>
      </c>
      <c r="U163">
        <f ca="1"/>
        <v>0</v>
      </c>
      <c r="V163">
        <f ca="1"/>
        <v>0.99949883309852527</v>
      </c>
      <c r="Y163" s="2">
        <f t="shared" ca="1" si="15"/>
        <v>45671</v>
      </c>
      <c r="Z163">
        <f t="shared" ca="1" si="16"/>
        <v>0</v>
      </c>
      <c r="AB163" s="63">
        <f t="shared" ca="1" si="18"/>
        <v>72.347548832069791</v>
      </c>
      <c r="AC163" s="63">
        <f t="shared" ca="1" si="19"/>
        <v>72.347548832069791</v>
      </c>
      <c r="AD163" s="3">
        <f t="shared" ca="1" si="20"/>
        <v>0</v>
      </c>
    </row>
    <row r="164" spans="8:30">
      <c r="H164" t="b">
        <f t="shared" ca="1" si="17"/>
        <v>1</v>
      </c>
      <c r="I164" t="b">
        <f t="shared" ca="1" si="14"/>
        <v>1</v>
      </c>
      <c r="J164" s="2">
        <f ca="1"/>
        <v>45672</v>
      </c>
      <c r="K164">
        <f ca="1"/>
        <v>136.28874847071023</v>
      </c>
      <c r="L164">
        <f ca="1"/>
        <v>6.1113727119823125</v>
      </c>
      <c r="M164">
        <f ca="1"/>
        <v>5.7401081813104327E-3</v>
      </c>
      <c r="N164">
        <f ca="1"/>
        <v>0.56219193717066696</v>
      </c>
      <c r="O164">
        <f ca="1"/>
        <v>75.614217737865161</v>
      </c>
      <c r="P164">
        <f ca="1"/>
        <v>184.93943569274305</v>
      </c>
      <c r="Q164">
        <f ca="1"/>
        <v>115.45254147869608</v>
      </c>
      <c r="R164">
        <f ca="1"/>
        <v>0</v>
      </c>
      <c r="S164">
        <f ca="1"/>
        <v>0.33104211996059868</v>
      </c>
      <c r="T164">
        <f ca="1"/>
        <v>0</v>
      </c>
      <c r="U164">
        <f ca="1"/>
        <v>0</v>
      </c>
      <c r="V164">
        <f ca="1"/>
        <v>0.99957903974117901</v>
      </c>
      <c r="Y164" s="2">
        <f t="shared" ca="1" si="15"/>
        <v>45672</v>
      </c>
      <c r="Z164">
        <f t="shared" ca="1" si="16"/>
        <v>75.614217737865161</v>
      </c>
      <c r="AB164" s="63">
        <f t="shared" ca="1" si="18"/>
        <v>142.40012118269254</v>
      </c>
      <c r="AC164" s="63">
        <f t="shared" ca="1" si="19"/>
        <v>142.40012118269254</v>
      </c>
      <c r="AD164" s="3">
        <f t="shared" ca="1" si="20"/>
        <v>0</v>
      </c>
    </row>
    <row r="165" spans="8:30">
      <c r="H165" t="b">
        <f t="shared" ca="1" si="17"/>
        <v>1</v>
      </c>
      <c r="I165" t="b">
        <f t="shared" ca="1" si="14"/>
        <v>1</v>
      </c>
      <c r="J165" s="2">
        <f ca="1"/>
        <v>45673</v>
      </c>
      <c r="K165">
        <f ca="1"/>
        <v>130.78130523552119</v>
      </c>
      <c r="L165">
        <f ca="1"/>
        <v>6.0816912916072283</v>
      </c>
      <c r="M165">
        <f ca="1"/>
        <v>5.766374358360693E-3</v>
      </c>
      <c r="N165">
        <f ca="1"/>
        <v>0.56848168205981664</v>
      </c>
      <c r="O165">
        <f ca="1"/>
        <v>0</v>
      </c>
      <c r="P165">
        <f ca="1"/>
        <v>191.02112698435027</v>
      </c>
      <c r="Q165">
        <f ca="1"/>
        <v>119.2491720538615</v>
      </c>
      <c r="R165">
        <f ca="1"/>
        <v>0</v>
      </c>
      <c r="S165">
        <f ca="1"/>
        <v>0.34155356294376105</v>
      </c>
      <c r="T165">
        <f ca="1"/>
        <v>0</v>
      </c>
      <c r="U165">
        <f ca="1"/>
        <v>0</v>
      </c>
      <c r="V165">
        <f ca="1"/>
        <v>0.99964634856401458</v>
      </c>
      <c r="Y165" s="2">
        <f t="shared" ca="1" si="15"/>
        <v>45673</v>
      </c>
      <c r="Z165">
        <f t="shared" ca="1" si="16"/>
        <v>0</v>
      </c>
      <c r="AB165" s="63">
        <f t="shared" ca="1" si="18"/>
        <v>136.86299652712842</v>
      </c>
      <c r="AC165" s="63">
        <f t="shared" ca="1" si="19"/>
        <v>136.86299652712842</v>
      </c>
      <c r="AD165" s="3">
        <f t="shared" ca="1" si="20"/>
        <v>0</v>
      </c>
    </row>
    <row r="166" spans="8:30">
      <c r="H166" t="b">
        <f t="shared" ca="1" si="17"/>
        <v>1</v>
      </c>
      <c r="I166" t="b">
        <f t="shared" ca="1" si="14"/>
        <v>1</v>
      </c>
      <c r="J166" s="2">
        <f ca="1"/>
        <v>45674</v>
      </c>
      <c r="K166">
        <f ca="1"/>
        <v>125.37741994686058</v>
      </c>
      <c r="L166">
        <f ca="1"/>
        <v>5.972971268499947</v>
      </c>
      <c r="M166">
        <f ca="1"/>
        <v>5.6349603662155801E-3</v>
      </c>
      <c r="N166">
        <f ca="1"/>
        <v>0.56345101947312159</v>
      </c>
      <c r="O166">
        <f ca="1"/>
        <v>0</v>
      </c>
      <c r="P166">
        <f ca="1"/>
        <v>196.99409825285022</v>
      </c>
      <c r="Q166">
        <f ca="1"/>
        <v>122.97793174507868</v>
      </c>
      <c r="R166">
        <f ca="1"/>
        <v>0</v>
      </c>
      <c r="S166">
        <f ca="1"/>
        <v>0.3476820195678057</v>
      </c>
      <c r="T166">
        <f ca="1"/>
        <v>0</v>
      </c>
      <c r="U166">
        <f ca="1"/>
        <v>0</v>
      </c>
      <c r="V166">
        <f ca="1"/>
        <v>0.99970228672018679</v>
      </c>
      <c r="Y166" s="2">
        <f t="shared" ca="1" si="15"/>
        <v>45674</v>
      </c>
      <c r="Z166">
        <f t="shared" ca="1" si="16"/>
        <v>0</v>
      </c>
      <c r="AB166" s="63">
        <f t="shared" ca="1" si="18"/>
        <v>131.35039121536053</v>
      </c>
      <c r="AC166" s="63">
        <f t="shared" ca="1" si="19"/>
        <v>131.35039121536053</v>
      </c>
      <c r="AD166" s="3">
        <f t="shared" ca="1" si="20"/>
        <v>0</v>
      </c>
    </row>
    <row r="167" spans="8:30">
      <c r="H167" t="b">
        <f t="shared" ca="1" si="17"/>
        <v>1</v>
      </c>
      <c r="I167" t="b">
        <f t="shared" ca="1" si="14"/>
        <v>1</v>
      </c>
      <c r="J167" s="2">
        <f ca="1"/>
        <v>45675</v>
      </c>
      <c r="K167">
        <f ca="1"/>
        <v>120.00754782308205</v>
      </c>
      <c r="L167">
        <f ca="1"/>
        <v>5.9385084142207063</v>
      </c>
      <c r="M167">
        <f ca="1"/>
        <v>5.4576721760302149E-3</v>
      </c>
      <c r="N167">
        <f ca="1"/>
        <v>0.5631786182661298</v>
      </c>
      <c r="O167">
        <f ca="1"/>
        <v>0</v>
      </c>
      <c r="P167">
        <f ca="1"/>
        <v>202.93260666707093</v>
      </c>
      <c r="Q167">
        <f ca="1"/>
        <v>126.68517723572393</v>
      </c>
      <c r="R167">
        <f ca="1"/>
        <v>0</v>
      </c>
      <c r="S167">
        <f ca="1"/>
        <v>0.34421261151265042</v>
      </c>
      <c r="T167">
        <f ca="1"/>
        <v>0</v>
      </c>
      <c r="U167">
        <f ca="1"/>
        <v>0</v>
      </c>
      <c r="V167">
        <f ca="1"/>
        <v>0.99974949629632404</v>
      </c>
      <c r="Y167" s="2">
        <f t="shared" ca="1" si="15"/>
        <v>45675</v>
      </c>
      <c r="Z167">
        <f t="shared" ca="1" si="16"/>
        <v>0</v>
      </c>
      <c r="AB167" s="63">
        <f t="shared" ca="1" si="18"/>
        <v>125.94605623730276</v>
      </c>
      <c r="AC167" s="63">
        <f t="shared" ca="1" si="19"/>
        <v>125.94605623730276</v>
      </c>
      <c r="AD167" s="3">
        <f t="shared" ca="1" si="20"/>
        <v>0</v>
      </c>
    </row>
    <row r="168" spans="8:30">
      <c r="H168" t="b">
        <f t="shared" ca="1" si="17"/>
        <v>1</v>
      </c>
      <c r="I168" t="b">
        <f t="shared" ca="1" si="14"/>
        <v>1</v>
      </c>
      <c r="J168" s="2">
        <f ca="1"/>
        <v>45676</v>
      </c>
      <c r="K168">
        <f ca="1"/>
        <v>114.62074447476267</v>
      </c>
      <c r="L168">
        <f ca="1"/>
        <v>5.966109868933728</v>
      </c>
      <c r="M168">
        <f ca="1"/>
        <v>5.3957865631826252E-3</v>
      </c>
      <c r="N168">
        <f ca="1"/>
        <v>0.57391073405116955</v>
      </c>
      <c r="O168">
        <f ca="1"/>
        <v>0</v>
      </c>
      <c r="P168">
        <f ca="1"/>
        <v>208.89871653600466</v>
      </c>
      <c r="Q168">
        <f ca="1"/>
        <v>130.40965354619507</v>
      </c>
      <c r="R168">
        <f ca="1"/>
        <v>0</v>
      </c>
      <c r="S168">
        <f ca="1"/>
        <v>0.34210538816213348</v>
      </c>
      <c r="T168">
        <f ca="1"/>
        <v>0</v>
      </c>
      <c r="U168">
        <f ca="1"/>
        <v>0</v>
      </c>
      <c r="V168">
        <f ca="1"/>
        <v>0.99978979190616746</v>
      </c>
      <c r="Y168" s="2">
        <f t="shared" ca="1" si="15"/>
        <v>45676</v>
      </c>
      <c r="Z168">
        <f t="shared" ca="1" si="16"/>
        <v>0</v>
      </c>
      <c r="AB168" s="63">
        <f t="shared" ca="1" si="18"/>
        <v>120.5868543436964</v>
      </c>
      <c r="AC168" s="63">
        <f t="shared" ca="1" si="19"/>
        <v>120.5868543436964</v>
      </c>
      <c r="AD168" s="3">
        <f t="shared" ca="1" si="20"/>
        <v>0</v>
      </c>
    </row>
    <row r="169" spans="8:30">
      <c r="H169" t="b">
        <f t="shared" ca="1" si="17"/>
        <v>1</v>
      </c>
      <c r="I169" t="b">
        <f t="shared" ca="1" si="14"/>
        <v>1</v>
      </c>
      <c r="J169" s="2">
        <f ca="1"/>
        <v>45677</v>
      </c>
      <c r="K169">
        <f ca="1"/>
        <v>109.31875698374812</v>
      </c>
      <c r="L169">
        <f ca="1"/>
        <v>5.8648899722295198</v>
      </c>
      <c r="M169">
        <f ca="1"/>
        <v>4.9436281092543055E-3</v>
      </c>
      <c r="N169">
        <f ca="1"/>
        <v>0.5579588531057007</v>
      </c>
      <c r="O169">
        <f ca="1"/>
        <v>0</v>
      </c>
      <c r="P169">
        <f ca="1"/>
        <v>214.76360650823418</v>
      </c>
      <c r="Q169">
        <f ca="1"/>
        <v>134.07094109284779</v>
      </c>
      <c r="R169">
        <f ca="1"/>
        <v>0</v>
      </c>
      <c r="S169">
        <f ca="1"/>
        <v>0.32281868374070122</v>
      </c>
      <c r="T169">
        <f ca="1"/>
        <v>0</v>
      </c>
      <c r="U169">
        <f ca="1"/>
        <v>0</v>
      </c>
      <c r="V169">
        <f ca="1"/>
        <v>0.99982349130137749</v>
      </c>
      <c r="Y169" s="2">
        <f t="shared" ca="1" si="15"/>
        <v>45677</v>
      </c>
      <c r="Z169">
        <f t="shared" ca="1" si="16"/>
        <v>0</v>
      </c>
      <c r="AB169" s="63">
        <f t="shared" ca="1" si="18"/>
        <v>115.18364695597764</v>
      </c>
      <c r="AC169" s="63">
        <f t="shared" ca="1" si="19"/>
        <v>115.18364695597764</v>
      </c>
      <c r="AD169" s="3">
        <f t="shared" ca="1" si="20"/>
        <v>0</v>
      </c>
    </row>
    <row r="170" spans="8:30">
      <c r="H170" t="b">
        <f t="shared" ca="1" si="17"/>
        <v>1</v>
      </c>
      <c r="I170" t="b">
        <f t="shared" ca="1" si="14"/>
        <v>1</v>
      </c>
      <c r="J170" s="2">
        <f ca="1"/>
        <v>45678</v>
      </c>
      <c r="K170">
        <f ca="1"/>
        <v>104.11451768173099</v>
      </c>
      <c r="L170">
        <f ca="1"/>
        <v>5.8440332919537923</v>
      </c>
      <c r="M170">
        <f ca="1"/>
        <v>6.2447499596540723E-3</v>
      </c>
      <c r="N170">
        <f ca="1"/>
        <v>0.63354923997701906</v>
      </c>
      <c r="O170">
        <f ca="1"/>
        <v>0</v>
      </c>
      <c r="P170">
        <f ca="1"/>
        <v>220.60763980018797</v>
      </c>
      <c r="Q170">
        <f ca="1"/>
        <v>137.71920839459912</v>
      </c>
      <c r="R170">
        <f ca="1"/>
        <v>0</v>
      </c>
      <c r="S170">
        <f ca="1"/>
        <v>0.41241793959504092</v>
      </c>
      <c r="T170">
        <f ca="1"/>
        <v>0</v>
      </c>
      <c r="U170">
        <f ca="1"/>
        <v>0</v>
      </c>
      <c r="V170">
        <f ca="1"/>
        <v>0.99985210735383834</v>
      </c>
      <c r="Y170" s="2">
        <f t="shared" ca="1" si="15"/>
        <v>45678</v>
      </c>
      <c r="Z170">
        <f t="shared" ca="1" si="16"/>
        <v>0</v>
      </c>
      <c r="AB170" s="63">
        <f t="shared" ca="1" si="18"/>
        <v>109.95855097368478</v>
      </c>
      <c r="AC170" s="63">
        <f t="shared" ca="1" si="19"/>
        <v>109.95855097368478</v>
      </c>
      <c r="AD170" s="3">
        <f t="shared" ca="1" si="20"/>
        <v>0</v>
      </c>
    </row>
    <row r="171" spans="8:30">
      <c r="H171" t="b">
        <f t="shared" ca="1" si="17"/>
        <v>1</v>
      </c>
      <c r="I171" t="b">
        <f t="shared" ca="1" si="14"/>
        <v>1</v>
      </c>
      <c r="J171" s="2">
        <f ca="1"/>
        <v>45679</v>
      </c>
      <c r="K171">
        <f ca="1"/>
        <v>99.00369430756291</v>
      </c>
      <c r="L171">
        <f ca="1"/>
        <v>5.7654438573651419</v>
      </c>
      <c r="M171">
        <f ca="1"/>
        <v>6.2822538446649645E-3</v>
      </c>
      <c r="N171">
        <f ca="1"/>
        <v>0.64833822935241026</v>
      </c>
      <c r="O171">
        <f ca="1"/>
        <v>0</v>
      </c>
      <c r="P171">
        <f ca="1"/>
        <v>226.37308365755311</v>
      </c>
      <c r="Q171">
        <f ca="1"/>
        <v>141.31841450005854</v>
      </c>
      <c r="R171">
        <f ca="1"/>
        <v>0</v>
      </c>
      <c r="S171">
        <f ca="1"/>
        <v>0.42537605447381682</v>
      </c>
      <c r="T171">
        <f ca="1"/>
        <v>0</v>
      </c>
      <c r="U171">
        <f ca="1"/>
        <v>0</v>
      </c>
      <c r="V171">
        <f ca="1"/>
        <v>0.99987618889586705</v>
      </c>
      <c r="Y171" s="2">
        <f t="shared" ca="1" si="15"/>
        <v>45679</v>
      </c>
      <c r="Z171">
        <f t="shared" ca="1" si="16"/>
        <v>0</v>
      </c>
      <c r="AB171" s="63">
        <f t="shared" ca="1" si="18"/>
        <v>104.76913816492805</v>
      </c>
      <c r="AC171" s="63">
        <f t="shared" ca="1" si="19"/>
        <v>104.76913816492805</v>
      </c>
      <c r="AD171" s="3">
        <f t="shared" ca="1" si="20"/>
        <v>0</v>
      </c>
    </row>
    <row r="172" spans="8:30">
      <c r="H172" t="b">
        <f t="shared" ca="1" si="17"/>
        <v>1</v>
      </c>
      <c r="I172" t="b">
        <f t="shared" ca="1" si="14"/>
        <v>1</v>
      </c>
      <c r="J172" s="2">
        <f ca="1"/>
        <v>45680</v>
      </c>
      <c r="K172">
        <f ca="1"/>
        <v>93.999513667435565</v>
      </c>
      <c r="L172">
        <f ca="1"/>
        <v>5.6534224987853463</v>
      </c>
      <c r="M172">
        <f ca="1"/>
        <v>5.9921078867901656E-3</v>
      </c>
      <c r="N172">
        <f ca="1"/>
        <v>0.64324975077121216</v>
      </c>
      <c r="O172">
        <f ca="1"/>
        <v>0</v>
      </c>
      <c r="P172">
        <f ca="1"/>
        <v>232.02650615633846</v>
      </c>
      <c r="Q172">
        <f ca="1"/>
        <v>144.84768878973466</v>
      </c>
      <c r="R172">
        <f ca="1"/>
        <v>0</v>
      </c>
      <c r="S172">
        <f ca="1"/>
        <v>0.41805304846146463</v>
      </c>
      <c r="T172">
        <f ca="1"/>
        <v>0</v>
      </c>
      <c r="U172">
        <f ca="1"/>
        <v>0</v>
      </c>
      <c r="V172">
        <f ca="1"/>
        <v>0.99989636899710566</v>
      </c>
      <c r="Y172" s="2">
        <f t="shared" ca="1" si="15"/>
        <v>45680</v>
      </c>
      <c r="Z172">
        <f t="shared" ca="1" si="16"/>
        <v>0</v>
      </c>
      <c r="AB172" s="63">
        <f t="shared" ca="1" si="18"/>
        <v>99.652936166220911</v>
      </c>
      <c r="AC172" s="63">
        <f t="shared" ca="1" si="19"/>
        <v>99.652936166220911</v>
      </c>
      <c r="AD172" s="3">
        <f t="shared" ca="1" si="20"/>
        <v>0</v>
      </c>
    </row>
    <row r="173" spans="8:30">
      <c r="H173" t="b">
        <f t="shared" ca="1" si="17"/>
        <v>1</v>
      </c>
      <c r="I173" t="b">
        <f t="shared" ca="1" si="14"/>
        <v>1</v>
      </c>
      <c r="J173" s="2">
        <f ca="1"/>
        <v>45681</v>
      </c>
      <c r="K173">
        <f ca="1"/>
        <v>89.120507608310987</v>
      </c>
      <c r="L173">
        <f ca="1"/>
        <v>5.5364804639095553</v>
      </c>
      <c r="M173">
        <f ca="1"/>
        <v>5.9324260085116265E-3</v>
      </c>
      <c r="N173">
        <f ca="1"/>
        <v>0.65154197877646347</v>
      </c>
      <c r="O173">
        <f ca="1"/>
        <v>0</v>
      </c>
      <c r="P173">
        <f ca="1"/>
        <v>237.56298662024801</v>
      </c>
      <c r="Q173">
        <f ca="1"/>
        <v>148.30395942239451</v>
      </c>
      <c r="R173">
        <f ca="1"/>
        <v>0</v>
      </c>
      <c r="S173">
        <f ca="1"/>
        <v>0.42581075984322481</v>
      </c>
      <c r="T173">
        <f ca="1"/>
        <v>0</v>
      </c>
      <c r="U173">
        <f ca="1"/>
        <v>0</v>
      </c>
      <c r="V173">
        <f ca="1"/>
        <v>0.99991329264155582</v>
      </c>
      <c r="Y173" s="2">
        <f t="shared" ca="1" si="15"/>
        <v>45681</v>
      </c>
      <c r="Z173">
        <f t="shared" ca="1" si="16"/>
        <v>0</v>
      </c>
      <c r="AB173" s="63">
        <f t="shared" ca="1" si="18"/>
        <v>94.656988072220543</v>
      </c>
      <c r="AC173" s="63">
        <f t="shared" ca="1" si="19"/>
        <v>94.656988072220543</v>
      </c>
      <c r="AD173" s="3">
        <f t="shared" ca="1" si="20"/>
        <v>0</v>
      </c>
    </row>
    <row r="174" spans="8:30">
      <c r="H174" t="b">
        <f t="shared" ca="1" si="17"/>
        <v>1</v>
      </c>
      <c r="I174" t="b">
        <f t="shared" ca="1" si="14"/>
        <v>1</v>
      </c>
      <c r="J174" s="2">
        <f ca="1"/>
        <v>45682</v>
      </c>
      <c r="K174">
        <f ca="1"/>
        <v>84.33591798378967</v>
      </c>
      <c r="L174">
        <f ca="1"/>
        <v>5.4625277072284177</v>
      </c>
      <c r="M174">
        <f ca="1"/>
        <v>5.9896539986450392E-3</v>
      </c>
      <c r="N174">
        <f ca="1"/>
        <v>0.67194842870846694</v>
      </c>
      <c r="O174">
        <f ca="1"/>
        <v>0</v>
      </c>
      <c r="P174">
        <f ca="1"/>
        <v>243.02551432747643</v>
      </c>
      <c r="Q174">
        <f ca="1"/>
        <v>151.71406340770724</v>
      </c>
      <c r="R174">
        <f ca="1"/>
        <v>0</v>
      </c>
      <c r="S174">
        <f ca="1"/>
        <v>0.43685081279436933</v>
      </c>
      <c r="T174">
        <f ca="1"/>
        <v>0</v>
      </c>
      <c r="U174">
        <f ca="1"/>
        <v>0</v>
      </c>
      <c r="V174">
        <f ca="1"/>
        <v>0.99992760858368457</v>
      </c>
      <c r="Y174" s="2">
        <f t="shared" ca="1" si="15"/>
        <v>45682</v>
      </c>
      <c r="Z174">
        <f t="shared" ca="1" si="16"/>
        <v>0</v>
      </c>
      <c r="AB174" s="63">
        <f t="shared" ca="1" si="18"/>
        <v>89.798445691018088</v>
      </c>
      <c r="AC174" s="63">
        <f t="shared" ca="1" si="19"/>
        <v>89.798445691018088</v>
      </c>
      <c r="AD174" s="3">
        <f t="shared" ca="1" si="20"/>
        <v>0</v>
      </c>
    </row>
    <row r="175" spans="8:30">
      <c r="H175" t="b">
        <f t="shared" ca="1" si="17"/>
        <v>1</v>
      </c>
      <c r="I175" t="b">
        <f t="shared" ca="1" si="14"/>
        <v>1</v>
      </c>
      <c r="J175" s="2">
        <f ca="1"/>
        <v>45683</v>
      </c>
      <c r="K175">
        <f ca="1"/>
        <v>79.652413718865603</v>
      </c>
      <c r="L175">
        <f ca="1"/>
        <v>5.345160936095823</v>
      </c>
      <c r="M175">
        <f ca="1"/>
        <v>5.5114239581666169E-3</v>
      </c>
      <c r="N175">
        <f ca="1"/>
        <v>0.65614524721358414</v>
      </c>
      <c r="O175">
        <f ca="1"/>
        <v>0</v>
      </c>
      <c r="P175">
        <f ca="1"/>
        <v>248.37067526357225</v>
      </c>
      <c r="Q175">
        <f ca="1"/>
        <v>155.05089858498212</v>
      </c>
      <c r="R175">
        <f ca="1"/>
        <v>0</v>
      </c>
      <c r="S175">
        <f ca="1"/>
        <v>0.41142490019904576</v>
      </c>
      <c r="T175">
        <f ca="1"/>
        <v>0</v>
      </c>
      <c r="U175">
        <f ca="1"/>
        <v>0</v>
      </c>
      <c r="V175">
        <f ca="1"/>
        <v>0.9999396287889325</v>
      </c>
      <c r="Y175" s="2">
        <f t="shared" ca="1" si="15"/>
        <v>45683</v>
      </c>
      <c r="Z175">
        <f t="shared" ca="1" si="16"/>
        <v>0</v>
      </c>
      <c r="AB175" s="63">
        <f t="shared" ca="1" si="18"/>
        <v>84.997574654961426</v>
      </c>
      <c r="AC175" s="63">
        <f t="shared" ca="1" si="19"/>
        <v>84.997574654961426</v>
      </c>
      <c r="AD175" s="3">
        <f t="shared" ca="1" si="20"/>
        <v>0</v>
      </c>
    </row>
    <row r="176" spans="8:30">
      <c r="H176" t="b">
        <f t="shared" ca="1" si="17"/>
        <v>1</v>
      </c>
      <c r="I176" t="b">
        <f t="shared" ca="1" si="14"/>
        <v>1</v>
      </c>
      <c r="J176" s="2">
        <f ca="1"/>
        <v>45684</v>
      </c>
      <c r="K176">
        <f ca="1"/>
        <v>75.196720994443552</v>
      </c>
      <c r="L176">
        <f ca="1"/>
        <v>5.0993169729671024</v>
      </c>
      <c r="M176">
        <f ca="1"/>
        <v>5.1923531798774292E-3</v>
      </c>
      <c r="N176">
        <f ca="1"/>
        <v>0.6384318953651672</v>
      </c>
      <c r="O176">
        <f ca="1"/>
        <v>0</v>
      </c>
      <c r="P176">
        <f ca="1"/>
        <v>253.46999223653935</v>
      </c>
      <c r="Q176">
        <f ca="1"/>
        <v>158.23426021972082</v>
      </c>
      <c r="R176">
        <f ca="1"/>
        <v>0</v>
      </c>
      <c r="S176">
        <f ca="1"/>
        <v>0.40868679498310806</v>
      </c>
      <c r="T176">
        <f ca="1"/>
        <v>0</v>
      </c>
      <c r="U176">
        <f ca="1"/>
        <v>0</v>
      </c>
      <c r="V176">
        <f ca="1"/>
        <v>0.9999494976182447</v>
      </c>
      <c r="Y176" s="2">
        <f t="shared" ca="1" si="15"/>
        <v>45684</v>
      </c>
      <c r="Z176">
        <f t="shared" ca="1" si="16"/>
        <v>0</v>
      </c>
      <c r="AB176" s="63">
        <f t="shared" ca="1" si="18"/>
        <v>80.296037967410655</v>
      </c>
      <c r="AC176" s="63">
        <f t="shared" ca="1" si="19"/>
        <v>80.296037967410655</v>
      </c>
      <c r="AD176" s="3">
        <f t="shared" ca="1" si="20"/>
        <v>0</v>
      </c>
    </row>
    <row r="177" spans="8:30">
      <c r="H177" t="b">
        <f t="shared" ca="1" si="17"/>
        <v>1</v>
      </c>
      <c r="I177" t="b">
        <f t="shared" ca="1" si="14"/>
        <v>1</v>
      </c>
      <c r="J177" s="2">
        <f ca="1"/>
        <v>45685</v>
      </c>
      <c r="K177">
        <f ca="1"/>
        <v>70.855180994079205</v>
      </c>
      <c r="L177">
        <f ca="1"/>
        <v>4.9805420259696973</v>
      </c>
      <c r="M177">
        <f ca="1"/>
        <v>4.9171789450692671E-3</v>
      </c>
      <c r="N177">
        <f ca="1"/>
        <v>0.63408484666029175</v>
      </c>
      <c r="O177">
        <f ca="1"/>
        <v>0</v>
      </c>
      <c r="P177">
        <f ca="1"/>
        <v>258.45053426250905</v>
      </c>
      <c r="Q177">
        <f ca="1"/>
        <v>161.34347396142914</v>
      </c>
      <c r="R177">
        <f ca="1"/>
        <v>0</v>
      </c>
      <c r="S177">
        <f ca="1"/>
        <v>0.39404880024736233</v>
      </c>
      <c r="T177">
        <f ca="1"/>
        <v>0</v>
      </c>
      <c r="U177">
        <f ca="1"/>
        <v>0</v>
      </c>
      <c r="V177">
        <f ca="1"/>
        <v>0.99995781642159243</v>
      </c>
      <c r="Y177" s="2">
        <f t="shared" ca="1" si="15"/>
        <v>45685</v>
      </c>
      <c r="Z177">
        <f t="shared" ca="1" si="16"/>
        <v>0</v>
      </c>
      <c r="AB177" s="63">
        <f t="shared" ca="1" si="18"/>
        <v>75.835723020048903</v>
      </c>
      <c r="AC177" s="63">
        <f t="shared" ca="1" si="19"/>
        <v>75.835723020048903</v>
      </c>
      <c r="AD177" s="3">
        <f t="shared" ca="1" si="20"/>
        <v>0</v>
      </c>
    </row>
    <row r="178" spans="8:30">
      <c r="H178" t="b">
        <f t="shared" ca="1" si="17"/>
        <v>1</v>
      </c>
      <c r="I178" t="b">
        <f t="shared" ca="1" si="14"/>
        <v>1</v>
      </c>
      <c r="J178" s="2">
        <f ca="1"/>
        <v>45686</v>
      </c>
      <c r="K178">
        <f ca="1"/>
        <v>66.625432577354005</v>
      </c>
      <c r="L178">
        <f ca="1"/>
        <v>4.8725774387160641</v>
      </c>
      <c r="M178">
        <f ca="1"/>
        <v>4.7507299124678326E-3</v>
      </c>
      <c r="N178">
        <f ca="1"/>
        <v>0.63807829207839606</v>
      </c>
      <c r="O178">
        <f ca="1"/>
        <v>0</v>
      </c>
      <c r="P178">
        <f ca="1"/>
        <v>263.32311170122512</v>
      </c>
      <c r="Q178">
        <f ca="1"/>
        <v>164.38528841676327</v>
      </c>
      <c r="R178">
        <f ca="1"/>
        <v>0</v>
      </c>
      <c r="S178">
        <f ca="1"/>
        <v>0.38522266465962496</v>
      </c>
      <c r="T178">
        <f ca="1"/>
        <v>0</v>
      </c>
      <c r="U178">
        <f ca="1"/>
        <v>0</v>
      </c>
      <c r="V178">
        <f ca="1"/>
        <v>0.99996484397198615</v>
      </c>
      <c r="Y178" s="2">
        <f t="shared" ca="1" si="15"/>
        <v>45686</v>
      </c>
      <c r="Z178">
        <f t="shared" ca="1" si="16"/>
        <v>0</v>
      </c>
      <c r="AB178" s="63">
        <f t="shared" ca="1" si="18"/>
        <v>71.498010016070069</v>
      </c>
      <c r="AC178" s="63">
        <f t="shared" ca="1" si="19"/>
        <v>71.498010016070069</v>
      </c>
      <c r="AD178" s="3">
        <f t="shared" ca="1" si="20"/>
        <v>0</v>
      </c>
    </row>
    <row r="179" spans="8:30">
      <c r="H179" t="b">
        <f t="shared" ca="1" si="17"/>
        <v>1</v>
      </c>
      <c r="I179" t="b">
        <f t="shared" ca="1" si="14"/>
        <v>1</v>
      </c>
      <c r="J179" s="2">
        <f ca="1"/>
        <v>45687</v>
      </c>
      <c r="K179">
        <f ca="1"/>
        <v>62.530054068529822</v>
      </c>
      <c r="L179">
        <f ca="1"/>
        <v>4.7545116870784909</v>
      </c>
      <c r="M179">
        <f ca="1"/>
        <v>4.7722101936891193E-3</v>
      </c>
      <c r="N179">
        <f ca="1"/>
        <v>0.65436096806061073</v>
      </c>
      <c r="O179">
        <f ca="1"/>
        <v>0</v>
      </c>
      <c r="P179">
        <f ca="1"/>
        <v>268.07762338830361</v>
      </c>
      <c r="Q179">
        <f ca="1"/>
        <v>167.35339770998803</v>
      </c>
      <c r="R179">
        <f ca="1"/>
        <v>0</v>
      </c>
      <c r="S179">
        <f ca="1"/>
        <v>0.39162720651385963</v>
      </c>
      <c r="T179">
        <f ca="1"/>
        <v>0</v>
      </c>
      <c r="U179">
        <f ca="1"/>
        <v>0</v>
      </c>
      <c r="V179">
        <f ca="1"/>
        <v>0.99997076648124861</v>
      </c>
      <c r="Y179" s="2">
        <f t="shared" ca="1" si="15"/>
        <v>45687</v>
      </c>
      <c r="Z179">
        <f t="shared" ca="1" si="16"/>
        <v>0</v>
      </c>
      <c r="AB179" s="63">
        <f t="shared" ca="1" si="18"/>
        <v>67.284565755608313</v>
      </c>
      <c r="AC179" s="63">
        <f t="shared" ca="1" si="19"/>
        <v>67.284565755608313</v>
      </c>
      <c r="AD179" s="3">
        <f t="shared" ca="1" si="20"/>
        <v>0</v>
      </c>
    </row>
    <row r="180" spans="8:30">
      <c r="H180" t="b">
        <f t="shared" ca="1" si="17"/>
        <v>1</v>
      </c>
      <c r="I180" t="b">
        <f t="shared" ca="1" si="14"/>
        <v>1</v>
      </c>
      <c r="J180" s="2">
        <f ca="1"/>
        <v>45688</v>
      </c>
      <c r="K180">
        <f ca="1"/>
        <v>58.627716443050886</v>
      </c>
      <c r="L180">
        <f ca="1"/>
        <v>4.5590900798389953</v>
      </c>
      <c r="M180">
        <f ca="1"/>
        <v>4.6253848390040986E-3</v>
      </c>
      <c r="N180">
        <f ca="1"/>
        <v>0.65212706952106003</v>
      </c>
      <c r="O180">
        <f ca="1"/>
        <v>0</v>
      </c>
      <c r="P180">
        <f ca="1"/>
        <v>272.6367134681426</v>
      </c>
      <c r="Q180">
        <f ca="1"/>
        <v>170.19951073383336</v>
      </c>
      <c r="R180">
        <f ca="1"/>
        <v>0</v>
      </c>
      <c r="S180">
        <f ca="1"/>
        <v>0.39231898128660686</v>
      </c>
      <c r="T180">
        <f ca="1"/>
        <v>0</v>
      </c>
      <c r="U180">
        <f ca="1"/>
        <v>0</v>
      </c>
      <c r="V180">
        <f ca="1"/>
        <v>0.99997567764637019</v>
      </c>
      <c r="Y180" s="2">
        <f t="shared" ca="1" si="15"/>
        <v>45688</v>
      </c>
      <c r="Z180">
        <f t="shared" ca="1" si="16"/>
        <v>0</v>
      </c>
      <c r="AB180" s="63">
        <f t="shared" ca="1" si="18"/>
        <v>63.186806522889881</v>
      </c>
      <c r="AC180" s="63">
        <f t="shared" ca="1" si="19"/>
        <v>63.186806522889881</v>
      </c>
      <c r="AD180" s="3">
        <f t="shared" ca="1" si="20"/>
        <v>0</v>
      </c>
    </row>
    <row r="181" spans="8:30">
      <c r="H181" t="b">
        <f t="shared" ca="1" si="17"/>
        <v>1</v>
      </c>
      <c r="I181" t="b">
        <f t="shared" ca="1" si="14"/>
        <v>1</v>
      </c>
      <c r="J181" s="2">
        <f ca="1"/>
        <v>45689</v>
      </c>
      <c r="K181">
        <f ca="1"/>
        <v>54.871452566060398</v>
      </c>
      <c r="L181">
        <f ca="1"/>
        <v>4.3986958085672541</v>
      </c>
      <c r="M181">
        <f ca="1"/>
        <v>4.2622822975069141E-3</v>
      </c>
      <c r="N181">
        <f ca="1"/>
        <v>0.63816964927925823</v>
      </c>
      <c r="O181">
        <f ca="1"/>
        <v>0</v>
      </c>
      <c r="P181">
        <f ca="1"/>
        <v>277.03540927670986</v>
      </c>
      <c r="Q181">
        <f ca="1"/>
        <v>172.94549407907564</v>
      </c>
      <c r="R181">
        <f ca="1"/>
        <v>0</v>
      </c>
      <c r="S181">
        <f ca="1"/>
        <v>0.36917351205320859</v>
      </c>
      <c r="T181">
        <f ca="1"/>
        <v>0</v>
      </c>
      <c r="U181">
        <f ca="1"/>
        <v>0</v>
      </c>
      <c r="V181">
        <f ca="1"/>
        <v>0.99997978267627963</v>
      </c>
      <c r="Y181" s="2">
        <f t="shared" ca="1" si="15"/>
        <v>45689</v>
      </c>
      <c r="Z181">
        <f t="shared" ca="1" si="16"/>
        <v>0</v>
      </c>
      <c r="AB181" s="63">
        <f t="shared" ca="1" si="18"/>
        <v>59.270148374627645</v>
      </c>
      <c r="AC181" s="63">
        <f t="shared" ca="1" si="19"/>
        <v>59.270148374627652</v>
      </c>
      <c r="AD181" s="3">
        <f t="shared" ca="1" si="20"/>
        <v>0</v>
      </c>
    </row>
    <row r="182" spans="8:30">
      <c r="H182" t="b">
        <f t="shared" ca="1" si="17"/>
        <v>1</v>
      </c>
      <c r="I182" t="b">
        <f t="shared" ca="1" si="14"/>
        <v>1</v>
      </c>
      <c r="J182" s="2">
        <f ca="1"/>
        <v>45690</v>
      </c>
      <c r="K182">
        <f ca="1"/>
        <v>51.352988155682603</v>
      </c>
      <c r="L182">
        <f ca="1"/>
        <v>4.1683464078944894</v>
      </c>
      <c r="M182">
        <f ca="1"/>
        <v>4.3263402184461341E-3</v>
      </c>
      <c r="N182">
        <f ca="1"/>
        <v>0.64555565729824305</v>
      </c>
      <c r="O182">
        <f ca="1"/>
        <v>0</v>
      </c>
      <c r="P182">
        <f ca="1"/>
        <v>281.20375568460435</v>
      </c>
      <c r="Q182">
        <f ca="1"/>
        <v>175.5476767057954</v>
      </c>
      <c r="R182">
        <f ca="1"/>
        <v>0</v>
      </c>
      <c r="S182">
        <f ca="1"/>
        <v>0.39109632160126917</v>
      </c>
      <c r="T182">
        <f ca="1"/>
        <v>0</v>
      </c>
      <c r="U182">
        <f ca="1"/>
        <v>0</v>
      </c>
      <c r="V182">
        <f ca="1"/>
        <v>0.99998316028214862</v>
      </c>
      <c r="Y182" s="2">
        <f t="shared" ca="1" si="15"/>
        <v>45690</v>
      </c>
      <c r="Z182">
        <f t="shared" ca="1" si="16"/>
        <v>0</v>
      </c>
      <c r="AB182" s="63">
        <f t="shared" ca="1" si="18"/>
        <v>55.521334563577092</v>
      </c>
      <c r="AC182" s="63">
        <f t="shared" ca="1" si="19"/>
        <v>55.521334563577092</v>
      </c>
      <c r="AD182" s="3">
        <f t="shared" ca="1" si="20"/>
        <v>0</v>
      </c>
    </row>
    <row r="183" spans="8:30">
      <c r="H183" t="b">
        <f t="shared" ca="1" si="17"/>
        <v>1</v>
      </c>
      <c r="I183" t="b">
        <f t="shared" ca="1" si="14"/>
        <v>1</v>
      </c>
      <c r="J183" s="2">
        <f ca="1"/>
        <v>45691</v>
      </c>
      <c r="K183">
        <f ca="1"/>
        <v>48.028541479335338</v>
      </c>
      <c r="L183">
        <f ca="1"/>
        <v>3.9446175034266275</v>
      </c>
      <c r="M183">
        <f ca="1"/>
        <v>3.8868943877350404E-3</v>
      </c>
      <c r="N183">
        <f ca="1"/>
        <v>0.61628393269162651</v>
      </c>
      <c r="O183">
        <f ca="1"/>
        <v>0</v>
      </c>
      <c r="P183">
        <f ca="1"/>
        <v>285.14837318803097</v>
      </c>
      <c r="Q183">
        <f ca="1"/>
        <v>178.01019160547628</v>
      </c>
      <c r="R183">
        <f ca="1"/>
        <v>0</v>
      </c>
      <c r="S183">
        <f ca="1"/>
        <v>0.36647910368660636</v>
      </c>
      <c r="T183">
        <f ca="1"/>
        <v>0</v>
      </c>
      <c r="U183">
        <f ca="1"/>
        <v>0</v>
      </c>
      <c r="V183">
        <f ca="1"/>
        <v>0.99998594473321223</v>
      </c>
      <c r="Y183" s="2">
        <f t="shared" ca="1" si="15"/>
        <v>45691</v>
      </c>
      <c r="Z183">
        <f t="shared" ca="1" si="16"/>
        <v>0</v>
      </c>
      <c r="AB183" s="63">
        <f t="shared" ca="1" si="18"/>
        <v>51.973158982761966</v>
      </c>
      <c r="AC183" s="63">
        <f t="shared" ca="1" si="19"/>
        <v>51.973158982761966</v>
      </c>
      <c r="AD183" s="3">
        <f t="shared" ca="1" si="20"/>
        <v>0</v>
      </c>
    </row>
    <row r="184" spans="8:30">
      <c r="H184" t="b">
        <f t="shared" ca="1" si="17"/>
        <v>1</v>
      </c>
      <c r="I184" t="b">
        <f t="shared" ca="1" si="14"/>
        <v>1</v>
      </c>
      <c r="J184" s="2">
        <f ca="1"/>
        <v>45692</v>
      </c>
      <c r="K184">
        <f ca="1"/>
        <v>44.993788434704818</v>
      </c>
      <c r="L184">
        <f ca="1"/>
        <v>3.6519276505401876</v>
      </c>
      <c r="M184">
        <f ca="1"/>
        <v>3.9473964720979637E-3</v>
      </c>
      <c r="N184">
        <f ca="1"/>
        <v>0.61322720943756504</v>
      </c>
      <c r="O184">
        <f ca="1"/>
        <v>0</v>
      </c>
      <c r="P184">
        <f ca="1"/>
        <v>288.80030083857116</v>
      </c>
      <c r="Q184">
        <f ca="1"/>
        <v>180.28998837771081</v>
      </c>
      <c r="R184">
        <f ca="1"/>
        <v>0</v>
      </c>
      <c r="S184">
        <f ca="1"/>
        <v>0.39881647056471969</v>
      </c>
      <c r="T184">
        <f ca="1"/>
        <v>0</v>
      </c>
      <c r="U184">
        <f ca="1"/>
        <v>0</v>
      </c>
      <c r="V184">
        <f ca="1"/>
        <v>0.99998820057358773</v>
      </c>
      <c r="Y184" s="2">
        <f t="shared" ca="1" si="15"/>
        <v>45692</v>
      </c>
      <c r="Z184">
        <f t="shared" ca="1" si="16"/>
        <v>0</v>
      </c>
      <c r="AB184" s="63">
        <f t="shared" ca="1" si="18"/>
        <v>48.645716085245006</v>
      </c>
      <c r="AC184" s="63">
        <f t="shared" ca="1" si="19"/>
        <v>48.645716085245006</v>
      </c>
      <c r="AD184" s="3">
        <f t="shared" ca="1" si="20"/>
        <v>0</v>
      </c>
    </row>
    <row r="185" spans="8:30">
      <c r="H185" t="b">
        <f t="shared" ca="1" si="17"/>
        <v>1</v>
      </c>
      <c r="I185" t="b">
        <f t="shared" ca="1" si="14"/>
        <v>1</v>
      </c>
      <c r="J185" s="2">
        <f ca="1"/>
        <v>45693</v>
      </c>
      <c r="K185">
        <f ca="1"/>
        <v>42.050914496743019</v>
      </c>
      <c r="L185">
        <f ca="1"/>
        <v>3.5760154435319009</v>
      </c>
      <c r="M185">
        <f ca="1"/>
        <v>3.9025334019395785E-3</v>
      </c>
      <c r="N185">
        <f ca="1"/>
        <v>0.62923897216816038</v>
      </c>
      <c r="O185">
        <f ca="1"/>
        <v>0</v>
      </c>
      <c r="P185">
        <f ca="1"/>
        <v>292.37631628210306</v>
      </c>
      <c r="Q185">
        <f ca="1"/>
        <v>182.52239527230492</v>
      </c>
      <c r="R185">
        <f ca="1"/>
        <v>0</v>
      </c>
      <c r="S185">
        <f ca="1"/>
        <v>0.39197807147687735</v>
      </c>
      <c r="T185">
        <f ca="1"/>
        <v>0</v>
      </c>
      <c r="U185">
        <f ca="1"/>
        <v>0</v>
      </c>
      <c r="V185">
        <f ca="1"/>
        <v>0.99999013779685719</v>
      </c>
      <c r="Y185" s="2">
        <f t="shared" ca="1" si="15"/>
        <v>45693</v>
      </c>
      <c r="Z185">
        <f t="shared" ca="1" si="16"/>
        <v>0</v>
      </c>
      <c r="AB185" s="63">
        <f t="shared" ca="1" si="18"/>
        <v>45.62692994027492</v>
      </c>
      <c r="AC185" s="63">
        <f t="shared" ca="1" si="19"/>
        <v>45.62692994027492</v>
      </c>
      <c r="AD185" s="3">
        <f t="shared" ca="1" si="20"/>
        <v>0</v>
      </c>
    </row>
    <row r="186" spans="8:30">
      <c r="H186" t="b">
        <f t="shared" ca="1" si="17"/>
        <v>1</v>
      </c>
      <c r="I186" t="b">
        <f t="shared" ca="1" si="14"/>
        <v>1</v>
      </c>
      <c r="J186" s="2">
        <f ca="1"/>
        <v>45694</v>
      </c>
      <c r="K186">
        <f ca="1"/>
        <v>39.264175269930753</v>
      </c>
      <c r="L186">
        <f ca="1"/>
        <v>3.3881546314352704</v>
      </c>
      <c r="M186">
        <f ca="1"/>
        <v>3.4443656317026949E-3</v>
      </c>
      <c r="N186">
        <f ca="1"/>
        <v>0.59797103899130633</v>
      </c>
      <c r="O186">
        <f ca="1"/>
        <v>0</v>
      </c>
      <c r="P186">
        <f ca="1"/>
        <v>295.76447091353833</v>
      </c>
      <c r="Q186">
        <f ca="1"/>
        <v>184.63752589145477</v>
      </c>
      <c r="R186">
        <f ca="1"/>
        <v>0</v>
      </c>
      <c r="S186">
        <f ca="1"/>
        <v>0.35785251338728424</v>
      </c>
      <c r="T186">
        <f ca="1"/>
        <v>0</v>
      </c>
      <c r="U186">
        <f ca="1"/>
        <v>0</v>
      </c>
      <c r="V186">
        <f ca="1"/>
        <v>0.9999917477161856</v>
      </c>
      <c r="Y186" s="2">
        <f t="shared" ca="1" si="15"/>
        <v>45694</v>
      </c>
      <c r="Z186">
        <f t="shared" ca="1" si="16"/>
        <v>0</v>
      </c>
      <c r="AB186" s="63">
        <f t="shared" ca="1" si="18"/>
        <v>42.652329901366024</v>
      </c>
      <c r="AC186" s="63">
        <f t="shared" ca="1" si="19"/>
        <v>42.652329901366024</v>
      </c>
      <c r="AD186" s="3">
        <f t="shared" ca="1" si="20"/>
        <v>0</v>
      </c>
    </row>
    <row r="187" spans="8:30">
      <c r="H187" t="b">
        <f t="shared" ca="1" si="17"/>
        <v>1</v>
      </c>
      <c r="I187" t="b">
        <f t="shared" ca="1" si="14"/>
        <v>1</v>
      </c>
      <c r="J187" s="2">
        <f ca="1"/>
        <v>45695</v>
      </c>
      <c r="K187">
        <f ca="1"/>
        <v>36.608276119458893</v>
      </c>
      <c r="L187">
        <f ca="1"/>
        <v>3.2445620779322439</v>
      </c>
      <c r="M187">
        <f ca="1"/>
        <v>3.1628097617559803E-3</v>
      </c>
      <c r="N187">
        <f ca="1"/>
        <v>0.5855001176986292</v>
      </c>
      <c r="O187">
        <f ca="1"/>
        <v>0</v>
      </c>
      <c r="P187">
        <f ca="1"/>
        <v>299.00903299147058</v>
      </c>
      <c r="Q187">
        <f ca="1"/>
        <v>186.66301567668924</v>
      </c>
      <c r="R187">
        <f ca="1"/>
        <v>0</v>
      </c>
      <c r="S187">
        <f ca="1"/>
        <v>0.33380623936531667</v>
      </c>
      <c r="T187">
        <f ca="1"/>
        <v>0</v>
      </c>
      <c r="U187">
        <f ca="1"/>
        <v>0</v>
      </c>
      <c r="V187">
        <f ca="1"/>
        <v>0.99999310193060031</v>
      </c>
      <c r="Y187" s="2">
        <f t="shared" ca="1" si="15"/>
        <v>45695</v>
      </c>
      <c r="Z187">
        <f t="shared" ca="1" si="16"/>
        <v>0</v>
      </c>
      <c r="AB187" s="63">
        <f t="shared" ca="1" si="18"/>
        <v>39.852838197391137</v>
      </c>
      <c r="AC187" s="63">
        <f t="shared" ca="1" si="19"/>
        <v>39.852838197391137</v>
      </c>
      <c r="AD187" s="3">
        <f t="shared" ca="1" si="20"/>
        <v>0</v>
      </c>
    </row>
    <row r="188" spans="8:30">
      <c r="H188" t="b">
        <f t="shared" ca="1" si="17"/>
        <v>1</v>
      </c>
      <c r="I188" t="b">
        <f t="shared" ca="1" si="14"/>
        <v>1</v>
      </c>
      <c r="J188" s="2">
        <f ca="1"/>
        <v>45696</v>
      </c>
      <c r="K188">
        <f ca="1"/>
        <v>34.112427659781844</v>
      </c>
      <c r="L188">
        <f ca="1"/>
        <v>3.0815635838603725</v>
      </c>
      <c r="M188">
        <f ca="1"/>
        <v>3.0620364546258827E-3</v>
      </c>
      <c r="N188">
        <f ca="1"/>
        <v>0.5826530877287005</v>
      </c>
      <c r="O188">
        <f ca="1"/>
        <v>0</v>
      </c>
      <c r="P188">
        <f ca="1"/>
        <v>302.09059657533095</v>
      </c>
      <c r="Q188">
        <f ca="1"/>
        <v>188.58675003952121</v>
      </c>
      <c r="R188">
        <f ca="1"/>
        <v>0</v>
      </c>
      <c r="S188">
        <f ca="1"/>
        <v>0.33094130880783679</v>
      </c>
      <c r="T188">
        <f ca="1"/>
        <v>0</v>
      </c>
      <c r="U188">
        <f ca="1"/>
        <v>0</v>
      </c>
      <c r="V188">
        <f ca="1"/>
        <v>0.9967566918947327</v>
      </c>
      <c r="Y188" s="2">
        <f t="shared" ca="1" si="15"/>
        <v>45696</v>
      </c>
      <c r="Z188">
        <f t="shared" ca="1" si="16"/>
        <v>0</v>
      </c>
      <c r="AB188" s="63">
        <f t="shared" ca="1" si="18"/>
        <v>37.193991243642216</v>
      </c>
      <c r="AC188" s="63">
        <f t="shared" ca="1" si="19"/>
        <v>37.193991243642216</v>
      </c>
      <c r="AD188" s="3">
        <f t="shared" ca="1" si="20"/>
        <v>0</v>
      </c>
    </row>
    <row r="189" spans="8:30">
      <c r="H189" t="b">
        <f t="shared" ca="1" si="17"/>
        <v>1</v>
      </c>
      <c r="I189" t="b">
        <f t="shared" ca="1" si="14"/>
        <v>1</v>
      </c>
      <c r="J189" s="2">
        <f ca="1"/>
        <v>45697</v>
      </c>
      <c r="K189">
        <f ca="1"/>
        <v>31.745947257954455</v>
      </c>
      <c r="L189">
        <f ca="1"/>
        <v>2.9455450527273683</v>
      </c>
      <c r="M189">
        <f ca="1"/>
        <v>2.8646806470824515E-3</v>
      </c>
      <c r="N189">
        <f ca="1"/>
        <v>0.57619997025290459</v>
      </c>
      <c r="O189">
        <f ca="1"/>
        <v>0</v>
      </c>
      <c r="P189">
        <f ca="1"/>
        <v>305.03614162805832</v>
      </c>
      <c r="Q189">
        <f ca="1"/>
        <v>190.42557181976261</v>
      </c>
      <c r="R189">
        <f ca="1"/>
        <v>0</v>
      </c>
      <c r="S189">
        <f ca="1"/>
        <v>0.31355019469439022</v>
      </c>
      <c r="T189">
        <f ca="1"/>
        <v>0</v>
      </c>
      <c r="U189">
        <f ca="1"/>
        <v>0</v>
      </c>
      <c r="V189">
        <f ca="1"/>
        <v>0.97411577185056863</v>
      </c>
      <c r="Y189" s="2">
        <f t="shared" ca="1" si="15"/>
        <v>45697</v>
      </c>
      <c r="Z189">
        <f t="shared" ca="1" si="16"/>
        <v>0</v>
      </c>
      <c r="AB189" s="63">
        <f t="shared" ca="1" si="18"/>
        <v>34.691492310681824</v>
      </c>
      <c r="AC189" s="63">
        <f t="shared" ca="1" si="19"/>
        <v>34.691492310681824</v>
      </c>
      <c r="AD189" s="3">
        <f t="shared" ca="1" si="20"/>
        <v>0</v>
      </c>
    </row>
    <row r="190" spans="8:30">
      <c r="H190" t="b">
        <f t="shared" ca="1" si="17"/>
        <v>1</v>
      </c>
      <c r="I190" t="b">
        <f t="shared" ca="1" si="14"/>
        <v>1</v>
      </c>
      <c r="J190" s="2">
        <f ca="1"/>
        <v>45698</v>
      </c>
      <c r="K190">
        <f ca="1"/>
        <v>29.488406695235554</v>
      </c>
      <c r="L190">
        <f ca="1"/>
        <v>2.8448042476701403</v>
      </c>
      <c r="M190">
        <f ca="1"/>
        <v>2.7808300066176628E-3</v>
      </c>
      <c r="N190">
        <f ca="1"/>
        <v>0.58448285494462759</v>
      </c>
      <c r="O190">
        <f ca="1"/>
        <v>0</v>
      </c>
      <c r="P190">
        <f ca="1"/>
        <v>307.88094587572846</v>
      </c>
      <c r="Q190">
        <f ca="1"/>
        <v>192.20150391976412</v>
      </c>
      <c r="R190">
        <f ca="1"/>
        <v>0</v>
      </c>
      <c r="S190">
        <f ca="1"/>
        <v>0.30294839348437036</v>
      </c>
      <c r="T190">
        <f ca="1"/>
        <v>0</v>
      </c>
      <c r="U190">
        <f ca="1"/>
        <v>0</v>
      </c>
      <c r="V190">
        <f ca="1"/>
        <v>0.95104035282215427</v>
      </c>
      <c r="Y190" s="2">
        <f t="shared" ca="1" si="15"/>
        <v>45698</v>
      </c>
      <c r="Z190">
        <f t="shared" ca="1" si="16"/>
        <v>0</v>
      </c>
      <c r="AB190" s="63">
        <f t="shared" ca="1" si="18"/>
        <v>32.333210942905701</v>
      </c>
      <c r="AC190" s="63">
        <f t="shared" ca="1" si="19"/>
        <v>32.333210942905694</v>
      </c>
      <c r="AD190" s="3">
        <f t="shared" ca="1" si="20"/>
        <v>0</v>
      </c>
    </row>
    <row r="191" spans="8:30">
      <c r="H191" t="b">
        <f t="shared" ca="1" si="17"/>
        <v>1</v>
      </c>
      <c r="I191" t="b">
        <f t="shared" ca="1" si="14"/>
        <v>1</v>
      </c>
      <c r="J191" s="2">
        <f ca="1"/>
        <v>45699</v>
      </c>
      <c r="K191">
        <f ca="1"/>
        <v>27.368656716234252</v>
      </c>
      <c r="L191">
        <f ca="1"/>
        <v>2.716483556799119</v>
      </c>
      <c r="M191">
        <f ca="1"/>
        <v>2.7790355406942524E-3</v>
      </c>
      <c r="N191">
        <f ca="1"/>
        <v>0.59395454225712296</v>
      </c>
      <c r="O191">
        <f ca="1"/>
        <v>0</v>
      </c>
      <c r="P191">
        <f ca="1"/>
        <v>310.59742943252758</v>
      </c>
      <c r="Q191">
        <f ca="1"/>
        <v>193.89732898456319</v>
      </c>
      <c r="R191">
        <f ca="1"/>
        <v>0</v>
      </c>
      <c r="S191">
        <f ca="1"/>
        <v>0.30512193926045028</v>
      </c>
      <c r="T191">
        <f ca="1"/>
        <v>0</v>
      </c>
      <c r="U191">
        <f ca="1"/>
        <v>0</v>
      </c>
      <c r="V191">
        <f ca="1"/>
        <v>0.92774181269371991</v>
      </c>
      <c r="Y191" s="2">
        <f t="shared" ca="1" si="15"/>
        <v>45699</v>
      </c>
      <c r="Z191">
        <f t="shared" ca="1" si="16"/>
        <v>0</v>
      </c>
      <c r="AB191" s="63">
        <f t="shared" ca="1" si="18"/>
        <v>30.085140273033371</v>
      </c>
      <c r="AC191" s="63">
        <f t="shared" ca="1" si="19"/>
        <v>30.085140273033371</v>
      </c>
      <c r="AD191" s="3">
        <f t="shared" ca="1" si="20"/>
        <v>0</v>
      </c>
    </row>
    <row r="192" spans="8:30">
      <c r="H192" t="b">
        <f t="shared" ca="1" si="17"/>
        <v>1</v>
      </c>
      <c r="I192" t="b">
        <f t="shared" ca="1" si="14"/>
        <v>1</v>
      </c>
      <c r="J192" s="2">
        <f ca="1"/>
        <v>45700</v>
      </c>
      <c r="K192">
        <f ca="1"/>
        <v>25.409708865859535</v>
      </c>
      <c r="L192">
        <f ca="1"/>
        <v>2.5566798233703594</v>
      </c>
      <c r="M192">
        <f ca="1"/>
        <v>2.7585862545667084E-3</v>
      </c>
      <c r="N192">
        <f ca="1"/>
        <v>0.59497338674107469</v>
      </c>
      <c r="O192">
        <f ca="1"/>
        <v>0</v>
      </c>
      <c r="P192">
        <f ca="1"/>
        <v>313.15410925589794</v>
      </c>
      <c r="Q192">
        <f ca="1"/>
        <v>195.49339302709549</v>
      </c>
      <c r="R192">
        <f ca="1"/>
        <v>0</v>
      </c>
      <c r="S192">
        <f ca="1"/>
        <v>0.31087371523120388</v>
      </c>
      <c r="T192">
        <f ca="1"/>
        <v>0</v>
      </c>
      <c r="U192">
        <f ca="1"/>
        <v>0</v>
      </c>
      <c r="V192">
        <f ca="1"/>
        <v>0.90452547507581926</v>
      </c>
      <c r="Y192" s="2">
        <f t="shared" ca="1" si="15"/>
        <v>45700</v>
      </c>
      <c r="Z192">
        <f t="shared" ca="1" si="16"/>
        <v>0</v>
      </c>
      <c r="AB192" s="63">
        <f t="shared" ca="1" si="18"/>
        <v>27.966388689229895</v>
      </c>
      <c r="AC192" s="63">
        <f t="shared" ca="1" si="19"/>
        <v>27.966388689229895</v>
      </c>
      <c r="AD192" s="3">
        <f t="shared" ca="1" si="20"/>
        <v>0</v>
      </c>
    </row>
    <row r="193" spans="8:30">
      <c r="H193" t="b">
        <f t="shared" ca="1" si="17"/>
        <v>1</v>
      </c>
      <c r="I193" t="b">
        <f t="shared" ca="1" si="14"/>
        <v>1</v>
      </c>
      <c r="J193" s="2">
        <f ca="1"/>
        <v>45701</v>
      </c>
      <c r="K193">
        <f ca="1"/>
        <v>23.593490520430812</v>
      </c>
      <c r="L193">
        <f ca="1"/>
        <v>2.3887347988136298</v>
      </c>
      <c r="M193">
        <f ca="1"/>
        <v>2.4540795075740363E-3</v>
      </c>
      <c r="N193">
        <f ca="1"/>
        <v>0.57006237387733205</v>
      </c>
      <c r="O193">
        <f ca="1"/>
        <v>0</v>
      </c>
      <c r="P193">
        <f ca="1"/>
        <v>315.54284405471157</v>
      </c>
      <c r="Q193">
        <f ca="1"/>
        <v>196.98461366594196</v>
      </c>
      <c r="R193">
        <f ca="1"/>
        <v>0</v>
      </c>
      <c r="S193">
        <f ca="1"/>
        <v>0.28615959858430251</v>
      </c>
      <c r="T193">
        <f ca="1"/>
        <v>0</v>
      </c>
      <c r="U193">
        <f ca="1"/>
        <v>0</v>
      </c>
      <c r="V193">
        <f ca="1"/>
        <v>0.88154400177372949</v>
      </c>
      <c r="Y193" s="2">
        <f t="shared" ca="1" si="15"/>
        <v>45701</v>
      </c>
      <c r="Z193">
        <f t="shared" ca="1" si="16"/>
        <v>0</v>
      </c>
      <c r="AB193" s="63">
        <f t="shared" ca="1" si="18"/>
        <v>25.982225319244439</v>
      </c>
      <c r="AC193" s="63">
        <f t="shared" ca="1" si="19"/>
        <v>25.982225319244442</v>
      </c>
      <c r="AD193" s="3">
        <f t="shared" ca="1" si="20"/>
        <v>0</v>
      </c>
    </row>
    <row r="194" spans="8:30">
      <c r="H194" t="b">
        <f t="shared" ca="1" si="17"/>
        <v>1</v>
      </c>
      <c r="I194" t="b">
        <f t="shared" ca="1" si="14"/>
        <v>1</v>
      </c>
      <c r="J194" s="2">
        <f ca="1"/>
        <v>45702</v>
      </c>
      <c r="K194">
        <f ca="1"/>
        <v>21.908950740581201</v>
      </c>
      <c r="L194">
        <f ca="1"/>
        <v>2.2552780727423851</v>
      </c>
      <c r="M194">
        <f ca="1"/>
        <v>2.3781414912917853E-3</v>
      </c>
      <c r="N194">
        <f ca="1"/>
        <v>0.56836015140148088</v>
      </c>
      <c r="O194">
        <f ca="1"/>
        <v>0</v>
      </c>
      <c r="P194">
        <f ca="1"/>
        <v>317.79812212745395</v>
      </c>
      <c r="Q194">
        <f ca="1"/>
        <v>198.3925209857841</v>
      </c>
      <c r="R194">
        <f ca="1"/>
        <v>0</v>
      </c>
      <c r="S194">
        <f ca="1"/>
        <v>0.28225146370186815</v>
      </c>
      <c r="T194">
        <f ca="1"/>
        <v>0</v>
      </c>
      <c r="U194">
        <f ca="1"/>
        <v>0</v>
      </c>
      <c r="V194">
        <f ca="1"/>
        <v>0.85853904204005871</v>
      </c>
      <c r="Y194" s="2">
        <f t="shared" ca="1" si="15"/>
        <v>45702</v>
      </c>
      <c r="Z194">
        <f t="shared" ca="1" si="16"/>
        <v>0</v>
      </c>
      <c r="AB194" s="63">
        <f t="shared" ca="1" si="18"/>
        <v>24.164228813323586</v>
      </c>
      <c r="AC194" s="63">
        <f t="shared" ca="1" si="19"/>
        <v>24.164228813323586</v>
      </c>
      <c r="AD194" s="3">
        <f t="shared" ca="1" si="20"/>
        <v>0</v>
      </c>
    </row>
    <row r="195" spans="8:30">
      <c r="H195" t="b">
        <f t="shared" ca="1" si="17"/>
        <v>1</v>
      </c>
      <c r="I195" t="b">
        <f t="shared" ca="1" si="14"/>
        <v>1</v>
      </c>
      <c r="J195" s="2">
        <f ca="1"/>
        <v>45703</v>
      </c>
      <c r="K195">
        <f ca="1"/>
        <v>20.375825212836688</v>
      </c>
      <c r="L195">
        <f ca="1"/>
        <v>2.1008203403885091</v>
      </c>
      <c r="M195">
        <f ca="1"/>
        <v>2.3764464862505719E-3</v>
      </c>
      <c r="N195">
        <f ca="1"/>
        <v>0.56531836615774433</v>
      </c>
      <c r="O195">
        <f ca="1"/>
        <v>0</v>
      </c>
      <c r="P195">
        <f ca="1"/>
        <v>319.89894246784246</v>
      </c>
      <c r="Q195">
        <f ca="1"/>
        <v>199.70400464301207</v>
      </c>
      <c r="R195">
        <f ca="1"/>
        <v>0</v>
      </c>
      <c r="S195">
        <f ca="1"/>
        <v>0.29208834547064816</v>
      </c>
      <c r="T195">
        <f ca="1"/>
        <v>0</v>
      </c>
      <c r="U195">
        <f ca="1"/>
        <v>0</v>
      </c>
      <c r="V195">
        <f ca="1"/>
        <v>0.83580417626957026</v>
      </c>
      <c r="Y195" s="2">
        <f t="shared" ca="1" si="15"/>
        <v>45703</v>
      </c>
      <c r="Z195">
        <f t="shared" ca="1" si="16"/>
        <v>0</v>
      </c>
      <c r="AB195" s="63">
        <f t="shared" ca="1" si="18"/>
        <v>22.476645553225193</v>
      </c>
      <c r="AC195" s="63">
        <f t="shared" ca="1" si="19"/>
        <v>22.476645553225197</v>
      </c>
      <c r="AD195" s="3">
        <f t="shared" ca="1" si="20"/>
        <v>0</v>
      </c>
    </row>
    <row r="196" spans="8:30">
      <c r="H196" t="b">
        <f t="shared" ca="1" si="17"/>
        <v>1</v>
      </c>
      <c r="I196" t="b">
        <f t="shared" ca="1" si="14"/>
        <v>1</v>
      </c>
      <c r="J196" s="2">
        <f ca="1"/>
        <v>45704</v>
      </c>
      <c r="K196">
        <f ca="1"/>
        <v>18.966167293828654</v>
      </c>
      <c r="L196">
        <f ca="1"/>
        <v>1.969242986852862</v>
      </c>
      <c r="M196">
        <f ca="1"/>
        <v>2.2670826634740848E-3</v>
      </c>
      <c r="N196">
        <f ca="1"/>
        <v>0.55731798518135234</v>
      </c>
      <c r="O196">
        <f ca="1"/>
        <v>0</v>
      </c>
      <c r="P196">
        <f ca="1"/>
        <v>321.86818545469532</v>
      </c>
      <c r="Q196">
        <f ca="1"/>
        <v>200.93334822119292</v>
      </c>
      <c r="R196">
        <f ca="1"/>
        <v>0</v>
      </c>
      <c r="S196">
        <f ca="1"/>
        <v>0.28592184418865851</v>
      </c>
      <c r="T196">
        <f ca="1"/>
        <v>0</v>
      </c>
      <c r="U196">
        <f ca="1"/>
        <v>0</v>
      </c>
      <c r="V196">
        <f ca="1"/>
        <v>0.8131867426569872</v>
      </c>
      <c r="Y196" s="2">
        <f t="shared" ca="1" si="15"/>
        <v>45704</v>
      </c>
      <c r="Z196">
        <f t="shared" ca="1" si="16"/>
        <v>0</v>
      </c>
      <c r="AB196" s="63">
        <f t="shared" ca="1" si="18"/>
        <v>20.935410280681513</v>
      </c>
      <c r="AC196" s="63">
        <f t="shared" ca="1" si="19"/>
        <v>20.935410280681516</v>
      </c>
      <c r="AD196" s="3">
        <f t="shared" ca="1" si="20"/>
        <v>0</v>
      </c>
    </row>
    <row r="197" spans="8:30">
      <c r="H197" t="b">
        <f t="shared" ca="1" si="17"/>
        <v>1</v>
      </c>
      <c r="I197" t="b">
        <f t="shared" ca="1" si="14"/>
        <v>1</v>
      </c>
      <c r="J197" s="2">
        <f ca="1"/>
        <v>45705</v>
      </c>
      <c r="K197">
        <f ca="1"/>
        <v>17.692611961391897</v>
      </c>
      <c r="L197">
        <f ca="1"/>
        <v>1.8561431824102215</v>
      </c>
      <c r="M197">
        <f ca="1"/>
        <v>2.486056863778785E-3</v>
      </c>
      <c r="N197">
        <f ca="1"/>
        <v>0.58010179310968346</v>
      </c>
      <c r="O197">
        <f ca="1"/>
        <v>0</v>
      </c>
      <c r="P197">
        <f ca="1"/>
        <v>323.72432863710554</v>
      </c>
      <c r="Q197">
        <f ca="1"/>
        <v>202.09208673985933</v>
      </c>
      <c r="R197">
        <f ca="1"/>
        <v>0</v>
      </c>
      <c r="S197">
        <f ca="1"/>
        <v>0.31929229429851225</v>
      </c>
      <c r="T197">
        <f ca="1"/>
        <v>0</v>
      </c>
      <c r="U197">
        <f ca="1"/>
        <v>0</v>
      </c>
      <c r="V197">
        <f ca="1"/>
        <v>0.79054582261282313</v>
      </c>
      <c r="Y197" s="2">
        <f t="shared" ca="1" si="15"/>
        <v>45705</v>
      </c>
      <c r="Z197">
        <f t="shared" ca="1" si="16"/>
        <v>0</v>
      </c>
      <c r="AB197" s="63">
        <f t="shared" ca="1" si="18"/>
        <v>19.548755143802119</v>
      </c>
      <c r="AC197" s="63">
        <f t="shared" ca="1" si="19"/>
        <v>19.548755143802119</v>
      </c>
      <c r="AD197" s="3">
        <f t="shared" ca="1" si="20"/>
        <v>0</v>
      </c>
    </row>
    <row r="198" spans="8:30">
      <c r="H198" t="b">
        <f t="shared" ca="1" si="17"/>
        <v>1</v>
      </c>
      <c r="I198" t="b">
        <f t="shared" ca="1" si="14"/>
        <v>1</v>
      </c>
      <c r="J198" s="2">
        <f ca="1"/>
        <v>45706</v>
      </c>
      <c r="K198">
        <f ca="1"/>
        <v>16.511595509477146</v>
      </c>
      <c r="L198">
        <f ca="1"/>
        <v>1.7586280062723745</v>
      </c>
      <c r="M198">
        <f ca="1"/>
        <v>2.3384929759995288E-3</v>
      </c>
      <c r="N198">
        <f ca="1"/>
        <v>0.57527306138162415</v>
      </c>
      <c r="O198">
        <f ca="1"/>
        <v>0</v>
      </c>
      <c r="P198">
        <f ca="1"/>
        <v>325.48295664337792</v>
      </c>
      <c r="Q198">
        <f ca="1"/>
        <v>203.18994924862727</v>
      </c>
      <c r="R198">
        <f ca="1"/>
        <v>0</v>
      </c>
      <c r="S198">
        <f ca="1"/>
        <v>0.30349358587417902</v>
      </c>
      <c r="T198">
        <f ca="1"/>
        <v>0</v>
      </c>
      <c r="U198">
        <f ca="1"/>
        <v>0</v>
      </c>
      <c r="V198">
        <f ca="1"/>
        <v>0.76774049754759133</v>
      </c>
      <c r="Y198" s="2">
        <f t="shared" ca="1" si="15"/>
        <v>45706</v>
      </c>
      <c r="Z198">
        <f t="shared" ca="1" si="16"/>
        <v>0</v>
      </c>
      <c r="AB198" s="63">
        <f t="shared" ca="1" si="18"/>
        <v>18.270223515749521</v>
      </c>
      <c r="AC198" s="63">
        <f t="shared" ca="1" si="19"/>
        <v>18.270223515749521</v>
      </c>
      <c r="AD198" s="3">
        <f t="shared" ca="1" si="20"/>
        <v>0</v>
      </c>
    </row>
    <row r="199" spans="8:30">
      <c r="H199" t="b">
        <f t="shared" ca="1" si="17"/>
        <v>1</v>
      </c>
      <c r="I199" t="b">
        <f t="shared" ca="1" si="14"/>
        <v>1</v>
      </c>
      <c r="J199" s="2">
        <f ca="1"/>
        <v>45707</v>
      </c>
      <c r="K199">
        <f ca="1"/>
        <v>15.427813355367945</v>
      </c>
      <c r="L199">
        <f ca="1"/>
        <v>1.6526523432444833</v>
      </c>
      <c r="M199">
        <f ca="1"/>
        <v>2.1950192486830389E-3</v>
      </c>
      <c r="N199">
        <f ca="1"/>
        <v>0.56667516988659938</v>
      </c>
      <c r="O199">
        <f ca="1"/>
        <v>0</v>
      </c>
      <c r="P199">
        <f ca="1"/>
        <v>327.1356089866224</v>
      </c>
      <c r="Q199">
        <f ca="1"/>
        <v>204.22165410104876</v>
      </c>
      <c r="R199">
        <f ca="1"/>
        <v>0</v>
      </c>
      <c r="S199">
        <f ca="1"/>
        <v>0.29039854545672222</v>
      </c>
      <c r="T199">
        <f ca="1"/>
        <v>0</v>
      </c>
      <c r="U199">
        <f ca="1"/>
        <v>0</v>
      </c>
      <c r="V199">
        <f ca="1"/>
        <v>0.74493517248235952</v>
      </c>
      <c r="Y199" s="2">
        <f t="shared" ca="1" si="15"/>
        <v>45707</v>
      </c>
      <c r="Z199">
        <f t="shared" ca="1" si="16"/>
        <v>0</v>
      </c>
      <c r="AB199" s="63">
        <f t="shared" ca="1" si="18"/>
        <v>17.080465698612429</v>
      </c>
      <c r="AC199" s="63">
        <f t="shared" ca="1" si="19"/>
        <v>17.080465698612429</v>
      </c>
      <c r="AD199" s="3">
        <f t="shared" ca="1" si="20"/>
        <v>0</v>
      </c>
    </row>
    <row r="200" spans="8:30">
      <c r="H200" t="b">
        <f t="shared" ca="1" si="17"/>
        <v>1</v>
      </c>
      <c r="I200" t="b">
        <f t="shared" ca="1" si="14"/>
        <v>1</v>
      </c>
      <c r="J200" s="2">
        <f ca="1"/>
        <v>45708</v>
      </c>
      <c r="K200">
        <f ca="1"/>
        <v>14.456585560370272</v>
      </c>
      <c r="L200">
        <f ca="1"/>
        <v>1.5589660583957539</v>
      </c>
      <c r="M200">
        <f ca="1"/>
        <v>2.3341585816769594E-3</v>
      </c>
      <c r="N200">
        <f ca="1"/>
        <v>0.58540410481640304</v>
      </c>
      <c r="O200">
        <f ca="1"/>
        <v>0</v>
      </c>
      <c r="P200">
        <f ca="1"/>
        <v>328.69457504501815</v>
      </c>
      <c r="Q200">
        <f ca="1"/>
        <v>205.19487321381735</v>
      </c>
      <c r="R200">
        <f ca="1"/>
        <v>0</v>
      </c>
      <c r="S200">
        <f ca="1"/>
        <v>0.31292071868228921</v>
      </c>
      <c r="T200">
        <f ca="1"/>
        <v>0</v>
      </c>
      <c r="U200">
        <f ca="1"/>
        <v>0</v>
      </c>
      <c r="V200">
        <f ca="1"/>
        <v>0.72202415847501267</v>
      </c>
      <c r="Y200" s="2">
        <f t="shared" ca="1" si="15"/>
        <v>45708</v>
      </c>
      <c r="Z200">
        <f t="shared" ca="1" si="16"/>
        <v>0</v>
      </c>
      <c r="AB200" s="63">
        <f t="shared" ca="1" si="18"/>
        <v>16.015551618766025</v>
      </c>
      <c r="AC200" s="63">
        <f t="shared" ca="1" si="19"/>
        <v>16.015551618766025</v>
      </c>
      <c r="AD200" s="3">
        <f t="shared" ca="1" si="20"/>
        <v>0</v>
      </c>
    </row>
    <row r="201" spans="8:30">
      <c r="H201" t="b">
        <f t="shared" ca="1" si="17"/>
        <v>1</v>
      </c>
      <c r="I201" t="b">
        <f t="shared" ca="1" si="14"/>
        <v>1</v>
      </c>
      <c r="J201" s="2">
        <f ca="1"/>
        <v>45709</v>
      </c>
      <c r="K201">
        <f ca="1"/>
        <v>13.588695036175992</v>
      </c>
      <c r="L201">
        <f ca="1"/>
        <v>1.4575617115334012</v>
      </c>
      <c r="M201">
        <f ca="1"/>
        <v>2.3277279717230925E-3</v>
      </c>
      <c r="N201">
        <f ca="1"/>
        <v>0.58734345936739785</v>
      </c>
      <c r="O201">
        <f ca="1"/>
        <v>0</v>
      </c>
      <c r="P201">
        <f ca="1"/>
        <v>330.15213675655156</v>
      </c>
      <c r="Q201">
        <f ca="1"/>
        <v>206.10478841566831</v>
      </c>
      <c r="R201">
        <f ca="1"/>
        <v>0</v>
      </c>
      <c r="S201">
        <f ca="1"/>
        <v>0.32001853854434348</v>
      </c>
      <c r="T201">
        <f ca="1"/>
        <v>0</v>
      </c>
      <c r="U201">
        <f ca="1"/>
        <v>0</v>
      </c>
      <c r="V201">
        <f ca="1"/>
        <v>0.69919534697819974</v>
      </c>
      <c r="Y201" s="2">
        <f t="shared" ca="1" si="15"/>
        <v>45709</v>
      </c>
      <c r="Z201">
        <f t="shared" ca="1" si="16"/>
        <v>0</v>
      </c>
      <c r="AB201" s="63">
        <f t="shared" ca="1" si="18"/>
        <v>15.046256747709393</v>
      </c>
      <c r="AC201" s="63">
        <f t="shared" ca="1" si="19"/>
        <v>15.046256747709393</v>
      </c>
      <c r="AD201" s="3">
        <f t="shared" ca="1" si="20"/>
        <v>0</v>
      </c>
    </row>
    <row r="202" spans="8:30">
      <c r="H202" t="b">
        <f t="shared" ca="1" si="17"/>
        <v>1</v>
      </c>
      <c r="I202" t="b">
        <f t="shared" ca="1" si="14"/>
        <v>1</v>
      </c>
      <c r="J202" s="2">
        <f ca="1"/>
        <v>45710</v>
      </c>
      <c r="K202">
        <f ca="1"/>
        <v>12.806399959705253</v>
      </c>
      <c r="L202">
        <f ca="1"/>
        <v>1.3526902113483175</v>
      </c>
      <c r="M202">
        <f ca="1"/>
        <v>2.141817449178518E-3</v>
      </c>
      <c r="N202">
        <f ca="1"/>
        <v>0.56825331742840046</v>
      </c>
      <c r="O202">
        <f ca="1"/>
        <v>0</v>
      </c>
      <c r="P202">
        <f ca="1"/>
        <v>331.50482696789987</v>
      </c>
      <c r="Q202">
        <f ca="1"/>
        <v>206.94923525929866</v>
      </c>
      <c r="R202">
        <f ca="1"/>
        <v>0</v>
      </c>
      <c r="S202">
        <f ca="1"/>
        <v>0.30474613490197466</v>
      </c>
      <c r="T202">
        <f ca="1"/>
        <v>0</v>
      </c>
      <c r="U202">
        <f ca="1"/>
        <v>0</v>
      </c>
      <c r="V202">
        <f ca="1"/>
        <v>0.67661314301298836</v>
      </c>
      <c r="Y202" s="2">
        <f t="shared" ca="1" si="15"/>
        <v>45710</v>
      </c>
      <c r="Z202">
        <f t="shared" ca="1" si="16"/>
        <v>0</v>
      </c>
      <c r="AB202" s="63">
        <f t="shared" ca="1" si="18"/>
        <v>14.15909017105357</v>
      </c>
      <c r="AC202" s="63">
        <f t="shared" ca="1" si="19"/>
        <v>14.15909017105357</v>
      </c>
      <c r="AD202" s="3">
        <f t="shared" ca="1" si="20"/>
        <v>0</v>
      </c>
    </row>
    <row r="203" spans="8:30">
      <c r="H203" t="b">
        <f t="shared" ca="1" si="17"/>
        <v>1</v>
      </c>
      <c r="I203" t="b">
        <f t="shared" ref="I203:I266" ca="1" si="21">AND(IF(J203&gt;($J$7-1),TRUE,FALSE),IF(J203&lt;($J$8+1),TRUE,FALSE))</f>
        <v>1</v>
      </c>
      <c r="J203" s="2">
        <f ca="1"/>
        <v>45711</v>
      </c>
      <c r="K203">
        <f ca="1"/>
        <v>12.113786306540099</v>
      </c>
      <c r="L203">
        <f ca="1"/>
        <v>1.2681718351892073</v>
      </c>
      <c r="M203">
        <f ca="1"/>
        <v>2.1569807285537479E-3</v>
      </c>
      <c r="N203">
        <f ca="1"/>
        <v>0.57340120129549998</v>
      </c>
      <c r="O203">
        <f ca="1"/>
        <v>0</v>
      </c>
      <c r="P203">
        <f ca="1"/>
        <v>332.77299880308908</v>
      </c>
      <c r="Q203">
        <f ca="1"/>
        <v>207.74091963346078</v>
      </c>
      <c r="R203">
        <f ca="1"/>
        <v>0</v>
      </c>
      <c r="S203">
        <f ca="1"/>
        <v>0.31310341632379673</v>
      </c>
      <c r="T203">
        <f ca="1"/>
        <v>0</v>
      </c>
      <c r="U203">
        <f ca="1"/>
        <v>0</v>
      </c>
      <c r="V203">
        <f ca="1"/>
        <v>0.65404268226356765</v>
      </c>
      <c r="Y203" s="2">
        <f t="shared" ref="Y203:Y266" ca="1" si="22">IFERROR(J203,$Y$9)</f>
        <v>45711</v>
      </c>
      <c r="Z203">
        <f t="shared" ref="Z203:Z266" ca="1" si="23">IFERROR(O203,0)</f>
        <v>0</v>
      </c>
      <c r="AB203" s="63">
        <f t="shared" ca="1" si="18"/>
        <v>13.381958141729307</v>
      </c>
      <c r="AC203" s="63">
        <f t="shared" ca="1" si="19"/>
        <v>13.381958141729307</v>
      </c>
      <c r="AD203" s="3">
        <f t="shared" ca="1" si="20"/>
        <v>0</v>
      </c>
    </row>
    <row r="204" spans="8:30">
      <c r="H204" t="b">
        <f t="shared" ref="H204:H267" ca="1" si="24">IF(J204&lt;$J$8,TRUE,FALSE)</f>
        <v>1</v>
      </c>
      <c r="I204" t="b">
        <f t="shared" ca="1" si="21"/>
        <v>1</v>
      </c>
      <c r="J204" s="2">
        <f ca="1"/>
        <v>45712</v>
      </c>
      <c r="K204">
        <f ca="1"/>
        <v>11.499980635853879</v>
      </c>
      <c r="L204">
        <f ca="1"/>
        <v>1.1631885968675419</v>
      </c>
      <c r="M204">
        <f ca="1"/>
        <v>1.9700043314241356E-3</v>
      </c>
      <c r="N204">
        <f ca="1"/>
        <v>0.54741292184989765</v>
      </c>
      <c r="O204">
        <f ca="1"/>
        <v>0</v>
      </c>
      <c r="P204">
        <f ca="1"/>
        <v>333.93618739995662</v>
      </c>
      <c r="Q204">
        <f ca="1"/>
        <v>208.46706589439401</v>
      </c>
      <c r="R204">
        <f ca="1"/>
        <v>0</v>
      </c>
      <c r="S204">
        <f ca="1"/>
        <v>0.30020228458787174</v>
      </c>
      <c r="T204">
        <f ca="1"/>
        <v>0</v>
      </c>
      <c r="U204">
        <f ca="1"/>
        <v>0</v>
      </c>
      <c r="V204">
        <f ca="1"/>
        <v>0.63197717979314016</v>
      </c>
      <c r="Y204" s="2">
        <f t="shared" ca="1" si="22"/>
        <v>45712</v>
      </c>
      <c r="Z204">
        <f t="shared" ca="1" si="23"/>
        <v>0</v>
      </c>
      <c r="AB204" s="63">
        <f t="shared" ca="1" si="18"/>
        <v>12.663169232721421</v>
      </c>
      <c r="AC204" s="63">
        <f t="shared" ca="1" si="19"/>
        <v>12.663169232721421</v>
      </c>
      <c r="AD204" s="3">
        <f t="shared" ca="1" si="20"/>
        <v>0</v>
      </c>
    </row>
    <row r="205" spans="8:30">
      <c r="H205" t="b">
        <f t="shared" ca="1" si="24"/>
        <v>1</v>
      </c>
      <c r="I205" t="b">
        <f t="shared" ca="1" si="21"/>
        <v>1</v>
      </c>
      <c r="J205" s="2">
        <f ca="1"/>
        <v>45713</v>
      </c>
      <c r="K205">
        <f ca="1"/>
        <v>10.954029247404344</v>
      </c>
      <c r="L205">
        <f ca="1"/>
        <v>1.0640037717048472</v>
      </c>
      <c r="M205">
        <f ca="1"/>
        <v>1.7502639205648762E-3</v>
      </c>
      <c r="N205">
        <f ca="1"/>
        <v>0.5163021193347479</v>
      </c>
      <c r="O205">
        <f ca="1"/>
        <v>0</v>
      </c>
      <c r="P205">
        <f ca="1"/>
        <v>335.00019117166147</v>
      </c>
      <c r="Q205">
        <f ca="1"/>
        <v>209.13129383002121</v>
      </c>
      <c r="R205">
        <f ca="1"/>
        <v>0</v>
      </c>
      <c r="S205">
        <f ca="1"/>
        <v>0.28070816140045335</v>
      </c>
      <c r="T205">
        <f ca="1"/>
        <v>0</v>
      </c>
      <c r="U205">
        <f ca="1"/>
        <v>0</v>
      </c>
      <c r="V205">
        <f ca="1"/>
        <v>0.61048709489644892</v>
      </c>
      <c r="Y205" s="2">
        <f t="shared" ca="1" si="22"/>
        <v>45713</v>
      </c>
      <c r="Z205">
        <f t="shared" ca="1" si="23"/>
        <v>0</v>
      </c>
      <c r="AB205" s="63">
        <f ca="1">K204+M205+N205+O205</f>
        <v>12.018033019109192</v>
      </c>
      <c r="AC205" s="63">
        <f ca="1">K205+L205+R205</f>
        <v>12.018033019109192</v>
      </c>
      <c r="AD205" s="3">
        <f ca="1">AC205-AB205</f>
        <v>0</v>
      </c>
    </row>
    <row r="206" spans="8:30">
      <c r="H206" t="b">
        <f t="shared" ca="1" si="24"/>
        <v>1</v>
      </c>
      <c r="I206" t="b">
        <f t="shared" ca="1" si="21"/>
        <v>1</v>
      </c>
      <c r="J206" s="2">
        <f ca="1"/>
        <v>45714</v>
      </c>
      <c r="K206">
        <f ca="1"/>
        <v>10.467446689124586</v>
      </c>
      <c r="L206">
        <f ca="1"/>
        <v>1.0055764900220083</v>
      </c>
      <c r="M206">
        <f ca="1"/>
        <v>1.7009181979030785E-3</v>
      </c>
      <c r="N206">
        <f ca="1"/>
        <v>0.51729301354434643</v>
      </c>
      <c r="O206">
        <f ca="1"/>
        <v>0</v>
      </c>
      <c r="P206">
        <f ca="1"/>
        <v>336.00576766168348</v>
      </c>
      <c r="Q206">
        <f ca="1"/>
        <v>209.75904724015464</v>
      </c>
      <c r="R206">
        <f ca="1"/>
        <v>0</v>
      </c>
      <c r="S206">
        <f ca="1"/>
        <v>0.27512202488080073</v>
      </c>
      <c r="T206">
        <f ca="1"/>
        <v>0</v>
      </c>
      <c r="U206">
        <f ca="1"/>
        <v>0</v>
      </c>
      <c r="V206">
        <f ca="1"/>
        <v>0.58886783462606207</v>
      </c>
      <c r="Y206" s="2">
        <f t="shared" ca="1" si="22"/>
        <v>45714</v>
      </c>
      <c r="Z206">
        <f t="shared" ca="1" si="23"/>
        <v>0</v>
      </c>
      <c r="AB206" s="63">
        <f ca="1">K205+M206+N206+O206</f>
        <v>11.473023179146594</v>
      </c>
      <c r="AC206" s="63">
        <f ca="1">K206+L206+R206</f>
        <v>11.473023179146594</v>
      </c>
      <c r="AD206" s="3">
        <f ca="1">AC206-AB206</f>
        <v>0</v>
      </c>
    </row>
    <row r="207" spans="8:30">
      <c r="H207" t="b">
        <f t="shared" ca="1" si="24"/>
        <v>1</v>
      </c>
      <c r="I207" t="b">
        <f t="shared" ca="1" si="21"/>
        <v>1</v>
      </c>
      <c r="J207" s="2">
        <f ca="1"/>
        <v>45715</v>
      </c>
      <c r="K207">
        <f ca="1"/>
        <v>10.034297952351462</v>
      </c>
      <c r="L207">
        <f ca="1"/>
        <v>0.94959177179259768</v>
      </c>
      <c r="M207">
        <f ca="1"/>
        <v>1.615776418061543E-3</v>
      </c>
      <c r="N207">
        <f ca="1"/>
        <v>0.51482725860141187</v>
      </c>
      <c r="O207">
        <f ca="1"/>
        <v>0</v>
      </c>
      <c r="P207">
        <f ca="1"/>
        <v>336.95535943347608</v>
      </c>
      <c r="Q207">
        <f ca="1"/>
        <v>210.35185094916372</v>
      </c>
      <c r="R207">
        <f ca="1"/>
        <v>0</v>
      </c>
      <c r="S207">
        <f ca="1"/>
        <v>0.26346295569616185</v>
      </c>
      <c r="T207">
        <f ca="1"/>
        <v>0</v>
      </c>
      <c r="U207">
        <f ca="1"/>
        <v>0</v>
      </c>
      <c r="V207">
        <f ca="1"/>
        <v>0.56711939898197905</v>
      </c>
      <c r="Y207" s="2">
        <f t="shared" ca="1" si="22"/>
        <v>45715</v>
      </c>
      <c r="Z207">
        <f t="shared" ca="1" si="23"/>
        <v>0</v>
      </c>
      <c r="AB207" s="63">
        <f ca="1">K206+M207+N207+O207</f>
        <v>10.98388972414406</v>
      </c>
      <c r="AC207" s="63">
        <f ca="1">K207+L207+R207</f>
        <v>10.98388972414406</v>
      </c>
      <c r="AD207" s="3">
        <f ca="1">AC207-AB207</f>
        <v>0</v>
      </c>
    </row>
    <row r="208" spans="8:30">
      <c r="H208" t="b">
        <f t="shared" ca="1" si="24"/>
        <v>1</v>
      </c>
      <c r="I208" t="b">
        <f t="shared" ca="1" si="21"/>
        <v>1</v>
      </c>
      <c r="J208" s="2">
        <f ca="1"/>
        <v>45716</v>
      </c>
      <c r="K208">
        <f ca="1"/>
        <v>9.6725009748220785</v>
      </c>
      <c r="L208">
        <f ca="1"/>
        <v>0.87831188828806717</v>
      </c>
      <c r="M208">
        <f ca="1"/>
        <v>1.6680734273837317E-3</v>
      </c>
      <c r="N208">
        <f ca="1"/>
        <v>0.51484683733129932</v>
      </c>
      <c r="O208">
        <f ca="1"/>
        <v>0</v>
      </c>
      <c r="P208">
        <f ca="1"/>
        <v>337.83367132176414</v>
      </c>
      <c r="Q208">
        <f ca="1"/>
        <v>210.90015661114424</v>
      </c>
      <c r="R208">
        <f ca="1"/>
        <v>0</v>
      </c>
      <c r="S208">
        <f ca="1"/>
        <v>0.28151468298384802</v>
      </c>
      <c r="T208">
        <f ca="1"/>
        <v>0</v>
      </c>
      <c r="U208">
        <f ca="1"/>
        <v>0</v>
      </c>
      <c r="V208">
        <f ca="1"/>
        <v>0.54568803016424061</v>
      </c>
      <c r="Y208" s="2">
        <f t="shared" ca="1" si="22"/>
        <v>45716</v>
      </c>
      <c r="Z208">
        <f t="shared" ca="1" si="23"/>
        <v>0</v>
      </c>
      <c r="AB208" s="63">
        <f t="shared" ref="AB208:AB271" ca="1" si="25">K207+M208+N208+O208</f>
        <v>10.550812863110146</v>
      </c>
      <c r="AC208" s="63">
        <f t="shared" ref="AC208:AC271" ca="1" si="26">K208+L208+R208</f>
        <v>10.550812863110146</v>
      </c>
      <c r="AD208" s="3">
        <f t="shared" ref="AD208:AD271" ca="1" si="27">AC208-AB208</f>
        <v>0</v>
      </c>
    </row>
    <row r="209" spans="8:30">
      <c r="H209" t="b">
        <f t="shared" ca="1" si="24"/>
        <v>1</v>
      </c>
      <c r="I209" t="b">
        <f t="shared" ca="1" si="21"/>
        <v>1</v>
      </c>
      <c r="J209" s="2">
        <f ca="1"/>
        <v>45717</v>
      </c>
      <c r="K209">
        <f ca="1"/>
        <v>9.3795892700447929</v>
      </c>
      <c r="L209">
        <f ca="1"/>
        <v>0.82713073256536518</v>
      </c>
      <c r="M209">
        <f ca="1"/>
        <v>1.7957025489270251E-3</v>
      </c>
      <c r="N209">
        <f ca="1"/>
        <v>0.53242332523915215</v>
      </c>
      <c r="O209">
        <f ca="1"/>
        <v>0</v>
      </c>
      <c r="P209">
        <f ca="1"/>
        <v>338.66080205432951</v>
      </c>
      <c r="Q209">
        <f ca="1"/>
        <v>211.41651130235496</v>
      </c>
      <c r="R209">
        <f ca="1"/>
        <v>0</v>
      </c>
      <c r="S209">
        <f ca="1"/>
        <v>0.30689849007552283</v>
      </c>
      <c r="T209">
        <f ca="1"/>
        <v>0</v>
      </c>
      <c r="U209">
        <f ca="1"/>
        <v>0</v>
      </c>
      <c r="V209">
        <f ca="1"/>
        <v>0.52418620205175914</v>
      </c>
      <c r="Y209" s="2">
        <f t="shared" ca="1" si="22"/>
        <v>45717</v>
      </c>
      <c r="Z209">
        <f t="shared" ca="1" si="23"/>
        <v>0</v>
      </c>
      <c r="AB209" s="63">
        <f t="shared" ca="1" si="25"/>
        <v>10.206720002610158</v>
      </c>
      <c r="AC209" s="63">
        <f t="shared" ca="1" si="26"/>
        <v>10.206720002610158</v>
      </c>
      <c r="AD209" s="3">
        <f t="shared" ca="1" si="27"/>
        <v>0</v>
      </c>
    </row>
    <row r="210" spans="8:30">
      <c r="H210" t="b">
        <f t="shared" ca="1" si="24"/>
        <v>1</v>
      </c>
      <c r="I210" t="b">
        <f t="shared" ca="1" si="21"/>
        <v>1</v>
      </c>
      <c r="J210" s="2">
        <f ca="1"/>
        <v>45718</v>
      </c>
      <c r="K210">
        <f ca="1"/>
        <v>9.1371221411617718</v>
      </c>
      <c r="L210">
        <f ca="1"/>
        <v>0.79204328391006129</v>
      </c>
      <c r="M210">
        <f ca="1"/>
        <v>1.810081955079923E-3</v>
      </c>
      <c r="N210">
        <f ca="1"/>
        <v>0.54776607307195957</v>
      </c>
      <c r="O210">
        <f ca="1"/>
        <v>0</v>
      </c>
      <c r="P210">
        <f ca="1"/>
        <v>339.45284533823957</v>
      </c>
      <c r="Q210">
        <f ca="1"/>
        <v>211.91096187611183</v>
      </c>
      <c r="R210">
        <f ca="1"/>
        <v>0</v>
      </c>
      <c r="S210">
        <f ca="1"/>
        <v>0.30647354528226772</v>
      </c>
      <c r="T210">
        <f ca="1"/>
        <v>0</v>
      </c>
      <c r="U210">
        <f ca="1"/>
        <v>0</v>
      </c>
      <c r="V210">
        <f ca="1"/>
        <v>0.50222638852344659</v>
      </c>
      <c r="Y210" s="2">
        <f t="shared" ca="1" si="22"/>
        <v>45718</v>
      </c>
      <c r="Z210">
        <f t="shared" ca="1" si="23"/>
        <v>0</v>
      </c>
      <c r="AB210" s="63">
        <f t="shared" ca="1" si="25"/>
        <v>9.9291654250718331</v>
      </c>
      <c r="AC210" s="63">
        <f t="shared" ca="1" si="26"/>
        <v>9.9291654250718331</v>
      </c>
      <c r="AD210" s="3">
        <f t="shared" ca="1" si="27"/>
        <v>0</v>
      </c>
    </row>
    <row r="211" spans="8:30">
      <c r="H211" t="b">
        <f t="shared" ca="1" si="24"/>
        <v>1</v>
      </c>
      <c r="I211" t="b">
        <f t="shared" ca="1" si="21"/>
        <v>1</v>
      </c>
      <c r="J211" s="2">
        <f ca="1"/>
        <v>45719</v>
      </c>
      <c r="K211">
        <f ca="1"/>
        <v>8.9564136234781451</v>
      </c>
      <c r="L211">
        <f ca="1"/>
        <v>0.74418710863312754</v>
      </c>
      <c r="M211">
        <f ca="1"/>
        <v>1.8863187218300936E-3</v>
      </c>
      <c r="N211">
        <f ca="1"/>
        <v>0.56159227222767016</v>
      </c>
      <c r="O211">
        <f ca="1"/>
        <v>0</v>
      </c>
      <c r="P211">
        <f ca="1"/>
        <v>340.1970324468727</v>
      </c>
      <c r="Q211">
        <f ca="1"/>
        <v>212.37553717183252</v>
      </c>
      <c r="R211">
        <f ca="1"/>
        <v>0</v>
      </c>
      <c r="S211">
        <f ca="1"/>
        <v>0.32394915063513541</v>
      </c>
      <c r="T211">
        <f ca="1"/>
        <v>0</v>
      </c>
      <c r="U211">
        <f ca="1"/>
        <v>0</v>
      </c>
      <c r="V211">
        <f ca="1"/>
        <v>0.48019611570039034</v>
      </c>
      <c r="Y211" s="2">
        <f t="shared" ca="1" si="22"/>
        <v>45719</v>
      </c>
      <c r="Z211">
        <f t="shared" ca="1" si="23"/>
        <v>0</v>
      </c>
      <c r="AB211" s="63">
        <f t="shared" ca="1" si="25"/>
        <v>9.7006007321112726</v>
      </c>
      <c r="AC211" s="63">
        <f t="shared" ca="1" si="26"/>
        <v>9.7006007321112726</v>
      </c>
      <c r="AD211" s="3">
        <f t="shared" ca="1" si="27"/>
        <v>0</v>
      </c>
    </row>
    <row r="212" spans="8:30">
      <c r="H212" t="b">
        <f t="shared" ca="1" si="24"/>
        <v>1</v>
      </c>
      <c r="I212" t="b">
        <f t="shared" ca="1" si="21"/>
        <v>1</v>
      </c>
      <c r="J212" s="2">
        <f ca="1"/>
        <v>45720</v>
      </c>
      <c r="K212">
        <f ca="1"/>
        <v>8.8487771110431641</v>
      </c>
      <c r="L212">
        <f ca="1"/>
        <v>0.67044684852720593</v>
      </c>
      <c r="M212">
        <f ca="1"/>
        <v>1.9960735033102139E-3</v>
      </c>
      <c r="N212">
        <f ca="1"/>
        <v>0.56081426258891476</v>
      </c>
      <c r="O212">
        <f ca="1"/>
        <v>0</v>
      </c>
      <c r="P212">
        <f ca="1"/>
        <v>340.8674792953999</v>
      </c>
      <c r="Q212">
        <f ca="1"/>
        <v>212.79407847590272</v>
      </c>
      <c r="R212">
        <f ca="1"/>
        <v>0</v>
      </c>
      <c r="S212">
        <f ca="1"/>
        <v>0.36771054092632954</v>
      </c>
      <c r="T212">
        <f ca="1"/>
        <v>0</v>
      </c>
      <c r="U212">
        <f ca="1"/>
        <v>0</v>
      </c>
      <c r="V212">
        <f ca="1"/>
        <v>0.45902309763004367</v>
      </c>
      <c r="Y212" s="2">
        <f t="shared" ca="1" si="22"/>
        <v>45720</v>
      </c>
      <c r="Z212">
        <f t="shared" ca="1" si="23"/>
        <v>0</v>
      </c>
      <c r="AB212" s="63">
        <f t="shared" ca="1" si="25"/>
        <v>9.51922395957037</v>
      </c>
      <c r="AC212" s="63">
        <f t="shared" ca="1" si="26"/>
        <v>9.51922395957037</v>
      </c>
      <c r="AD212" s="3">
        <f t="shared" ca="1" si="27"/>
        <v>0</v>
      </c>
    </row>
    <row r="213" spans="8:30">
      <c r="H213" t="b">
        <f t="shared" ca="1" si="24"/>
        <v>1</v>
      </c>
      <c r="I213" t="b">
        <f t="shared" ca="1" si="21"/>
        <v>1</v>
      </c>
      <c r="J213" s="2">
        <f ca="1"/>
        <v>45721</v>
      </c>
      <c r="K213">
        <f ca="1"/>
        <v>8.783770240635187</v>
      </c>
      <c r="L213">
        <f ca="1"/>
        <v>0.62641570685150327</v>
      </c>
      <c r="M213">
        <f ca="1"/>
        <v>1.9606898357089619E-3</v>
      </c>
      <c r="N213">
        <f ca="1"/>
        <v>0.55944814660781661</v>
      </c>
      <c r="O213">
        <f ca="1"/>
        <v>0</v>
      </c>
      <c r="P213">
        <f ca="1"/>
        <v>341.49389500225141</v>
      </c>
      <c r="Q213">
        <f ca="1"/>
        <v>213.18513236393517</v>
      </c>
      <c r="R213">
        <f ca="1"/>
        <v>0</v>
      </c>
      <c r="S213">
        <f ca="1"/>
        <v>0.37061921295080713</v>
      </c>
      <c r="T213">
        <f ca="1"/>
        <v>0</v>
      </c>
      <c r="U213">
        <f ca="1"/>
        <v>0</v>
      </c>
      <c r="V213">
        <f ca="1"/>
        <v>0.43794402528602183</v>
      </c>
      <c r="Y213" s="2">
        <f t="shared" ca="1" si="22"/>
        <v>45721</v>
      </c>
      <c r="Z213">
        <f t="shared" ca="1" si="23"/>
        <v>0</v>
      </c>
      <c r="AB213" s="63">
        <f t="shared" ca="1" si="25"/>
        <v>9.4101859474866902</v>
      </c>
      <c r="AC213" s="63">
        <f t="shared" ca="1" si="26"/>
        <v>9.4101859474866902</v>
      </c>
      <c r="AD213" s="3">
        <f t="shared" ca="1" si="27"/>
        <v>0</v>
      </c>
    </row>
    <row r="214" spans="8:30">
      <c r="H214" t="b">
        <f t="shared" ca="1" si="24"/>
        <v>1</v>
      </c>
      <c r="I214" t="b">
        <f t="shared" ca="1" si="21"/>
        <v>1</v>
      </c>
      <c r="J214" s="2">
        <f ca="1"/>
        <v>45722</v>
      </c>
      <c r="K214">
        <f ca="1"/>
        <v>8.7605198616612991</v>
      </c>
      <c r="L214">
        <f ca="1"/>
        <v>0.6008212357779712</v>
      </c>
      <c r="M214">
        <f ca="1"/>
        <v>1.9668017611333966E-3</v>
      </c>
      <c r="N214">
        <f ca="1"/>
        <v>0.57560405504294965</v>
      </c>
      <c r="O214">
        <f ca="1"/>
        <v>0</v>
      </c>
      <c r="P214">
        <f ca="1"/>
        <v>342.09471623802938</v>
      </c>
      <c r="Q214">
        <f ca="1"/>
        <v>213.56020833615881</v>
      </c>
      <c r="R214">
        <f ca="1"/>
        <v>0</v>
      </c>
      <c r="S214">
        <f ca="1"/>
        <v>0.36879559762347169</v>
      </c>
      <c r="T214">
        <f ca="1"/>
        <v>0</v>
      </c>
      <c r="U214">
        <f ca="1"/>
        <v>0</v>
      </c>
      <c r="V214">
        <f ca="1"/>
        <v>0.41638348109458734</v>
      </c>
      <c r="Y214" s="2">
        <f t="shared" ca="1" si="22"/>
        <v>45722</v>
      </c>
      <c r="Z214">
        <f t="shared" ca="1" si="23"/>
        <v>0</v>
      </c>
      <c r="AB214" s="63">
        <f t="shared" ca="1" si="25"/>
        <v>9.3613410974392703</v>
      </c>
      <c r="AC214" s="63">
        <f t="shared" ca="1" si="26"/>
        <v>9.3613410974392703</v>
      </c>
      <c r="AD214" s="3">
        <f t="shared" ca="1" si="27"/>
        <v>0</v>
      </c>
    </row>
    <row r="215" spans="8:30">
      <c r="H215" t="b">
        <f t="shared" ca="1" si="24"/>
        <v>1</v>
      </c>
      <c r="I215" t="b">
        <f t="shared" ca="1" si="21"/>
        <v>1</v>
      </c>
      <c r="J215" s="2">
        <f ca="1"/>
        <v>45723</v>
      </c>
      <c r="K215">
        <f ca="1"/>
        <v>8.7752572685135011</v>
      </c>
      <c r="L215">
        <f ca="1"/>
        <v>0.54593264399863983</v>
      </c>
      <c r="M215">
        <f ca="1"/>
        <v>1.9057110566684798E-3</v>
      </c>
      <c r="N215">
        <f ca="1"/>
        <v>0.55876433979417295</v>
      </c>
      <c r="O215">
        <f ca="1"/>
        <v>0</v>
      </c>
      <c r="P215">
        <f ca="1"/>
        <v>342.64064888202802</v>
      </c>
      <c r="Q215">
        <f ca="1"/>
        <v>213.90101888848761</v>
      </c>
      <c r="R215">
        <f ca="1"/>
        <v>0</v>
      </c>
      <c r="S215">
        <f ca="1"/>
        <v>0.3793995403136749</v>
      </c>
      <c r="T215">
        <f ca="1"/>
        <v>0</v>
      </c>
      <c r="U215">
        <f ca="1"/>
        <v>0</v>
      </c>
      <c r="V215">
        <f ca="1"/>
        <v>0.39549230020321391</v>
      </c>
      <c r="Y215" s="2">
        <f t="shared" ca="1" si="22"/>
        <v>45723</v>
      </c>
      <c r="Z215">
        <f t="shared" ca="1" si="23"/>
        <v>0</v>
      </c>
      <c r="AB215" s="63">
        <f t="shared" ca="1" si="25"/>
        <v>9.3211899125121409</v>
      </c>
      <c r="AC215" s="63">
        <f t="shared" ca="1" si="26"/>
        <v>9.3211899125121409</v>
      </c>
      <c r="AD215" s="3">
        <f t="shared" ca="1" si="27"/>
        <v>0</v>
      </c>
    </row>
    <row r="216" spans="8:30">
      <c r="H216" t="b">
        <f t="shared" ca="1" si="24"/>
        <v>1</v>
      </c>
      <c r="I216" t="b">
        <f t="shared" ca="1" si="21"/>
        <v>1</v>
      </c>
      <c r="J216" s="2">
        <f ca="1"/>
        <v>45724</v>
      </c>
      <c r="K216">
        <f ca="1"/>
        <v>8.8155683182997411</v>
      </c>
      <c r="L216">
        <f ca="1"/>
        <v>0.52212664918658902</v>
      </c>
      <c r="M216">
        <f ca="1"/>
        <v>1.8196809802120129E-3</v>
      </c>
      <c r="N216">
        <f ca="1"/>
        <v>0.56061801799261779</v>
      </c>
      <c r="O216">
        <f ca="1"/>
        <v>0</v>
      </c>
      <c r="P216">
        <f ca="1"/>
        <v>343.16277553121461</v>
      </c>
      <c r="Q216">
        <f ca="1"/>
        <v>214.22696802095118</v>
      </c>
      <c r="R216">
        <f ca="1"/>
        <v>0</v>
      </c>
      <c r="S216">
        <f ca="1"/>
        <v>0.36069982766550018</v>
      </c>
      <c r="T216">
        <f ca="1"/>
        <v>0</v>
      </c>
      <c r="U216">
        <f ca="1"/>
        <v>0</v>
      </c>
      <c r="V216">
        <f ca="1"/>
        <v>0.37419010675917164</v>
      </c>
      <c r="Y216" s="2">
        <f t="shared" ca="1" si="22"/>
        <v>45724</v>
      </c>
      <c r="Z216">
        <f t="shared" ca="1" si="23"/>
        <v>0</v>
      </c>
      <c r="AB216" s="63">
        <f t="shared" ca="1" si="25"/>
        <v>9.3376949674863301</v>
      </c>
      <c r="AC216" s="63">
        <f t="shared" ca="1" si="26"/>
        <v>9.3376949674863301</v>
      </c>
      <c r="AD216" s="3">
        <f t="shared" ca="1" si="27"/>
        <v>0</v>
      </c>
    </row>
    <row r="217" spans="8:30">
      <c r="H217" t="b">
        <f t="shared" ca="1" si="24"/>
        <v>1</v>
      </c>
      <c r="I217" t="b">
        <f t="shared" ca="1" si="21"/>
        <v>1</v>
      </c>
      <c r="J217" s="2">
        <f ca="1"/>
        <v>45725</v>
      </c>
      <c r="K217">
        <f ca="1"/>
        <v>8.9045752793145354</v>
      </c>
      <c r="L217">
        <f ca="1"/>
        <v>0.49557982170222203</v>
      </c>
      <c r="M217">
        <f ca="1"/>
        <v>1.8976467147933107E-3</v>
      </c>
      <c r="N217">
        <f ca="1"/>
        <v>0.58268913600222294</v>
      </c>
      <c r="O217">
        <f ca="1"/>
        <v>0</v>
      </c>
      <c r="P217">
        <f ca="1"/>
        <v>343.65835535291683</v>
      </c>
      <c r="Q217">
        <f ca="1"/>
        <v>214.53634470800964</v>
      </c>
      <c r="R217">
        <f ca="1"/>
        <v>0</v>
      </c>
      <c r="S217">
        <f ca="1"/>
        <v>0.37748594578842715</v>
      </c>
      <c r="T217">
        <f ca="1"/>
        <v>0</v>
      </c>
      <c r="U217">
        <f ca="1"/>
        <v>0</v>
      </c>
      <c r="V217">
        <f ca="1"/>
        <v>0.35260607613615613</v>
      </c>
      <c r="Y217" s="2">
        <f t="shared" ca="1" si="22"/>
        <v>45725</v>
      </c>
      <c r="Z217">
        <f t="shared" ca="1" si="23"/>
        <v>0</v>
      </c>
      <c r="AB217" s="63">
        <f t="shared" ca="1" si="25"/>
        <v>9.4001551010167574</v>
      </c>
      <c r="AC217" s="63">
        <f t="shared" ca="1" si="26"/>
        <v>9.4001551010167574</v>
      </c>
      <c r="AD217" s="3">
        <f t="shared" ca="1" si="27"/>
        <v>0</v>
      </c>
    </row>
    <row r="218" spans="8:30">
      <c r="H218" t="b">
        <f t="shared" ca="1" si="24"/>
        <v>1</v>
      </c>
      <c r="I218" t="b">
        <f t="shared" ca="1" si="21"/>
        <v>1</v>
      </c>
      <c r="J218" s="2">
        <f ca="1"/>
        <v>45726</v>
      </c>
      <c r="K218">
        <f ca="1"/>
        <v>9.0143966005761165</v>
      </c>
      <c r="L218">
        <f ca="1"/>
        <v>0.45710912560934958</v>
      </c>
      <c r="M218">
        <f ca="1"/>
        <v>1.7861079787611089E-3</v>
      </c>
      <c r="N218">
        <f ca="1"/>
        <v>0.5651443388921692</v>
      </c>
      <c r="O218">
        <f ca="1"/>
        <v>0</v>
      </c>
      <c r="P218">
        <f ca="1"/>
        <v>344.11546447852618</v>
      </c>
      <c r="Q218">
        <f ca="1"/>
        <v>214.82170521041965</v>
      </c>
      <c r="R218">
        <f ca="1"/>
        <v>0</v>
      </c>
      <c r="S218">
        <f ca="1"/>
        <v>0.36968412665557593</v>
      </c>
      <c r="T218">
        <f ca="1"/>
        <v>0</v>
      </c>
      <c r="U218">
        <f ca="1"/>
        <v>0</v>
      </c>
      <c r="V218">
        <f ca="1"/>
        <v>0.33135085555527599</v>
      </c>
      <c r="Y218" s="2">
        <f t="shared" ca="1" si="22"/>
        <v>45726</v>
      </c>
      <c r="Z218">
        <f t="shared" ca="1" si="23"/>
        <v>0</v>
      </c>
      <c r="AB218" s="63">
        <f t="shared" ca="1" si="25"/>
        <v>9.471505726185466</v>
      </c>
      <c r="AC218" s="63">
        <f t="shared" ca="1" si="26"/>
        <v>9.471505726185466</v>
      </c>
      <c r="AD218" s="3">
        <f t="shared" ca="1" si="27"/>
        <v>0</v>
      </c>
    </row>
    <row r="219" spans="8:30">
      <c r="H219" t="b">
        <f t="shared" ca="1" si="24"/>
        <v>1</v>
      </c>
      <c r="I219" t="b">
        <f t="shared" ca="1" si="21"/>
        <v>1</v>
      </c>
      <c r="J219" s="2">
        <f ca="1"/>
        <v>45727</v>
      </c>
      <c r="K219">
        <f ca="1"/>
        <v>9.2033649472288239</v>
      </c>
      <c r="L219">
        <f ca="1"/>
        <v>0.42439462579301335</v>
      </c>
      <c r="M219">
        <f ca="1"/>
        <v>2.0653966491313014E-3</v>
      </c>
      <c r="N219">
        <f ca="1"/>
        <v>0.61129757579658917</v>
      </c>
      <c r="O219">
        <f ca="1"/>
        <v>0</v>
      </c>
      <c r="P219">
        <f ca="1"/>
        <v>344.53985910431919</v>
      </c>
      <c r="Q219">
        <f ca="1"/>
        <v>215.08664296127935</v>
      </c>
      <c r="R219">
        <f ca="1"/>
        <v>0</v>
      </c>
      <c r="S219">
        <f ca="1"/>
        <v>0.44198151046634476</v>
      </c>
      <c r="T219">
        <f ca="1"/>
        <v>0</v>
      </c>
      <c r="U219">
        <f ca="1"/>
        <v>0</v>
      </c>
      <c r="V219">
        <f ca="1"/>
        <v>0.31029526964283516</v>
      </c>
      <c r="Y219" s="2">
        <f t="shared" ca="1" si="22"/>
        <v>45727</v>
      </c>
      <c r="Z219">
        <f t="shared" ca="1" si="23"/>
        <v>0</v>
      </c>
      <c r="AB219" s="63">
        <f t="shared" ca="1" si="25"/>
        <v>9.6277595730218373</v>
      </c>
      <c r="AC219" s="63">
        <f t="shared" ca="1" si="26"/>
        <v>9.6277595730218373</v>
      </c>
      <c r="AD219" s="3">
        <f t="shared" ca="1" si="27"/>
        <v>0</v>
      </c>
    </row>
    <row r="220" spans="8:30">
      <c r="H220" t="b">
        <f t="shared" ca="1" si="24"/>
        <v>1</v>
      </c>
      <c r="I220" t="b">
        <f t="shared" ca="1" si="21"/>
        <v>1</v>
      </c>
      <c r="J220" s="2">
        <f ca="1"/>
        <v>45728</v>
      </c>
      <c r="K220">
        <f ca="1"/>
        <v>9.434120458516972</v>
      </c>
      <c r="L220">
        <f ca="1"/>
        <v>0.40167991712417006</v>
      </c>
      <c r="M220">
        <f ca="1"/>
        <v>2.1035527890731487E-3</v>
      </c>
      <c r="N220">
        <f ca="1"/>
        <v>0.63033187562324411</v>
      </c>
      <c r="O220">
        <f ca="1"/>
        <v>0</v>
      </c>
      <c r="P220">
        <f ca="1"/>
        <v>344.94153902144336</v>
      </c>
      <c r="Q220">
        <f ca="1"/>
        <v>215.33740055183446</v>
      </c>
      <c r="R220">
        <f ca="1"/>
        <v>0</v>
      </c>
      <c r="S220">
        <f ca="1"/>
        <v>0.45523430962707073</v>
      </c>
      <c r="T220">
        <f ca="1"/>
        <v>0</v>
      </c>
      <c r="U220">
        <f ca="1"/>
        <v>0</v>
      </c>
      <c r="V220">
        <f ca="1"/>
        <v>0.28902830584616424</v>
      </c>
      <c r="Y220" s="2">
        <f t="shared" ca="1" si="22"/>
        <v>45728</v>
      </c>
      <c r="Z220">
        <f t="shared" ca="1" si="23"/>
        <v>0</v>
      </c>
      <c r="AB220" s="63">
        <f t="shared" ca="1" si="25"/>
        <v>9.8358003756411421</v>
      </c>
      <c r="AC220" s="63">
        <f t="shared" ca="1" si="26"/>
        <v>9.8358003756411421</v>
      </c>
      <c r="AD220" s="3">
        <f t="shared" ca="1" si="27"/>
        <v>0</v>
      </c>
    </row>
    <row r="221" spans="8:30">
      <c r="H221" t="b">
        <f t="shared" ca="1" si="24"/>
        <v>1</v>
      </c>
      <c r="I221" t="b">
        <f t="shared" ca="1" si="21"/>
        <v>1</v>
      </c>
      <c r="J221" s="2">
        <f ca="1"/>
        <v>45729</v>
      </c>
      <c r="K221">
        <f ca="1"/>
        <v>9.6765112987641348</v>
      </c>
      <c r="L221">
        <f ca="1"/>
        <v>0.36877838378251226</v>
      </c>
      <c r="M221">
        <f ca="1"/>
        <v>1.9813125637710982E-3</v>
      </c>
      <c r="N221">
        <f ca="1"/>
        <v>0.60918791146590379</v>
      </c>
      <c r="O221">
        <f ca="1"/>
        <v>0</v>
      </c>
      <c r="P221">
        <f ca="1"/>
        <v>345.31031740522587</v>
      </c>
      <c r="Q221">
        <f ca="1"/>
        <v>215.56761863101599</v>
      </c>
      <c r="R221">
        <f ca="1"/>
        <v>0</v>
      </c>
      <c r="S221">
        <f ca="1"/>
        <v>0.45044450732079289</v>
      </c>
      <c r="T221">
        <f ca="1"/>
        <v>0</v>
      </c>
      <c r="U221">
        <f ca="1"/>
        <v>0</v>
      </c>
      <c r="V221">
        <f ca="1"/>
        <v>0.26819584103374383</v>
      </c>
      <c r="Y221" s="2">
        <f t="shared" ca="1" si="22"/>
        <v>45729</v>
      </c>
      <c r="Z221">
        <f t="shared" ca="1" si="23"/>
        <v>0</v>
      </c>
      <c r="AB221" s="63">
        <f t="shared" ca="1" si="25"/>
        <v>10.045289682546647</v>
      </c>
      <c r="AC221" s="63">
        <f t="shared" ca="1" si="26"/>
        <v>10.045289682546647</v>
      </c>
      <c r="AD221" s="3">
        <f t="shared" ca="1" si="27"/>
        <v>0</v>
      </c>
    </row>
    <row r="222" spans="8:30">
      <c r="H222" t="b">
        <f t="shared" ca="1" si="24"/>
        <v>1</v>
      </c>
      <c r="I222" t="b">
        <f t="shared" ca="1" si="21"/>
        <v>1</v>
      </c>
      <c r="J222" s="2">
        <f ca="1"/>
        <v>45730</v>
      </c>
      <c r="K222">
        <f ca="1"/>
        <v>9.940257460935646</v>
      </c>
      <c r="L222">
        <f ca="1"/>
        <v>0.34581846875636302</v>
      </c>
      <c r="M222">
        <f ca="1"/>
        <v>1.9277306923104476E-3</v>
      </c>
      <c r="N222">
        <f ca="1"/>
        <v>0.60763690023556416</v>
      </c>
      <c r="O222">
        <f ca="1"/>
        <v>0</v>
      </c>
      <c r="P222">
        <f ca="1"/>
        <v>345.65613587398224</v>
      </c>
      <c r="Q222">
        <f ca="1"/>
        <v>215.78350347438993</v>
      </c>
      <c r="R222">
        <f ca="1"/>
        <v>0</v>
      </c>
      <c r="S222">
        <f ca="1"/>
        <v>0.44847181949884063</v>
      </c>
      <c r="T222">
        <f ca="1"/>
        <v>0</v>
      </c>
      <c r="U222">
        <f ca="1"/>
        <v>0</v>
      </c>
      <c r="V222">
        <f ca="1"/>
        <v>0.24736337622132332</v>
      </c>
      <c r="Y222" s="2">
        <f t="shared" ca="1" si="22"/>
        <v>45730</v>
      </c>
      <c r="Z222">
        <f t="shared" ca="1" si="23"/>
        <v>0</v>
      </c>
      <c r="AB222" s="63">
        <f t="shared" ca="1" si="25"/>
        <v>10.286075929692009</v>
      </c>
      <c r="AC222" s="63">
        <f t="shared" ca="1" si="26"/>
        <v>10.286075929692009</v>
      </c>
      <c r="AD222" s="3">
        <f t="shared" ca="1" si="27"/>
        <v>0</v>
      </c>
    </row>
    <row r="223" spans="8:30">
      <c r="H223" t="b">
        <f t="shared" ca="1" si="24"/>
        <v>1</v>
      </c>
      <c r="I223" t="b">
        <f t="shared" ca="1" si="21"/>
        <v>1</v>
      </c>
      <c r="J223" s="2">
        <f ca="1"/>
        <v>45731</v>
      </c>
      <c r="K223">
        <f ca="1"/>
        <v>10.236554329753472</v>
      </c>
      <c r="L223">
        <f ca="1"/>
        <v>0.32141361776081112</v>
      </c>
      <c r="M223">
        <f ca="1"/>
        <v>1.9442810589378468E-3</v>
      </c>
      <c r="N223">
        <f ca="1"/>
        <v>0.61576620551970063</v>
      </c>
      <c r="O223">
        <f ca="1"/>
        <v>0</v>
      </c>
      <c r="P223">
        <f ca="1"/>
        <v>345.97754949174305</v>
      </c>
      <c r="Q223">
        <f ca="1"/>
        <v>215.98415304865381</v>
      </c>
      <c r="R223">
        <f ca="1"/>
        <v>0</v>
      </c>
      <c r="S223">
        <f ca="1"/>
        <v>0.46810597006920701</v>
      </c>
      <c r="T223">
        <f ca="1"/>
        <v>0</v>
      </c>
      <c r="U223">
        <f ca="1"/>
        <v>0</v>
      </c>
      <c r="V223">
        <f ca="1"/>
        <v>0.22671880286155133</v>
      </c>
      <c r="Y223" s="2">
        <f t="shared" ca="1" si="22"/>
        <v>45731</v>
      </c>
      <c r="Z223">
        <f t="shared" ca="1" si="23"/>
        <v>0</v>
      </c>
      <c r="AB223" s="63">
        <f t="shared" ca="1" si="25"/>
        <v>10.557967947514285</v>
      </c>
      <c r="AC223" s="63">
        <f t="shared" ca="1" si="26"/>
        <v>10.557967947514284</v>
      </c>
      <c r="AD223" s="3">
        <f t="shared" ca="1" si="27"/>
        <v>0</v>
      </c>
    </row>
    <row r="224" spans="8:30">
      <c r="H224" t="b">
        <f t="shared" ca="1" si="24"/>
        <v>1</v>
      </c>
      <c r="I224" t="b">
        <f t="shared" ca="1" si="21"/>
        <v>1</v>
      </c>
      <c r="J224" s="2">
        <f ca="1"/>
        <v>45732</v>
      </c>
      <c r="K224">
        <f ca="1"/>
        <v>10.5706521464173</v>
      </c>
      <c r="L224">
        <f ca="1"/>
        <v>0.30382631023491058</v>
      </c>
      <c r="M224">
        <f ca="1"/>
        <v>1.9844179288970309E-3</v>
      </c>
      <c r="N224">
        <f ca="1"/>
        <v>0.63593970896984242</v>
      </c>
      <c r="O224">
        <f ca="1"/>
        <v>0</v>
      </c>
      <c r="P224">
        <f ca="1"/>
        <v>346.28137580197796</v>
      </c>
      <c r="Q224">
        <f ca="1"/>
        <v>216.17382335641332</v>
      </c>
      <c r="R224">
        <f ca="1"/>
        <v>0</v>
      </c>
      <c r="S224">
        <f ca="1"/>
        <v>0.48463453882709145</v>
      </c>
      <c r="T224">
        <f ca="1"/>
        <v>0</v>
      </c>
      <c r="U224">
        <f ca="1"/>
        <v>0</v>
      </c>
      <c r="V224">
        <f ca="1"/>
        <v>0.20590982448071193</v>
      </c>
      <c r="Y224" s="2">
        <f t="shared" ca="1" si="22"/>
        <v>45732</v>
      </c>
      <c r="Z224">
        <f t="shared" ca="1" si="23"/>
        <v>0</v>
      </c>
      <c r="AB224" s="63">
        <f t="shared" ca="1" si="25"/>
        <v>10.874478456652213</v>
      </c>
      <c r="AC224" s="63">
        <f t="shared" ca="1" si="26"/>
        <v>10.874478456652211</v>
      </c>
      <c r="AD224" s="3">
        <f t="shared" ca="1" si="27"/>
        <v>0</v>
      </c>
    </row>
    <row r="225" spans="8:30">
      <c r="H225" t="b">
        <f t="shared" ca="1" si="24"/>
        <v>1</v>
      </c>
      <c r="I225" t="b">
        <f t="shared" ca="1" si="21"/>
        <v>1</v>
      </c>
      <c r="J225" s="2">
        <f ca="1"/>
        <v>45733</v>
      </c>
      <c r="K225">
        <f ca="1"/>
        <v>10.930875849512569</v>
      </c>
      <c r="L225">
        <f ca="1"/>
        <v>0.28451510706071304</v>
      </c>
      <c r="M225">
        <f ca="1"/>
        <v>1.9706891082993394E-3</v>
      </c>
      <c r="N225">
        <f ca="1"/>
        <v>0.64276812104768311</v>
      </c>
      <c r="O225">
        <f ca="1"/>
        <v>0</v>
      </c>
      <c r="P225">
        <f ca="1"/>
        <v>346.56589090903867</v>
      </c>
      <c r="Q225">
        <f ca="1"/>
        <v>216.351438217604</v>
      </c>
      <c r="R225">
        <f ca="1"/>
        <v>0</v>
      </c>
      <c r="S225">
        <f ca="1"/>
        <v>0.4939397478111141</v>
      </c>
      <c r="T225">
        <f ca="1"/>
        <v>0</v>
      </c>
      <c r="U225">
        <f ca="1"/>
        <v>0</v>
      </c>
      <c r="V225">
        <f ca="1"/>
        <v>0.18512433253145355</v>
      </c>
      <c r="Y225" s="2">
        <f t="shared" ca="1" si="22"/>
        <v>45733</v>
      </c>
      <c r="Z225">
        <f t="shared" ca="1" si="23"/>
        <v>0</v>
      </c>
      <c r="AB225" s="63">
        <f t="shared" ca="1" si="25"/>
        <v>11.215390956573282</v>
      </c>
      <c r="AC225" s="63">
        <f t="shared" ca="1" si="26"/>
        <v>11.215390956573282</v>
      </c>
      <c r="AD225" s="3">
        <f t="shared" ca="1" si="27"/>
        <v>0</v>
      </c>
    </row>
    <row r="226" spans="8:30">
      <c r="H226" t="b">
        <f t="shared" ca="1" si="24"/>
        <v>1</v>
      </c>
      <c r="I226" t="b">
        <f t="shared" ca="1" si="21"/>
        <v>1</v>
      </c>
      <c r="J226" s="2">
        <f ca="1"/>
        <v>45734</v>
      </c>
      <c r="K226">
        <f ca="1"/>
        <v>11.304337062397726</v>
      </c>
      <c r="L226">
        <f ca="1"/>
        <v>0.26554643570318603</v>
      </c>
      <c r="M226">
        <f ca="1"/>
        <v>1.9041599538613951E-3</v>
      </c>
      <c r="N226">
        <f ca="1"/>
        <v>0.63710348863448218</v>
      </c>
      <c r="O226">
        <f ca="1"/>
        <v>0</v>
      </c>
      <c r="P226">
        <f ca="1"/>
        <v>346.83143734474186</v>
      </c>
      <c r="Q226">
        <f ca="1"/>
        <v>216.51721146530369</v>
      </c>
      <c r="R226">
        <f ca="1"/>
        <v>0</v>
      </c>
      <c r="S226">
        <f ca="1"/>
        <v>0.49183329257231828</v>
      </c>
      <c r="T226">
        <f ca="1"/>
        <v>0</v>
      </c>
      <c r="U226">
        <f ca="1"/>
        <v>0</v>
      </c>
      <c r="V226">
        <f ca="1"/>
        <v>0.16443278630851943</v>
      </c>
      <c r="Y226" s="2">
        <f t="shared" ca="1" si="22"/>
        <v>45734</v>
      </c>
      <c r="Z226">
        <f t="shared" ca="1" si="23"/>
        <v>0</v>
      </c>
      <c r="AB226" s="63">
        <f t="shared" ca="1" si="25"/>
        <v>11.569883498100912</v>
      </c>
      <c r="AC226" s="63">
        <f t="shared" ca="1" si="26"/>
        <v>11.569883498100912</v>
      </c>
      <c r="AD226" s="3">
        <f t="shared" ca="1" si="27"/>
        <v>0</v>
      </c>
    </row>
    <row r="227" spans="8:30">
      <c r="H227" t="b">
        <f t="shared" ca="1" si="24"/>
        <v>1</v>
      </c>
      <c r="I227" t="b">
        <f t="shared" ca="1" si="21"/>
        <v>1</v>
      </c>
      <c r="J227" s="2">
        <f ca="1"/>
        <v>45735</v>
      </c>
      <c r="K227">
        <f ca="1"/>
        <v>11.674235085507924</v>
      </c>
      <c r="L227">
        <f ca="1"/>
        <v>0.2428185403142038</v>
      </c>
      <c r="M227">
        <f ca="1"/>
        <v>1.7816335000624406E-3</v>
      </c>
      <c r="N227">
        <f ca="1"/>
        <v>0.61093492992433795</v>
      </c>
      <c r="O227">
        <f ca="1"/>
        <v>0</v>
      </c>
      <c r="P227">
        <f ca="1"/>
        <v>347.07425588505606</v>
      </c>
      <c r="Q227">
        <f ca="1"/>
        <v>216.66879632059656</v>
      </c>
      <c r="R227">
        <f ca="1"/>
        <v>0</v>
      </c>
      <c r="S227">
        <f ca="1"/>
        <v>0.48617829778571503</v>
      </c>
      <c r="T227">
        <f ca="1"/>
        <v>0</v>
      </c>
      <c r="U227">
        <f ca="1"/>
        <v>0</v>
      </c>
      <c r="V227">
        <f ca="1"/>
        <v>0.14426968479615943</v>
      </c>
      <c r="Y227" s="2">
        <f t="shared" ca="1" si="22"/>
        <v>45735</v>
      </c>
      <c r="Z227">
        <f t="shared" ca="1" si="23"/>
        <v>0</v>
      </c>
      <c r="AB227" s="63">
        <f t="shared" ca="1" si="25"/>
        <v>11.917053625822128</v>
      </c>
      <c r="AC227" s="63">
        <f t="shared" ca="1" si="26"/>
        <v>11.917053625822128</v>
      </c>
      <c r="AD227" s="3">
        <f t="shared" ca="1" si="27"/>
        <v>0</v>
      </c>
    </row>
    <row r="228" spans="8:30">
      <c r="H228" t="b">
        <f t="shared" ca="1" si="24"/>
        <v>1</v>
      </c>
      <c r="I228" t="b">
        <f t="shared" ca="1" si="21"/>
        <v>1</v>
      </c>
      <c r="J228" s="2">
        <f ca="1"/>
        <v>45736</v>
      </c>
      <c r="K228">
        <f ca="1"/>
        <v>12.082063651167745</v>
      </c>
      <c r="L228">
        <f ca="1"/>
        <v>0.22866744566829311</v>
      </c>
      <c r="M228">
        <f ca="1"/>
        <v>1.7959765725983345E-3</v>
      </c>
      <c r="N228">
        <f ca="1"/>
        <v>0.63470003475551573</v>
      </c>
      <c r="O228">
        <f ca="1"/>
        <v>0</v>
      </c>
      <c r="P228">
        <f ca="1"/>
        <v>347.30292333072435</v>
      </c>
      <c r="Q228">
        <f ca="1"/>
        <v>216.81154704143094</v>
      </c>
      <c r="R228">
        <f ca="1"/>
        <v>0</v>
      </c>
      <c r="S228">
        <f ca="1"/>
        <v>0.51226911359700966</v>
      </c>
      <c r="T228">
        <f ca="1"/>
        <v>0</v>
      </c>
      <c r="U228">
        <f ca="1"/>
        <v>0</v>
      </c>
      <c r="V228">
        <f ca="1"/>
        <v>0.12404786720484706</v>
      </c>
      <c r="Y228" s="2">
        <f t="shared" ca="1" si="22"/>
        <v>45736</v>
      </c>
      <c r="Z228">
        <f t="shared" ca="1" si="23"/>
        <v>0</v>
      </c>
      <c r="AB228" s="63">
        <f t="shared" ca="1" si="25"/>
        <v>12.310731096836038</v>
      </c>
      <c r="AC228" s="63">
        <f t="shared" ca="1" si="26"/>
        <v>12.310731096836038</v>
      </c>
      <c r="AD228" s="3">
        <f t="shared" ca="1" si="27"/>
        <v>0</v>
      </c>
    </row>
    <row r="229" spans="8:30">
      <c r="H229" t="b">
        <f t="shared" ca="1" si="24"/>
        <v>1</v>
      </c>
      <c r="I229" t="b">
        <f t="shared" ca="1" si="21"/>
        <v>1</v>
      </c>
      <c r="J229" s="2">
        <f ca="1"/>
        <v>45737</v>
      </c>
      <c r="K229">
        <f ca="1"/>
        <v>12.501317134252059</v>
      </c>
      <c r="L229">
        <f ca="1"/>
        <v>0.21805775617627887</v>
      </c>
      <c r="M229">
        <f ca="1"/>
        <v>1.7769983203024253E-3</v>
      </c>
      <c r="N229">
        <f ca="1"/>
        <v>0.63553424094028921</v>
      </c>
      <c r="O229">
        <f ca="1"/>
        <v>0</v>
      </c>
      <c r="P229">
        <f ca="1"/>
        <v>347.52098108690063</v>
      </c>
      <c r="Q229">
        <f ca="1"/>
        <v>216.94767442846117</v>
      </c>
      <c r="R229">
        <f ca="1"/>
        <v>0</v>
      </c>
      <c r="S229">
        <f ca="1"/>
        <v>0.49693109802515179</v>
      </c>
      <c r="T229">
        <f ca="1"/>
        <v>0</v>
      </c>
      <c r="U229">
        <f ca="1"/>
        <v>0</v>
      </c>
      <c r="V229">
        <f ca="1"/>
        <v>0.10349723957139934</v>
      </c>
      <c r="Y229" s="2">
        <f t="shared" ca="1" si="22"/>
        <v>45737</v>
      </c>
      <c r="Z229">
        <f t="shared" ca="1" si="23"/>
        <v>0</v>
      </c>
      <c r="AB229" s="63">
        <f t="shared" ca="1" si="25"/>
        <v>12.719374890428337</v>
      </c>
      <c r="AC229" s="63">
        <f t="shared" ca="1" si="26"/>
        <v>12.719374890428337</v>
      </c>
      <c r="AD229" s="3">
        <f t="shared" ca="1" si="27"/>
        <v>0</v>
      </c>
    </row>
    <row r="230" spans="8:30">
      <c r="H230" t="b">
        <f t="shared" ca="1" si="24"/>
        <v>1</v>
      </c>
      <c r="I230" t="b">
        <f t="shared" ca="1" si="21"/>
        <v>1</v>
      </c>
      <c r="J230" s="2">
        <f ca="1"/>
        <v>45738</v>
      </c>
      <c r="K230">
        <f ca="1"/>
        <v>12.942832868129047</v>
      </c>
      <c r="L230">
        <f ca="1"/>
        <v>0.20324587945873418</v>
      </c>
      <c r="M230">
        <f ca="1"/>
        <v>1.7325192819637181E-3</v>
      </c>
      <c r="N230">
        <f ca="1"/>
        <v>0.64302909405375885</v>
      </c>
      <c r="O230">
        <f ca="1"/>
        <v>0</v>
      </c>
      <c r="P230">
        <f ca="1"/>
        <v>347.72422696635937</v>
      </c>
      <c r="Q230">
        <f ca="1"/>
        <v>217.07455517317999</v>
      </c>
      <c r="R230">
        <f ca="1"/>
        <v>0</v>
      </c>
      <c r="S230">
        <f ca="1"/>
        <v>0.51223615990024407</v>
      </c>
      <c r="T230">
        <f ca="1"/>
        <v>0</v>
      </c>
      <c r="U230">
        <f ca="1"/>
        <v>0</v>
      </c>
      <c r="V230">
        <f ca="1"/>
        <v>8.3075787311647775E-2</v>
      </c>
      <c r="Y230" s="2">
        <f t="shared" ca="1" si="22"/>
        <v>45738</v>
      </c>
      <c r="Z230">
        <f t="shared" ca="1" si="23"/>
        <v>0</v>
      </c>
      <c r="AB230" s="63">
        <f t="shared" ca="1" si="25"/>
        <v>13.146078747587781</v>
      </c>
      <c r="AC230" s="63">
        <f t="shared" ca="1" si="26"/>
        <v>13.146078747587781</v>
      </c>
      <c r="AD230" s="3">
        <f t="shared" ca="1" si="27"/>
        <v>0</v>
      </c>
    </row>
    <row r="231" spans="8:30">
      <c r="H231" t="b">
        <f t="shared" ca="1" si="24"/>
        <v>1</v>
      </c>
      <c r="I231" t="b">
        <f t="shared" ca="1" si="21"/>
        <v>1</v>
      </c>
      <c r="J231" s="2">
        <f ca="1"/>
        <v>45739</v>
      </c>
      <c r="K231">
        <f ca="1"/>
        <v>13.399224876446349</v>
      </c>
      <c r="L231">
        <f ca="1"/>
        <v>0.18705084802809324</v>
      </c>
      <c r="M231">
        <f ca="1"/>
        <v>1.6529352597185465E-3</v>
      </c>
      <c r="N231">
        <f ca="1"/>
        <v>0.64178992108567612</v>
      </c>
      <c r="O231">
        <f ca="1"/>
        <v>0</v>
      </c>
      <c r="P231">
        <f ca="1"/>
        <v>347.91127781438746</v>
      </c>
      <c r="Q231">
        <f ca="1"/>
        <v>217.19132581060356</v>
      </c>
      <c r="R231">
        <f ca="1"/>
        <v>0</v>
      </c>
      <c r="S231">
        <f ca="1"/>
        <v>0.53062336530450982</v>
      </c>
      <c r="T231">
        <f ca="1"/>
        <v>0</v>
      </c>
      <c r="U231">
        <f ca="1"/>
        <v>0</v>
      </c>
      <c r="V231">
        <f ca="1"/>
        <v>6.3053604388774165E-2</v>
      </c>
      <c r="Y231" s="2">
        <f t="shared" ca="1" si="22"/>
        <v>45739</v>
      </c>
      <c r="Z231">
        <f t="shared" ca="1" si="23"/>
        <v>0</v>
      </c>
      <c r="AB231" s="63">
        <f t="shared" ca="1" si="25"/>
        <v>13.586275724474442</v>
      </c>
      <c r="AC231" s="63">
        <f t="shared" ca="1" si="26"/>
        <v>13.586275724474442</v>
      </c>
      <c r="AD231" s="3">
        <f t="shared" ca="1" si="27"/>
        <v>0</v>
      </c>
    </row>
    <row r="232" spans="8:30">
      <c r="H232" t="b">
        <f t="shared" ca="1" si="24"/>
        <v>1</v>
      </c>
      <c r="I232" t="b">
        <f t="shared" ca="1" si="21"/>
        <v>1</v>
      </c>
      <c r="J232" s="2">
        <f ca="1"/>
        <v>45740</v>
      </c>
      <c r="K232">
        <f ca="1"/>
        <v>13.865185861224132</v>
      </c>
      <c r="L232">
        <f ca="1"/>
        <v>0.17487913040207559</v>
      </c>
      <c r="M232">
        <f ca="1"/>
        <v>1.6064321096731504E-3</v>
      </c>
      <c r="N232">
        <f ca="1"/>
        <v>0.63923368307018658</v>
      </c>
      <c r="O232">
        <f ca="1"/>
        <v>0</v>
      </c>
      <c r="P232">
        <f ca="1"/>
        <v>348.08615694478954</v>
      </c>
      <c r="Q232">
        <f ca="1"/>
        <v>217.30049798354156</v>
      </c>
      <c r="R232">
        <f ca="1"/>
        <v>0</v>
      </c>
      <c r="S232">
        <f ca="1"/>
        <v>0.53230149983008734</v>
      </c>
      <c r="T232">
        <f ca="1"/>
        <v>0</v>
      </c>
      <c r="U232">
        <f ca="1"/>
        <v>0</v>
      </c>
      <c r="V232">
        <f ca="1"/>
        <v>4.3125367192225372E-2</v>
      </c>
      <c r="Y232" s="2">
        <f t="shared" ca="1" si="22"/>
        <v>45740</v>
      </c>
      <c r="Z232">
        <f t="shared" ca="1" si="23"/>
        <v>0</v>
      </c>
      <c r="AB232" s="63">
        <f t="shared" ca="1" si="25"/>
        <v>14.040064991626208</v>
      </c>
      <c r="AC232" s="63">
        <f t="shared" ca="1" si="26"/>
        <v>14.040064991626208</v>
      </c>
      <c r="AD232" s="3">
        <f t="shared" ca="1" si="27"/>
        <v>0</v>
      </c>
    </row>
    <row r="233" spans="8:30">
      <c r="H233" t="b">
        <f t="shared" ca="1" si="24"/>
        <v>1</v>
      </c>
      <c r="I233" t="b">
        <f t="shared" ca="1" si="21"/>
        <v>1</v>
      </c>
      <c r="J233" s="2">
        <f ca="1"/>
        <v>45741</v>
      </c>
      <c r="K233">
        <f ca="1"/>
        <v>14.344245235018876</v>
      </c>
      <c r="L233">
        <f ca="1"/>
        <v>0.16447184266257864</v>
      </c>
      <c r="M233">
        <f ca="1"/>
        <v>1.5723603348014592E-3</v>
      </c>
      <c r="N233">
        <f ca="1"/>
        <v>0.6419588561225219</v>
      </c>
      <c r="O233">
        <f ca="1"/>
        <v>0</v>
      </c>
      <c r="P233">
        <f ca="1"/>
        <v>348.25062878745211</v>
      </c>
      <c r="Q233">
        <f ca="1"/>
        <v>217.40317317645511</v>
      </c>
      <c r="R233">
        <f ca="1"/>
        <v>0</v>
      </c>
      <c r="S233">
        <f ca="1"/>
        <v>0.5343389007792837</v>
      </c>
      <c r="T233">
        <f ca="1"/>
        <v>0</v>
      </c>
      <c r="U233">
        <f ca="1"/>
        <v>0</v>
      </c>
      <c r="V233">
        <f ca="1"/>
        <v>2.3173643564095459E-2</v>
      </c>
      <c r="Y233" s="2">
        <f t="shared" ca="1" si="22"/>
        <v>45741</v>
      </c>
      <c r="Z233">
        <f t="shared" ca="1" si="23"/>
        <v>0</v>
      </c>
      <c r="AB233" s="63">
        <f t="shared" ca="1" si="25"/>
        <v>14.508717077681455</v>
      </c>
      <c r="AC233" s="63">
        <f t="shared" ca="1" si="26"/>
        <v>14.508717077681455</v>
      </c>
      <c r="AD233" s="3">
        <f t="shared" ca="1" si="27"/>
        <v>0</v>
      </c>
    </row>
    <row r="234" spans="8:30">
      <c r="H234" t="b">
        <f t="shared" ca="1" si="24"/>
        <v>0</v>
      </c>
      <c r="I234" t="b">
        <f t="shared" ca="1" si="21"/>
        <v>1</v>
      </c>
      <c r="J234" s="2">
        <f ca="1"/>
        <v>45742</v>
      </c>
      <c r="K234">
        <f ca="1"/>
        <v>14.858346020610936</v>
      </c>
      <c r="L234">
        <f ca="1"/>
        <v>0.15510354191394526</v>
      </c>
      <c r="M234">
        <f ca="1"/>
        <v>1.5444255174550392E-3</v>
      </c>
      <c r="N234">
        <f ca="1"/>
        <v>0.66765990198855085</v>
      </c>
      <c r="O234">
        <f ca="1"/>
        <v>0</v>
      </c>
      <c r="P234">
        <f ca="1"/>
        <v>348.40573232936606</v>
      </c>
      <c r="Q234">
        <f ca="1"/>
        <v>217.5</v>
      </c>
      <c r="R234">
        <f ca="1"/>
        <v>0</v>
      </c>
      <c r="S234">
        <f ca="1"/>
        <v>0.5598111476278762</v>
      </c>
      <c r="T234">
        <f ca="1"/>
        <v>0</v>
      </c>
      <c r="U234">
        <f ca="1"/>
        <v>0</v>
      </c>
      <c r="V234">
        <f ca="1"/>
        <v>3.1397174254316207E-3</v>
      </c>
      <c r="Y234" s="2">
        <f t="shared" ca="1" si="22"/>
        <v>45742</v>
      </c>
      <c r="Z234">
        <f t="shared" ca="1" si="23"/>
        <v>0</v>
      </c>
      <c r="AB234" s="63">
        <f t="shared" ca="1" si="25"/>
        <v>15.013449562524881</v>
      </c>
      <c r="AC234" s="63">
        <f t="shared" ca="1" si="26"/>
        <v>15.013449562524881</v>
      </c>
      <c r="AD234" s="3">
        <f t="shared" ca="1" si="27"/>
        <v>0</v>
      </c>
    </row>
    <row r="235" spans="8:30">
      <c r="H235" t="b">
        <f t="shared" ca="1" si="24"/>
        <v>0</v>
      </c>
      <c r="I235" t="b">
        <f t="shared" ca="1" si="21"/>
        <v>0</v>
      </c>
      <c r="J235" s="2">
        <f ca="1"/>
        <v>45743</v>
      </c>
      <c r="K235">
        <f ca="1"/>
        <v>10.645630892376335</v>
      </c>
      <c r="L235">
        <f ca="1"/>
        <v>0</v>
      </c>
      <c r="M235">
        <f ca="1"/>
        <v>-4.8780669898486373</v>
      </c>
      <c r="N235">
        <f ca="1"/>
        <v>0.6653518616140357</v>
      </c>
      <c r="O235">
        <f ca="1"/>
        <v>0</v>
      </c>
      <c r="P235">
        <f ca="1"/>
        <v>0</v>
      </c>
      <c r="Q235">
        <f ca="1"/>
        <v>0</v>
      </c>
      <c r="R235">
        <f ca="1"/>
        <v>0</v>
      </c>
      <c r="S235">
        <f ca="1"/>
        <v>0.54847478687316242</v>
      </c>
      <c r="T235">
        <f ca="1"/>
        <v>0</v>
      </c>
      <c r="U235">
        <f ca="1"/>
        <v>0</v>
      </c>
      <c r="V235">
        <f ca="1"/>
        <v>0</v>
      </c>
      <c r="Y235" s="2">
        <f t="shared" ca="1" si="22"/>
        <v>45743</v>
      </c>
      <c r="Z235">
        <f t="shared" ca="1" si="23"/>
        <v>0</v>
      </c>
      <c r="AB235" s="63">
        <f t="shared" ca="1" si="25"/>
        <v>10.645630892376335</v>
      </c>
      <c r="AC235" s="63">
        <f t="shared" ca="1" si="26"/>
        <v>10.645630892376335</v>
      </c>
      <c r="AD235" s="3">
        <f t="shared" ca="1" si="27"/>
        <v>0</v>
      </c>
    </row>
    <row r="236" spans="8:30">
      <c r="H236" t="b">
        <f t="shared" ca="1" si="24"/>
        <v>0</v>
      </c>
      <c r="I236" t="b">
        <f t="shared" ca="1" si="21"/>
        <v>0</v>
      </c>
      <c r="J236" s="2">
        <f ca="1"/>
        <v>45744</v>
      </c>
      <c r="K236">
        <f ca="1"/>
        <v>6.7452312453167966</v>
      </c>
      <c r="L236">
        <f ca="1"/>
        <v>0</v>
      </c>
      <c r="M236">
        <f ca="1"/>
        <v>-4.5746594379046961</v>
      </c>
      <c r="N236">
        <f ca="1"/>
        <v>0.67425979084515675</v>
      </c>
      <c r="O236">
        <f ca="1"/>
        <v>0</v>
      </c>
      <c r="P236">
        <f ca="1"/>
        <v>0</v>
      </c>
      <c r="Q236">
        <f ca="1"/>
        <v>0</v>
      </c>
      <c r="R236">
        <f ca="1"/>
        <v>0</v>
      </c>
      <c r="S236">
        <f ca="1"/>
        <v>0.56254807769805204</v>
      </c>
      <c r="T236">
        <f ca="1"/>
        <v>0</v>
      </c>
      <c r="U236">
        <f ca="1"/>
        <v>0</v>
      </c>
      <c r="V236">
        <f ca="1"/>
        <v>0</v>
      </c>
      <c r="Y236" s="2">
        <f t="shared" ca="1" si="22"/>
        <v>45744</v>
      </c>
      <c r="Z236">
        <f t="shared" ca="1" si="23"/>
        <v>0</v>
      </c>
      <c r="AB236" s="63">
        <f t="shared" ca="1" si="25"/>
        <v>6.7452312453167957</v>
      </c>
      <c r="AC236" s="63">
        <f t="shared" ca="1" si="26"/>
        <v>6.7452312453167966</v>
      </c>
      <c r="AD236" s="3">
        <f t="shared" ca="1" si="27"/>
        <v>0</v>
      </c>
    </row>
    <row r="237" spans="8:30">
      <c r="H237" t="b">
        <f t="shared" ca="1" si="24"/>
        <v>0</v>
      </c>
      <c r="I237" t="b">
        <f t="shared" ca="1" si="21"/>
        <v>0</v>
      </c>
      <c r="J237" s="2">
        <f ca="1"/>
        <v>45745</v>
      </c>
      <c r="K237">
        <f ca="1"/>
        <v>3.0789486800611749</v>
      </c>
      <c r="L237">
        <f ca="1"/>
        <v>0</v>
      </c>
      <c r="M237">
        <f ca="1"/>
        <v>-4.3678227361528101</v>
      </c>
      <c r="N237">
        <f ca="1"/>
        <v>0.70154017089718856</v>
      </c>
      <c r="O237">
        <f ca="1"/>
        <v>0</v>
      </c>
      <c r="P237">
        <f ca="1"/>
        <v>0</v>
      </c>
      <c r="Q237">
        <f ca="1"/>
        <v>0</v>
      </c>
      <c r="R237">
        <f ca="1"/>
        <v>0</v>
      </c>
      <c r="S237">
        <f ca="1"/>
        <v>0.58075266239369583</v>
      </c>
      <c r="T237">
        <f ca="1"/>
        <v>0</v>
      </c>
      <c r="U237">
        <f ca="1"/>
        <v>0</v>
      </c>
      <c r="V237">
        <f ca="1"/>
        <v>0</v>
      </c>
      <c r="Y237" s="2">
        <f t="shared" ca="1" si="22"/>
        <v>45745</v>
      </c>
      <c r="Z237">
        <f t="shared" ca="1" si="23"/>
        <v>0</v>
      </c>
      <c r="AB237" s="63">
        <f t="shared" ca="1" si="25"/>
        <v>3.0789486800611749</v>
      </c>
      <c r="AC237" s="63">
        <f t="shared" ca="1" si="26"/>
        <v>3.0789486800611749</v>
      </c>
      <c r="AD237" s="3">
        <f t="shared" ca="1" si="27"/>
        <v>0</v>
      </c>
    </row>
    <row r="238" spans="8:30">
      <c r="H238" t="b">
        <f t="shared" ca="1" si="24"/>
        <v>0</v>
      </c>
      <c r="I238" t="b">
        <f t="shared" ca="1" si="21"/>
        <v>0</v>
      </c>
      <c r="J238" s="2">
        <f ca="1"/>
        <v>45746</v>
      </c>
      <c r="K238">
        <f ca="1"/>
        <v>-0.29352156120085215</v>
      </c>
      <c r="L238">
        <f ca="1"/>
        <v>0</v>
      </c>
      <c r="M238">
        <f ca="1"/>
        <v>-4.054120640926504</v>
      </c>
      <c r="N238">
        <f ca="1"/>
        <v>0.68165039966447705</v>
      </c>
      <c r="O238">
        <f ca="1"/>
        <v>0</v>
      </c>
      <c r="P238">
        <f ca="1"/>
        <v>0</v>
      </c>
      <c r="Q238">
        <f ca="1"/>
        <v>0</v>
      </c>
      <c r="R238">
        <f ca="1"/>
        <v>0</v>
      </c>
      <c r="S238">
        <f ca="1"/>
        <v>0.57073837341126077</v>
      </c>
      <c r="T238">
        <f ca="1"/>
        <v>0</v>
      </c>
      <c r="U238">
        <f ca="1"/>
        <v>0</v>
      </c>
      <c r="V238">
        <f ca="1"/>
        <v>0</v>
      </c>
      <c r="Y238" s="2">
        <f t="shared" ca="1" si="22"/>
        <v>45746</v>
      </c>
      <c r="Z238">
        <f t="shared" ca="1" si="23"/>
        <v>0</v>
      </c>
      <c r="AB238" s="63">
        <f t="shared" ca="1" si="25"/>
        <v>-0.29352156120085204</v>
      </c>
      <c r="AC238" s="63">
        <f t="shared" ca="1" si="26"/>
        <v>-0.29352156120085215</v>
      </c>
      <c r="AD238" s="3">
        <f t="shared" ca="1" si="27"/>
        <v>0</v>
      </c>
    </row>
    <row r="239" spans="8:30">
      <c r="H239" t="b">
        <f t="shared" ca="1" si="24"/>
        <v>0</v>
      </c>
      <c r="I239" t="b">
        <f t="shared" ca="1" si="21"/>
        <v>0</v>
      </c>
      <c r="J239" s="2">
        <f ca="1"/>
        <v>45747</v>
      </c>
      <c r="K239">
        <f ca="1"/>
        <v>-3.3646928346329057</v>
      </c>
      <c r="L239">
        <f ca="1"/>
        <v>0</v>
      </c>
      <c r="M239">
        <f ca="1"/>
        <v>-3.758969460021838</v>
      </c>
      <c r="N239">
        <f ca="1"/>
        <v>0.68779818658978464</v>
      </c>
      <c r="O239">
        <f ca="1"/>
        <v>0</v>
      </c>
      <c r="P239">
        <f ca="1"/>
        <v>0</v>
      </c>
      <c r="Q239">
        <f ca="1"/>
        <v>0</v>
      </c>
      <c r="R239">
        <f ca="1"/>
        <v>0</v>
      </c>
      <c r="S239">
        <f ca="1"/>
        <v>0.59029059108534809</v>
      </c>
      <c r="T239">
        <f ca="1"/>
        <v>0</v>
      </c>
      <c r="U239">
        <f ca="1"/>
        <v>0</v>
      </c>
      <c r="V239">
        <f ca="1"/>
        <v>0</v>
      </c>
      <c r="Y239" s="2">
        <f t="shared" ca="1" si="22"/>
        <v>45747</v>
      </c>
      <c r="Z239">
        <f t="shared" ca="1" si="23"/>
        <v>0</v>
      </c>
      <c r="AB239" s="63">
        <f t="shared" ca="1" si="25"/>
        <v>-3.3646928346329057</v>
      </c>
      <c r="AC239" s="63">
        <f t="shared" ca="1" si="26"/>
        <v>-3.3646928346329057</v>
      </c>
      <c r="AD239" s="3">
        <f t="shared" ca="1" si="27"/>
        <v>0</v>
      </c>
    </row>
    <row r="240" spans="8:30">
      <c r="H240" t="b">
        <f t="shared" ca="1" si="24"/>
        <v>0</v>
      </c>
      <c r="I240" t="b">
        <f t="shared" ca="1" si="21"/>
        <v>0</v>
      </c>
      <c r="J240" s="2">
        <f ca="1"/>
        <v>45748</v>
      </c>
      <c r="K240">
        <f ca="1"/>
        <v>-6.1616241305979891</v>
      </c>
      <c r="L240">
        <f ca="1"/>
        <v>0</v>
      </c>
      <c r="M240">
        <f ca="1"/>
        <v>-3.4701535123086185</v>
      </c>
      <c r="N240">
        <f ca="1"/>
        <v>0.6732222163435353</v>
      </c>
      <c r="O240">
        <f ca="1"/>
        <v>0</v>
      </c>
      <c r="P240">
        <f ca="1"/>
        <v>0</v>
      </c>
      <c r="Q240">
        <f ca="1"/>
        <v>0</v>
      </c>
      <c r="R240">
        <f ca="1"/>
        <v>0</v>
      </c>
      <c r="S240">
        <f ca="1"/>
        <v>0.59124517084745021</v>
      </c>
      <c r="T240">
        <f ca="1"/>
        <v>0</v>
      </c>
      <c r="U240">
        <f ca="1"/>
        <v>0</v>
      </c>
      <c r="V240">
        <f ca="1"/>
        <v>0</v>
      </c>
      <c r="Y240" s="2">
        <f t="shared" ca="1" si="22"/>
        <v>45748</v>
      </c>
      <c r="Z240">
        <f t="shared" ca="1" si="23"/>
        <v>0</v>
      </c>
      <c r="AB240" s="63">
        <f t="shared" ca="1" si="25"/>
        <v>-6.1616241305979891</v>
      </c>
      <c r="AC240" s="63">
        <f t="shared" ca="1" si="26"/>
        <v>-6.1616241305979891</v>
      </c>
      <c r="AD240" s="3">
        <f t="shared" ca="1" si="27"/>
        <v>0</v>
      </c>
    </row>
    <row r="241" spans="8:30">
      <c r="H241" t="b">
        <f t="shared" ca="1" si="24"/>
        <v>0</v>
      </c>
      <c r="I241" t="b">
        <f t="shared" ca="1" si="21"/>
        <v>0</v>
      </c>
      <c r="J241" s="2">
        <f ca="1"/>
        <v>45749</v>
      </c>
      <c r="K241">
        <f ca="1"/>
        <v>-8.7182607424912817</v>
      </c>
      <c r="L241">
        <f ca="1"/>
        <v>0</v>
      </c>
      <c r="M241">
        <f ca="1"/>
        <v>-3.2489440688857876</v>
      </c>
      <c r="N241">
        <f ca="1"/>
        <v>0.69230745699249396</v>
      </c>
      <c r="O241">
        <f ca="1"/>
        <v>0</v>
      </c>
      <c r="P241">
        <f ca="1"/>
        <v>0</v>
      </c>
      <c r="Q241">
        <f ca="1"/>
        <v>0</v>
      </c>
      <c r="R241">
        <f ca="1"/>
        <v>0</v>
      </c>
      <c r="S241">
        <f ca="1"/>
        <v>0.617510747866856</v>
      </c>
      <c r="T241">
        <f ca="1"/>
        <v>0</v>
      </c>
      <c r="U241">
        <f ca="1"/>
        <v>0</v>
      </c>
      <c r="V241">
        <f ca="1"/>
        <v>0</v>
      </c>
      <c r="Y241" s="2">
        <f t="shared" ca="1" si="22"/>
        <v>45749</v>
      </c>
      <c r="Z241">
        <f t="shared" ca="1" si="23"/>
        <v>0</v>
      </c>
      <c r="AB241" s="63">
        <f t="shared" ca="1" si="25"/>
        <v>-8.7182607424912835</v>
      </c>
      <c r="AC241" s="63">
        <f t="shared" ca="1" si="26"/>
        <v>-8.7182607424912817</v>
      </c>
      <c r="AD241" s="3">
        <f t="shared" ca="1" si="27"/>
        <v>0</v>
      </c>
    </row>
    <row r="242" spans="8:30">
      <c r="H242" t="b">
        <f t="shared" ca="1" si="24"/>
        <v>0</v>
      </c>
      <c r="I242" t="b">
        <f t="shared" ca="1" si="21"/>
        <v>0</v>
      </c>
      <c r="J242" s="2">
        <f ca="1"/>
        <v>45750</v>
      </c>
      <c r="K242">
        <f ca="1"/>
        <v>-11.093983337734507</v>
      </c>
      <c r="L242">
        <f ca="1"/>
        <v>0</v>
      </c>
      <c r="M242">
        <f ca="1"/>
        <v>-3.0906163110765217</v>
      </c>
      <c r="N242">
        <f ca="1"/>
        <v>0.71489371583329597</v>
      </c>
      <c r="O242">
        <f ca="1"/>
        <v>0</v>
      </c>
      <c r="P242">
        <f ca="1"/>
        <v>0</v>
      </c>
      <c r="Q242">
        <f ca="1"/>
        <v>0</v>
      </c>
      <c r="R242">
        <f ca="1"/>
        <v>0</v>
      </c>
      <c r="S242">
        <f ca="1"/>
        <v>0.63272950683177587</v>
      </c>
      <c r="T242">
        <f ca="1"/>
        <v>0</v>
      </c>
      <c r="U242">
        <f ca="1"/>
        <v>0</v>
      </c>
      <c r="V242">
        <f ca="1"/>
        <v>0</v>
      </c>
      <c r="Y242" s="2">
        <f t="shared" ca="1" si="22"/>
        <v>45750</v>
      </c>
      <c r="Z242">
        <f t="shared" ca="1" si="23"/>
        <v>0</v>
      </c>
      <c r="AB242" s="63">
        <f t="shared" ca="1" si="25"/>
        <v>-11.093983337734507</v>
      </c>
      <c r="AC242" s="63">
        <f t="shared" ca="1" si="26"/>
        <v>-11.093983337734507</v>
      </c>
      <c r="AD242" s="3">
        <f t="shared" ca="1" si="27"/>
        <v>0</v>
      </c>
    </row>
    <row r="243" spans="8:30">
      <c r="H243" t="b">
        <f t="shared" ca="1" si="24"/>
        <v>0</v>
      </c>
      <c r="I243" t="b">
        <f t="shared" ca="1" si="21"/>
        <v>0</v>
      </c>
      <c r="J243" s="2">
        <f ca="1"/>
        <v>45751</v>
      </c>
      <c r="K243">
        <f ca="1"/>
        <v>-13.237385602779746</v>
      </c>
      <c r="L243">
        <f ca="1"/>
        <v>0</v>
      </c>
      <c r="M243">
        <f ca="1"/>
        <v>-2.8296708614443791</v>
      </c>
      <c r="N243">
        <f ca="1"/>
        <v>0.68626859639914017</v>
      </c>
      <c r="O243">
        <f ca="1"/>
        <v>0</v>
      </c>
      <c r="P243">
        <f ca="1"/>
        <v>0</v>
      </c>
      <c r="Q243">
        <f ca="1"/>
        <v>0</v>
      </c>
      <c r="R243">
        <f ca="1"/>
        <v>0</v>
      </c>
      <c r="S243">
        <f ca="1"/>
        <v>0.62577552138486403</v>
      </c>
      <c r="T243">
        <f ca="1"/>
        <v>0</v>
      </c>
      <c r="U243">
        <f ca="1"/>
        <v>0</v>
      </c>
      <c r="V243">
        <f ca="1"/>
        <v>0</v>
      </c>
      <c r="Y243" s="2">
        <f t="shared" ca="1" si="22"/>
        <v>45751</v>
      </c>
      <c r="Z243">
        <f t="shared" ca="1" si="23"/>
        <v>0</v>
      </c>
      <c r="AB243" s="63">
        <f t="shared" ca="1" si="25"/>
        <v>-13.237385602779746</v>
      </c>
      <c r="AC243" s="63">
        <f t="shared" ca="1" si="26"/>
        <v>-13.237385602779746</v>
      </c>
      <c r="AD243" s="3">
        <f t="shared" ca="1" si="27"/>
        <v>0</v>
      </c>
    </row>
    <row r="244" spans="8:30">
      <c r="H244" t="b">
        <f t="shared" ca="1" si="24"/>
        <v>0</v>
      </c>
      <c r="I244" t="b">
        <f t="shared" ca="1" si="21"/>
        <v>0</v>
      </c>
      <c r="J244" s="2">
        <f ca="1"/>
        <v>45752</v>
      </c>
      <c r="K244">
        <f ca="1"/>
        <v>-15.216253964771203</v>
      </c>
      <c r="L244">
        <f ca="1"/>
        <v>0</v>
      </c>
      <c r="M244">
        <f ca="1"/>
        <v>-2.6623107826625692</v>
      </c>
      <c r="N244">
        <f ca="1"/>
        <v>0.68344242067111194</v>
      </c>
      <c r="O244">
        <f ca="1"/>
        <v>0</v>
      </c>
      <c r="P244">
        <f ca="1"/>
        <v>0</v>
      </c>
      <c r="Q244">
        <f ca="1"/>
        <v>0</v>
      </c>
      <c r="R244">
        <f ca="1"/>
        <v>0</v>
      </c>
      <c r="S244">
        <f ca="1"/>
        <v>0.62327848452545531</v>
      </c>
      <c r="T244">
        <f ca="1"/>
        <v>0</v>
      </c>
      <c r="U244">
        <f ca="1"/>
        <v>0</v>
      </c>
      <c r="V244">
        <f ca="1"/>
        <v>0</v>
      </c>
      <c r="Y244" s="2">
        <f t="shared" ca="1" si="22"/>
        <v>45752</v>
      </c>
      <c r="Z244">
        <f t="shared" ca="1" si="23"/>
        <v>0</v>
      </c>
      <c r="AB244" s="63">
        <f t="shared" ca="1" si="25"/>
        <v>-15.216253964771203</v>
      </c>
      <c r="AC244" s="63">
        <f t="shared" ca="1" si="26"/>
        <v>-15.216253964771203</v>
      </c>
      <c r="AD244" s="3">
        <f t="shared" ca="1" si="27"/>
        <v>0</v>
      </c>
    </row>
    <row r="245" spans="8:30">
      <c r="H245" t="b">
        <f t="shared" ca="1" si="24"/>
        <v>0</v>
      </c>
      <c r="I245" t="b">
        <f t="shared" ca="1" si="21"/>
        <v>0</v>
      </c>
      <c r="J245" s="2">
        <f ca="1"/>
        <v>45753</v>
      </c>
      <c r="K245">
        <f ca="1"/>
        <v>-17.020915193978453</v>
      </c>
      <c r="L245">
        <f ca="1"/>
        <v>0</v>
      </c>
      <c r="M245">
        <f ca="1"/>
        <v>-2.5065977211923212</v>
      </c>
      <c r="N245">
        <f ca="1"/>
        <v>0.70193649198507291</v>
      </c>
      <c r="O245">
        <f ca="1"/>
        <v>0</v>
      </c>
      <c r="P245">
        <f ca="1"/>
        <v>0</v>
      </c>
      <c r="Q245">
        <f ca="1"/>
        <v>0</v>
      </c>
      <c r="R245">
        <f ca="1"/>
        <v>0</v>
      </c>
      <c r="S245">
        <f ca="1"/>
        <v>0.64269716719136416</v>
      </c>
      <c r="T245">
        <f ca="1"/>
        <v>0</v>
      </c>
      <c r="U245">
        <f ca="1"/>
        <v>0</v>
      </c>
      <c r="V245">
        <f ca="1"/>
        <v>0</v>
      </c>
      <c r="Y245" s="2">
        <f t="shared" ca="1" si="22"/>
        <v>45753</v>
      </c>
      <c r="Z245">
        <f t="shared" ca="1" si="23"/>
        <v>0</v>
      </c>
      <c r="AB245" s="63">
        <f t="shared" ca="1" si="25"/>
        <v>-17.020915193978453</v>
      </c>
      <c r="AC245" s="63">
        <f t="shared" ca="1" si="26"/>
        <v>-17.020915193978453</v>
      </c>
      <c r="AD245" s="3">
        <f t="shared" ca="1" si="27"/>
        <v>0</v>
      </c>
    </row>
    <row r="246" spans="8:30">
      <c r="H246" t="b">
        <f t="shared" ca="1" si="24"/>
        <v>0</v>
      </c>
      <c r="I246" t="b">
        <f t="shared" ca="1" si="21"/>
        <v>0</v>
      </c>
      <c r="J246" s="2">
        <f ca="1"/>
        <v>45754</v>
      </c>
      <c r="K246">
        <f ca="1"/>
        <v>-18.66440236088593</v>
      </c>
      <c r="L246">
        <f ca="1"/>
        <v>0</v>
      </c>
      <c r="M246">
        <f ca="1"/>
        <v>-2.3502574192367405</v>
      </c>
      <c r="N246">
        <f ca="1"/>
        <v>0.70677025232926438</v>
      </c>
      <c r="O246">
        <f ca="1"/>
        <v>0</v>
      </c>
      <c r="P246">
        <f ca="1"/>
        <v>0</v>
      </c>
      <c r="Q246">
        <f ca="1"/>
        <v>0</v>
      </c>
      <c r="R246">
        <f ca="1"/>
        <v>0</v>
      </c>
      <c r="S246">
        <f ca="1"/>
        <v>0.65022946932005865</v>
      </c>
      <c r="T246">
        <f ca="1"/>
        <v>0</v>
      </c>
      <c r="U246">
        <f ca="1"/>
        <v>0</v>
      </c>
      <c r="V246">
        <f ca="1"/>
        <v>0</v>
      </c>
      <c r="Y246" s="2">
        <f t="shared" ca="1" si="22"/>
        <v>45754</v>
      </c>
      <c r="Z246">
        <f t="shared" ca="1" si="23"/>
        <v>0</v>
      </c>
      <c r="AB246" s="63">
        <f t="shared" ca="1" si="25"/>
        <v>-18.66440236088593</v>
      </c>
      <c r="AC246" s="63">
        <f t="shared" ca="1" si="26"/>
        <v>-18.66440236088593</v>
      </c>
      <c r="AD246" s="3">
        <f t="shared" ca="1" si="27"/>
        <v>0</v>
      </c>
    </row>
    <row r="247" spans="8:30">
      <c r="H247" t="b">
        <f t="shared" ca="1" si="24"/>
        <v>0</v>
      </c>
      <c r="I247" t="b">
        <f t="shared" ca="1" si="21"/>
        <v>0</v>
      </c>
      <c r="J247" s="2">
        <f ca="1"/>
        <v>45755</v>
      </c>
      <c r="K247">
        <f ca="1"/>
        <v>-20.122941351033838</v>
      </c>
      <c r="L247">
        <f ca="1"/>
        <v>0</v>
      </c>
      <c r="M247">
        <f ca="1"/>
        <v>-2.1700316041526975</v>
      </c>
      <c r="N247">
        <f ca="1"/>
        <v>0.71149261400478858</v>
      </c>
      <c r="O247">
        <f ca="1"/>
        <v>0</v>
      </c>
      <c r="P247">
        <f ca="1"/>
        <v>0</v>
      </c>
      <c r="Q247">
        <f ca="1"/>
        <v>0</v>
      </c>
      <c r="R247">
        <f ca="1"/>
        <v>0</v>
      </c>
      <c r="S247">
        <f ca="1"/>
        <v>0.67082263774604489</v>
      </c>
      <c r="T247">
        <f ca="1"/>
        <v>0</v>
      </c>
      <c r="U247">
        <f ca="1"/>
        <v>0</v>
      </c>
      <c r="V247">
        <f ca="1"/>
        <v>0</v>
      </c>
      <c r="Y247" s="2">
        <f t="shared" ca="1" si="22"/>
        <v>45755</v>
      </c>
      <c r="Z247">
        <f t="shared" ca="1" si="23"/>
        <v>0</v>
      </c>
      <c r="AB247" s="63">
        <f t="shared" ca="1" si="25"/>
        <v>-20.122941351033838</v>
      </c>
      <c r="AC247" s="63">
        <f t="shared" ca="1" si="26"/>
        <v>-20.122941351033838</v>
      </c>
      <c r="AD247" s="3">
        <f t="shared" ca="1" si="27"/>
        <v>0</v>
      </c>
    </row>
    <row r="248" spans="8:30">
      <c r="H248" t="b">
        <f t="shared" ca="1" si="24"/>
        <v>0</v>
      </c>
      <c r="I248" t="b">
        <f t="shared" ca="1" si="21"/>
        <v>0</v>
      </c>
      <c r="J248" s="2">
        <f ca="1"/>
        <v>45756</v>
      </c>
      <c r="K248">
        <f ca="1"/>
        <v>-21.386514439517729</v>
      </c>
      <c r="L248">
        <f ca="1"/>
        <v>0</v>
      </c>
      <c r="M248">
        <f ca="1"/>
        <v>-2.0002232485047422</v>
      </c>
      <c r="N248">
        <f ca="1"/>
        <v>0.73665016002085126</v>
      </c>
      <c r="O248">
        <f ca="1"/>
        <v>0</v>
      </c>
      <c r="P248">
        <f ca="1"/>
        <v>0</v>
      </c>
      <c r="Q248">
        <f ca="1"/>
        <v>0</v>
      </c>
      <c r="R248">
        <f ca="1"/>
        <v>0</v>
      </c>
      <c r="S248">
        <f ca="1"/>
        <v>0.7145875118206062</v>
      </c>
      <c r="T248">
        <f ca="1"/>
        <v>0</v>
      </c>
      <c r="U248">
        <f ca="1"/>
        <v>0</v>
      </c>
      <c r="V248">
        <f ca="1"/>
        <v>0</v>
      </c>
      <c r="Y248" s="2">
        <f t="shared" ca="1" si="22"/>
        <v>45756</v>
      </c>
      <c r="Z248">
        <f t="shared" ca="1" si="23"/>
        <v>0</v>
      </c>
      <c r="AB248" s="63">
        <f t="shared" ca="1" si="25"/>
        <v>-21.386514439517729</v>
      </c>
      <c r="AC248" s="63">
        <f t="shared" ca="1" si="26"/>
        <v>-21.386514439517729</v>
      </c>
      <c r="AD248" s="3">
        <f t="shared" ca="1" si="27"/>
        <v>0</v>
      </c>
    </row>
    <row r="249" spans="8:30">
      <c r="H249" t="b">
        <f t="shared" ca="1" si="24"/>
        <v>0</v>
      </c>
      <c r="I249" t="b">
        <f t="shared" ca="1" si="21"/>
        <v>0</v>
      </c>
      <c r="J249" s="2">
        <f ca="1"/>
        <v>45757</v>
      </c>
      <c r="K249">
        <f ca="1"/>
        <v>-22.509948531799708</v>
      </c>
      <c r="L249">
        <f ca="1"/>
        <v>0</v>
      </c>
      <c r="M249">
        <f ca="1"/>
        <v>-1.8694349389457514</v>
      </c>
      <c r="N249">
        <f ca="1"/>
        <v>0.74600084666377353</v>
      </c>
      <c r="O249">
        <f ca="1"/>
        <v>0</v>
      </c>
      <c r="P249">
        <f ca="1"/>
        <v>2.9955747419807333</v>
      </c>
      <c r="Q249">
        <f ca="1"/>
        <v>2.5568922483852283</v>
      </c>
      <c r="R249">
        <f ca="1"/>
        <v>0</v>
      </c>
      <c r="S249">
        <f ca="1"/>
        <v>0.72963873327061446</v>
      </c>
      <c r="T249">
        <f ca="1"/>
        <v>0</v>
      </c>
      <c r="U249">
        <f ca="1"/>
        <v>0</v>
      </c>
      <c r="V249">
        <f ca="1"/>
        <v>8.5811328899632385E-3</v>
      </c>
      <c r="Y249" s="2">
        <f t="shared" ca="1" si="22"/>
        <v>45757</v>
      </c>
      <c r="Z249">
        <f t="shared" ca="1" si="23"/>
        <v>0</v>
      </c>
      <c r="AB249" s="63">
        <f t="shared" ca="1" si="25"/>
        <v>-22.509948531799708</v>
      </c>
      <c r="AC249" s="63">
        <f t="shared" ca="1" si="26"/>
        <v>-22.509948531799708</v>
      </c>
      <c r="AD249" s="3">
        <f t="shared" ca="1" si="27"/>
        <v>0</v>
      </c>
    </row>
    <row r="250" spans="8:30">
      <c r="H250" t="b">
        <f t="shared" ca="1" si="24"/>
        <v>0</v>
      </c>
      <c r="I250" t="b">
        <f t="shared" ca="1" si="21"/>
        <v>0</v>
      </c>
      <c r="J250" s="2">
        <f ca="1"/>
        <v>45758</v>
      </c>
      <c r="K250">
        <f ca="1"/>
        <v>-23.745004419954185</v>
      </c>
      <c r="L250">
        <f ca="1"/>
        <v>0.25188164430726712</v>
      </c>
      <c r="M250">
        <f ca="1"/>
        <v>-1.7253837287040206</v>
      </c>
      <c r="N250">
        <f ca="1"/>
        <v>0.74220948485680993</v>
      </c>
      <c r="O250">
        <f ca="1"/>
        <v>0</v>
      </c>
      <c r="P250">
        <f ca="1"/>
        <v>3.2474563862880004</v>
      </c>
      <c r="Q250">
        <f ca="1"/>
        <v>2.7718874594257414</v>
      </c>
      <c r="R250">
        <f ca="1"/>
        <v>0</v>
      </c>
      <c r="S250">
        <f ca="1"/>
        <v>0.7424669521939451</v>
      </c>
      <c r="T250">
        <f ca="1"/>
        <v>0</v>
      </c>
      <c r="U250">
        <f ca="1"/>
        <v>0</v>
      </c>
      <c r="V250">
        <f ca="1"/>
        <v>1.0927174749368385E-2</v>
      </c>
      <c r="Y250" s="2">
        <f t="shared" ca="1" si="22"/>
        <v>45758</v>
      </c>
      <c r="Z250">
        <f t="shared" ca="1" si="23"/>
        <v>0</v>
      </c>
      <c r="AB250" s="63">
        <f t="shared" ca="1" si="25"/>
        <v>-23.493122775646917</v>
      </c>
      <c r="AC250" s="63">
        <f t="shared" ca="1" si="26"/>
        <v>-23.493122775646917</v>
      </c>
      <c r="AD250" s="3">
        <f t="shared" ca="1" si="27"/>
        <v>0</v>
      </c>
    </row>
    <row r="251" spans="8:30">
      <c r="H251" t="b">
        <f t="shared" ca="1" si="24"/>
        <v>0</v>
      </c>
      <c r="I251" t="b">
        <f t="shared" ca="1" si="21"/>
        <v>0</v>
      </c>
      <c r="J251" s="2">
        <f ca="1"/>
        <v>45759</v>
      </c>
      <c r="K251">
        <f ca="1"/>
        <v>-24.869947176437503</v>
      </c>
      <c r="L251">
        <f ca="1"/>
        <v>0.27425198055424582</v>
      </c>
      <c r="M251">
        <f ca="1"/>
        <v>-1.6274835386223572</v>
      </c>
      <c r="N251">
        <f ca="1"/>
        <v>0.77679276269328768</v>
      </c>
      <c r="O251">
        <f ca="1"/>
        <v>0</v>
      </c>
      <c r="P251">
        <f ca="1"/>
        <v>3.5217083668422462</v>
      </c>
      <c r="Q251">
        <f ca="1"/>
        <v>3.005977016049449</v>
      </c>
      <c r="R251">
        <f ca="1"/>
        <v>0</v>
      </c>
      <c r="S251">
        <f ca="1"/>
        <v>0.77398908572299785</v>
      </c>
      <c r="T251">
        <f ca="1"/>
        <v>0</v>
      </c>
      <c r="U251">
        <f ca="1"/>
        <v>0</v>
      </c>
      <c r="V251">
        <f ca="1"/>
        <v>1.3921809198388868E-2</v>
      </c>
      <c r="Y251" s="2">
        <f t="shared" ca="1" si="22"/>
        <v>45759</v>
      </c>
      <c r="Z251">
        <f t="shared" ca="1" si="23"/>
        <v>0</v>
      </c>
      <c r="AB251" s="63">
        <f t="shared" ca="1" si="25"/>
        <v>-24.595695195883255</v>
      </c>
      <c r="AC251" s="63">
        <f t="shared" ca="1" si="26"/>
        <v>-24.595695195883255</v>
      </c>
      <c r="AD251" s="3">
        <f t="shared" ca="1" si="27"/>
        <v>0</v>
      </c>
    </row>
    <row r="252" spans="8:30">
      <c r="H252" t="b">
        <f t="shared" ca="1" si="24"/>
        <v>0</v>
      </c>
      <c r="I252" t="b">
        <f t="shared" ca="1" si="21"/>
        <v>0</v>
      </c>
      <c r="J252" s="2">
        <f ca="1"/>
        <v>45760</v>
      </c>
      <c r="K252">
        <f ca="1"/>
        <v>-25.929370213845278</v>
      </c>
      <c r="L252">
        <f ca="1"/>
        <v>0.30494383605864472</v>
      </c>
      <c r="M252">
        <f ca="1"/>
        <v>-1.555122613625386</v>
      </c>
      <c r="N252">
        <f ca="1"/>
        <v>0.80064341227625524</v>
      </c>
      <c r="O252">
        <f ca="1"/>
        <v>0</v>
      </c>
      <c r="P252">
        <f ca="1"/>
        <v>3.8266522029008909</v>
      </c>
      <c r="Q252">
        <f ca="1"/>
        <v>3.2662638049865342</v>
      </c>
      <c r="R252">
        <f ca="1"/>
        <v>0</v>
      </c>
      <c r="S252">
        <f ca="1"/>
        <v>0.78090463499930962</v>
      </c>
      <c r="T252">
        <f ca="1"/>
        <v>0</v>
      </c>
      <c r="U252">
        <f ca="1"/>
        <v>0</v>
      </c>
      <c r="V252">
        <f ca="1"/>
        <v>1.7829577850399226E-2</v>
      </c>
      <c r="Y252" s="2">
        <f t="shared" ca="1" si="22"/>
        <v>45760</v>
      </c>
      <c r="Z252">
        <f t="shared" ca="1" si="23"/>
        <v>0</v>
      </c>
      <c r="AB252" s="63">
        <f t="shared" ca="1" si="25"/>
        <v>-25.624426377786634</v>
      </c>
      <c r="AC252" s="63">
        <f t="shared" ca="1" si="26"/>
        <v>-25.624426377786634</v>
      </c>
      <c r="AD252" s="3">
        <f t="shared" ca="1" si="27"/>
        <v>0</v>
      </c>
    </row>
    <row r="253" spans="8:30">
      <c r="H253" t="b">
        <f t="shared" ca="1" si="24"/>
        <v>0</v>
      </c>
      <c r="I253" t="b">
        <f t="shared" ca="1" si="21"/>
        <v>0</v>
      </c>
      <c r="J253" s="2">
        <f ca="1"/>
        <v>45761</v>
      </c>
      <c r="K253">
        <f ca="1"/>
        <v>-26.873441974643026</v>
      </c>
      <c r="L253">
        <f ca="1"/>
        <v>0.32105373693028927</v>
      </c>
      <c r="M253">
        <f ca="1"/>
        <v>-1.4270912361773043</v>
      </c>
      <c r="N253">
        <f ca="1"/>
        <v>0.80407321230984508</v>
      </c>
      <c r="O253">
        <f ca="1"/>
        <v>0</v>
      </c>
      <c r="P253">
        <f ca="1"/>
        <v>4.1477059398311802</v>
      </c>
      <c r="Q253">
        <f ca="1"/>
        <v>3.5403013042910492</v>
      </c>
      <c r="R253">
        <f ca="1"/>
        <v>0</v>
      </c>
      <c r="S253">
        <f ca="1"/>
        <v>0.80353881107265368</v>
      </c>
      <c r="T253">
        <f ca="1"/>
        <v>0</v>
      </c>
      <c r="U253">
        <f ca="1"/>
        <v>0</v>
      </c>
      <c r="V253">
        <f ca="1"/>
        <v>2.2646345099260223E-2</v>
      </c>
      <c r="Y253" s="2">
        <f t="shared" ca="1" si="22"/>
        <v>45761</v>
      </c>
      <c r="Z253">
        <f t="shared" ca="1" si="23"/>
        <v>0</v>
      </c>
      <c r="AB253" s="63">
        <f t="shared" ca="1" si="25"/>
        <v>-26.552388237712737</v>
      </c>
      <c r="AC253" s="63">
        <f t="shared" ca="1" si="26"/>
        <v>-26.552388237712737</v>
      </c>
      <c r="AD253" s="3">
        <f t="shared" ca="1" si="27"/>
        <v>0</v>
      </c>
    </row>
    <row r="254" spans="8:30">
      <c r="H254" t="b">
        <f t="shared" ca="1" si="24"/>
        <v>0</v>
      </c>
      <c r="I254" t="b">
        <f t="shared" ca="1" si="21"/>
        <v>0</v>
      </c>
      <c r="J254" s="2">
        <f ca="1"/>
        <v>45762</v>
      </c>
      <c r="K254">
        <f ca="1"/>
        <v>-27.730060731875366</v>
      </c>
      <c r="L254">
        <f ca="1"/>
        <v>0.34140077332837127</v>
      </c>
      <c r="M254">
        <f ca="1"/>
        <v>-1.3214800639944855</v>
      </c>
      <c r="N254">
        <f ca="1"/>
        <v>0.80626208009051714</v>
      </c>
      <c r="O254">
        <f ca="1"/>
        <v>0</v>
      </c>
      <c r="P254">
        <f ca="1"/>
        <v>4.4891067131595515</v>
      </c>
      <c r="Q254">
        <f ca="1"/>
        <v>3.8317061484709143</v>
      </c>
      <c r="R254">
        <f ca="1"/>
        <v>0</v>
      </c>
      <c r="S254">
        <f ca="1"/>
        <v>0.81700825815279421</v>
      </c>
      <c r="T254">
        <f ca="1"/>
        <v>0</v>
      </c>
      <c r="U254">
        <f ca="1"/>
        <v>0</v>
      </c>
      <c r="V254">
        <f ca="1"/>
        <v>2.8608028839082127E-2</v>
      </c>
      <c r="Y254" s="2">
        <f t="shared" ca="1" si="22"/>
        <v>45762</v>
      </c>
      <c r="Z254">
        <f t="shared" ca="1" si="23"/>
        <v>0</v>
      </c>
      <c r="AB254" s="63">
        <f t="shared" ca="1" si="25"/>
        <v>-27.388659958546995</v>
      </c>
      <c r="AC254" s="63">
        <f t="shared" ca="1" si="26"/>
        <v>-27.388659958546995</v>
      </c>
      <c r="AD254" s="3">
        <f t="shared" ca="1" si="27"/>
        <v>0</v>
      </c>
    </row>
    <row r="255" spans="8:30">
      <c r="H255" t="b">
        <f t="shared" ca="1" si="24"/>
        <v>0</v>
      </c>
      <c r="I255" t="b">
        <f t="shared" ca="1" si="21"/>
        <v>0</v>
      </c>
      <c r="J255" s="2">
        <f ca="1"/>
        <v>45763</v>
      </c>
      <c r="K255">
        <f ca="1"/>
        <v>-28.529057627960619</v>
      </c>
      <c r="L255">
        <f ca="1"/>
        <v>0.38808962301802907</v>
      </c>
      <c r="M255">
        <f ca="1"/>
        <v>-1.2803416230891429</v>
      </c>
      <c r="N255">
        <f ca="1"/>
        <v>0.8694343500219206</v>
      </c>
      <c r="O255">
        <f ca="1"/>
        <v>0</v>
      </c>
      <c r="P255">
        <f ca="1"/>
        <v>4.8771963361775805</v>
      </c>
      <c r="Q255">
        <f ca="1"/>
        <v>4.1629625630971816</v>
      </c>
      <c r="R255">
        <f ca="1"/>
        <v>0</v>
      </c>
      <c r="S255">
        <f ca="1"/>
        <v>0.84371222863073503</v>
      </c>
      <c r="T255">
        <f ca="1"/>
        <v>0</v>
      </c>
      <c r="U255">
        <f ca="1"/>
        <v>0</v>
      </c>
      <c r="V255">
        <f ca="1"/>
        <v>3.6493900694781901E-2</v>
      </c>
      <c r="Y255" s="2">
        <f t="shared" ca="1" si="22"/>
        <v>45763</v>
      </c>
      <c r="Z255">
        <f t="shared" ca="1" si="23"/>
        <v>0</v>
      </c>
      <c r="AB255" s="63">
        <f t="shared" ca="1" si="25"/>
        <v>-28.140968004942589</v>
      </c>
      <c r="AC255" s="63">
        <f t="shared" ca="1" si="26"/>
        <v>-28.140968004942589</v>
      </c>
      <c r="AD255" s="3">
        <f t="shared" ca="1" si="27"/>
        <v>0</v>
      </c>
    </row>
    <row r="256" spans="8:30">
      <c r="H256" t="b">
        <f t="shared" ca="1" si="24"/>
        <v>0</v>
      </c>
      <c r="I256" t="b">
        <f t="shared" ca="1" si="21"/>
        <v>0</v>
      </c>
      <c r="J256" s="2">
        <f ca="1"/>
        <v>45764</v>
      </c>
      <c r="K256">
        <f ca="1"/>
        <v>-29.248923533516514</v>
      </c>
      <c r="L256">
        <f ca="1"/>
        <v>0.41092659569099865</v>
      </c>
      <c r="M256">
        <f ca="1"/>
        <v>-1.1754613663931863</v>
      </c>
      <c r="N256">
        <f ca="1"/>
        <v>0.86652205652828984</v>
      </c>
      <c r="O256">
        <f ca="1"/>
        <v>0</v>
      </c>
      <c r="P256">
        <f ca="1"/>
        <v>5.2881229318685792</v>
      </c>
      <c r="Q256">
        <f ca="1"/>
        <v>4.5137116238543529</v>
      </c>
      <c r="R256">
        <f ca="1"/>
        <v>0</v>
      </c>
      <c r="S256">
        <f ca="1"/>
        <v>0.85692315940847308</v>
      </c>
      <c r="T256">
        <f ca="1"/>
        <v>0</v>
      </c>
      <c r="U256">
        <f ca="1"/>
        <v>0</v>
      </c>
      <c r="V256">
        <f ca="1"/>
        <v>4.6188929359306928E-2</v>
      </c>
      <c r="Y256" s="2">
        <f t="shared" ca="1" si="22"/>
        <v>45764</v>
      </c>
      <c r="Z256">
        <f t="shared" ca="1" si="23"/>
        <v>0</v>
      </c>
      <c r="AB256" s="63">
        <f t="shared" ca="1" si="25"/>
        <v>-28.837996937825515</v>
      </c>
      <c r="AC256" s="63">
        <f t="shared" ca="1" si="26"/>
        <v>-28.837996937825515</v>
      </c>
      <c r="AD256" s="3">
        <f t="shared" ca="1" si="27"/>
        <v>0</v>
      </c>
    </row>
    <row r="257" spans="8:30">
      <c r="H257" t="b">
        <f t="shared" ca="1" si="24"/>
        <v>0</v>
      </c>
      <c r="I257" t="b">
        <f t="shared" ca="1" si="21"/>
        <v>0</v>
      </c>
      <c r="J257" s="2">
        <f ca="1"/>
        <v>45765</v>
      </c>
      <c r="K257">
        <f ca="1"/>
        <v>-29.909315183030607</v>
      </c>
      <c r="L257">
        <f ca="1"/>
        <v>0.4455062989731271</v>
      </c>
      <c r="M257">
        <f ca="1"/>
        <v>-1.0979298979573642</v>
      </c>
      <c r="N257">
        <f ca="1"/>
        <v>0.88304454741640104</v>
      </c>
      <c r="O257">
        <f ca="1"/>
        <v>0</v>
      </c>
      <c r="P257">
        <f ca="1"/>
        <v>5.7336292308417063</v>
      </c>
      <c r="Q257">
        <f ca="1"/>
        <v>4.8939764146096572</v>
      </c>
      <c r="R257">
        <f ca="1"/>
        <v>0</v>
      </c>
      <c r="S257">
        <f ca="1"/>
        <v>0.87101548951101015</v>
      </c>
      <c r="T257">
        <f ca="1"/>
        <v>0</v>
      </c>
      <c r="U257">
        <f ca="1"/>
        <v>0</v>
      </c>
      <c r="V257">
        <f ca="1"/>
        <v>5.8316660920907384E-2</v>
      </c>
      <c r="Y257" s="2">
        <f t="shared" ca="1" si="22"/>
        <v>45765</v>
      </c>
      <c r="Z257">
        <f t="shared" ca="1" si="23"/>
        <v>0</v>
      </c>
      <c r="AB257" s="63">
        <f t="shared" ca="1" si="25"/>
        <v>-29.463808884057478</v>
      </c>
      <c r="AC257" s="63">
        <f t="shared" ca="1" si="26"/>
        <v>-29.463808884057478</v>
      </c>
      <c r="AD257" s="3">
        <f t="shared" ca="1" si="27"/>
        <v>0</v>
      </c>
    </row>
    <row r="258" spans="8:30">
      <c r="H258" t="b">
        <f t="shared" ca="1" si="24"/>
        <v>0</v>
      </c>
      <c r="I258" t="b">
        <f t="shared" ca="1" si="21"/>
        <v>0</v>
      </c>
      <c r="J258" s="2">
        <f ca="1"/>
        <v>45766</v>
      </c>
      <c r="K258">
        <f ca="1"/>
        <v>-30.515297186205672</v>
      </c>
      <c r="L258">
        <f ca="1"/>
        <v>0.47139598692096296</v>
      </c>
      <c r="M258">
        <f ca="1"/>
        <v>-1.0076512060612473</v>
      </c>
      <c r="N258">
        <f ca="1"/>
        <v>0.87306518980714798</v>
      </c>
      <c r="O258">
        <f ca="1"/>
        <v>0</v>
      </c>
      <c r="P258">
        <f ca="1"/>
        <v>6.2050252177626692</v>
      </c>
      <c r="Q258">
        <f ca="1"/>
        <v>5.2963395164166718</v>
      </c>
      <c r="R258">
        <f ca="1"/>
        <v>0</v>
      </c>
      <c r="S258">
        <f ca="1"/>
        <v>0.87688510238970685</v>
      </c>
      <c r="T258">
        <f ca="1"/>
        <v>0</v>
      </c>
      <c r="U258">
        <f ca="1"/>
        <v>0</v>
      </c>
      <c r="V258">
        <f ca="1"/>
        <v>7.3015459164964117E-2</v>
      </c>
      <c r="Y258" s="2">
        <f t="shared" ca="1" si="22"/>
        <v>45766</v>
      </c>
      <c r="Z258">
        <f t="shared" ca="1" si="23"/>
        <v>0</v>
      </c>
      <c r="AB258" s="63">
        <f t="shared" ca="1" si="25"/>
        <v>-30.043901199284708</v>
      </c>
      <c r="AC258" s="63">
        <f t="shared" ca="1" si="26"/>
        <v>-30.043901199284708</v>
      </c>
      <c r="AD258" s="3">
        <f t="shared" ca="1" si="27"/>
        <v>0</v>
      </c>
    </row>
    <row r="259" spans="8:30">
      <c r="H259" t="b">
        <f t="shared" ca="1" si="24"/>
        <v>0</v>
      </c>
      <c r="I259" t="b">
        <f t="shared" ca="1" si="21"/>
        <v>0</v>
      </c>
      <c r="J259" s="2">
        <f ca="1"/>
        <v>45767</v>
      </c>
      <c r="K259">
        <f ca="1"/>
        <v>-31.105341360390796</v>
      </c>
      <c r="L259">
        <f ca="1"/>
        <v>0.52095399129801301</v>
      </c>
      <c r="M259">
        <f ca="1"/>
        <v>-0.95263289827389741</v>
      </c>
      <c r="N259">
        <f ca="1"/>
        <v>0.88354271538678786</v>
      </c>
      <c r="O259">
        <f ca="1"/>
        <v>0</v>
      </c>
      <c r="P259">
        <f ca="1"/>
        <v>6.7259792090606823</v>
      </c>
      <c r="Q259">
        <f ca="1"/>
        <v>5.7410031742610004</v>
      </c>
      <c r="R259">
        <f ca="1"/>
        <v>0</v>
      </c>
      <c r="S259">
        <f ca="1"/>
        <v>0.87209516244307683</v>
      </c>
      <c r="T259">
        <f ca="1"/>
        <v>0</v>
      </c>
      <c r="U259">
        <f ca="1"/>
        <v>0</v>
      </c>
      <c r="V259">
        <f ca="1"/>
        <v>9.1491556487789144E-2</v>
      </c>
      <c r="Y259" s="2">
        <f t="shared" ca="1" si="22"/>
        <v>45767</v>
      </c>
      <c r="Z259">
        <f t="shared" ca="1" si="23"/>
        <v>0</v>
      </c>
      <c r="AB259" s="63">
        <f t="shared" ca="1" si="25"/>
        <v>-30.584387369092781</v>
      </c>
      <c r="AC259" s="63">
        <f t="shared" ca="1" si="26"/>
        <v>-30.584387369092781</v>
      </c>
      <c r="AD259" s="3">
        <f t="shared" ca="1" si="27"/>
        <v>0</v>
      </c>
    </row>
    <row r="260" spans="8:30">
      <c r="H260" t="b">
        <f t="shared" ca="1" si="24"/>
        <v>0</v>
      </c>
      <c r="I260" t="b">
        <f t="shared" ca="1" si="21"/>
        <v>0</v>
      </c>
      <c r="J260" s="2">
        <f ca="1"/>
        <v>45768</v>
      </c>
      <c r="K260">
        <f ca="1"/>
        <v>-31.63214135138432</v>
      </c>
      <c r="L260">
        <f ca="1"/>
        <v>0.55545969094731706</v>
      </c>
      <c r="M260">
        <f ca="1"/>
        <v>-0.87615471550797253</v>
      </c>
      <c r="N260">
        <f ca="1"/>
        <v>0.904814415461766</v>
      </c>
      <c r="O260">
        <f ca="1"/>
        <v>0</v>
      </c>
      <c r="P260">
        <f ca="1"/>
        <v>7.2814389000079993</v>
      </c>
      <c r="Q260">
        <f ca="1"/>
        <v>6.215119395822728</v>
      </c>
      <c r="R260">
        <f ca="1"/>
        <v>0</v>
      </c>
      <c r="S260">
        <f ca="1"/>
        <v>0.90041589462136473</v>
      </c>
      <c r="T260">
        <f ca="1"/>
        <v>0</v>
      </c>
      <c r="U260">
        <f ca="1"/>
        <v>0</v>
      </c>
      <c r="V260">
        <f ca="1"/>
        <v>0.11371031391574896</v>
      </c>
      <c r="Y260" s="2">
        <f t="shared" ca="1" si="22"/>
        <v>45768</v>
      </c>
      <c r="Z260">
        <f t="shared" ca="1" si="23"/>
        <v>0</v>
      </c>
      <c r="AB260" s="63">
        <f t="shared" ca="1" si="25"/>
        <v>-31.076681660437004</v>
      </c>
      <c r="AC260" s="63">
        <f t="shared" ca="1" si="26"/>
        <v>-31.076681660437004</v>
      </c>
      <c r="AD260" s="3">
        <f t="shared" ca="1" si="27"/>
        <v>0</v>
      </c>
    </row>
    <row r="261" spans="8:30">
      <c r="H261" t="b">
        <f t="shared" ca="1" si="24"/>
        <v>0</v>
      </c>
      <c r="I261" t="b">
        <f t="shared" ca="1" si="21"/>
        <v>0</v>
      </c>
      <c r="J261" s="2">
        <f ca="1"/>
        <v>45769</v>
      </c>
      <c r="K261">
        <f ca="1"/>
        <v>-32.087392619975766</v>
      </c>
      <c r="L261">
        <f ca="1"/>
        <v>0.55615926486651635</v>
      </c>
      <c r="M261">
        <f ca="1"/>
        <v>-0.77435626527694268</v>
      </c>
      <c r="N261">
        <f ca="1"/>
        <v>0.87526426155201087</v>
      </c>
      <c r="O261">
        <f ca="1"/>
        <v>0</v>
      </c>
      <c r="P261">
        <f ca="1"/>
        <v>7.8375981648745157</v>
      </c>
      <c r="Q261">
        <f ca="1"/>
        <v>6.6898327432401725</v>
      </c>
      <c r="R261">
        <f ca="1"/>
        <v>0</v>
      </c>
      <c r="S261">
        <f ca="1"/>
        <v>0.92216190427231259</v>
      </c>
      <c r="T261">
        <f ca="1"/>
        <v>0</v>
      </c>
      <c r="U261">
        <f ca="1"/>
        <v>0</v>
      </c>
      <c r="V261">
        <f ca="1"/>
        <v>0.13842275597324752</v>
      </c>
      <c r="Y261" s="2">
        <f t="shared" ca="1" si="22"/>
        <v>45769</v>
      </c>
      <c r="Z261">
        <f t="shared" ca="1" si="23"/>
        <v>0</v>
      </c>
      <c r="AB261" s="63">
        <f t="shared" ca="1" si="25"/>
        <v>-31.531233355109251</v>
      </c>
      <c r="AC261" s="63">
        <f t="shared" ca="1" si="26"/>
        <v>-31.531233355109251</v>
      </c>
      <c r="AD261" s="3">
        <f t="shared" ca="1" si="27"/>
        <v>0</v>
      </c>
    </row>
    <row r="262" spans="8:30">
      <c r="H262" t="b">
        <f t="shared" ca="1" si="24"/>
        <v>0</v>
      </c>
      <c r="I262" t="b">
        <f t="shared" ca="1" si="21"/>
        <v>0</v>
      </c>
      <c r="J262" s="2">
        <f ca="1"/>
        <v>45770</v>
      </c>
      <c r="K262">
        <f ca="1"/>
        <v>-32.532690586411505</v>
      </c>
      <c r="L262">
        <f ca="1"/>
        <v>0.60751019969432107</v>
      </c>
      <c r="M262">
        <f ca="1"/>
        <v>-0.72715473781645557</v>
      </c>
      <c r="N262">
        <f ca="1"/>
        <v>0.88936697107503826</v>
      </c>
      <c r="O262">
        <f ca="1"/>
        <v>0</v>
      </c>
      <c r="P262">
        <f ca="1"/>
        <v>8.4451083645688367</v>
      </c>
      <c r="Q262">
        <f ca="1"/>
        <v>7.2083770141089651</v>
      </c>
      <c r="R262">
        <f ca="1"/>
        <v>0</v>
      </c>
      <c r="S262">
        <f ca="1"/>
        <v>0.92485343334964265</v>
      </c>
      <c r="T262">
        <f ca="1"/>
        <v>0</v>
      </c>
      <c r="U262">
        <f ca="1"/>
        <v>0</v>
      </c>
      <c r="V262">
        <f ca="1"/>
        <v>0.16798520499640557</v>
      </c>
      <c r="Y262" s="2">
        <f t="shared" ca="1" si="22"/>
        <v>45770</v>
      </c>
      <c r="Z262">
        <f t="shared" ca="1" si="23"/>
        <v>0</v>
      </c>
      <c r="AB262" s="63">
        <f t="shared" ca="1" si="25"/>
        <v>-31.925180386717184</v>
      </c>
      <c r="AC262" s="63">
        <f t="shared" ca="1" si="26"/>
        <v>-31.925180386717184</v>
      </c>
      <c r="AD262" s="3">
        <f t="shared" ca="1" si="27"/>
        <v>0</v>
      </c>
    </row>
    <row r="263" spans="8:30">
      <c r="H263" t="b">
        <f t="shared" ca="1" si="24"/>
        <v>0</v>
      </c>
      <c r="I263" t="b">
        <f t="shared" ca="1" si="21"/>
        <v>0</v>
      </c>
      <c r="J263" s="2">
        <f ca="1"/>
        <v>45771</v>
      </c>
      <c r="K263">
        <f ca="1"/>
        <v>-32.927052372013989</v>
      </c>
      <c r="L263">
        <f ca="1"/>
        <v>0.64024820109125713</v>
      </c>
      <c r="M263">
        <f ca="1"/>
        <v>-0.6656405622762378</v>
      </c>
      <c r="N263">
        <f ca="1"/>
        <v>0.91152697776500713</v>
      </c>
      <c r="O263">
        <f ca="1"/>
        <v>0</v>
      </c>
      <c r="P263">
        <f ca="1"/>
        <v>9.0853565656600939</v>
      </c>
      <c r="Q263">
        <f ca="1"/>
        <v>7.7548650183876946</v>
      </c>
      <c r="R263">
        <f ca="1"/>
        <v>0</v>
      </c>
      <c r="S263">
        <f ca="1"/>
        <v>0.95723581047453921</v>
      </c>
      <c r="T263">
        <f ca="1"/>
        <v>0</v>
      </c>
      <c r="U263">
        <f ca="1"/>
        <v>0</v>
      </c>
      <c r="V263">
        <f ca="1"/>
        <v>0.20165525229081435</v>
      </c>
      <c r="Y263" s="2">
        <f t="shared" ca="1" si="22"/>
        <v>45771</v>
      </c>
      <c r="Z263">
        <f t="shared" ca="1" si="23"/>
        <v>0</v>
      </c>
      <c r="AB263" s="63">
        <f t="shared" ca="1" si="25"/>
        <v>-32.286804170922736</v>
      </c>
      <c r="AC263" s="63">
        <f t="shared" ca="1" si="26"/>
        <v>-32.286804170922736</v>
      </c>
      <c r="AD263" s="3">
        <f t="shared" ca="1" si="27"/>
        <v>0</v>
      </c>
    </row>
    <row r="264" spans="8:30">
      <c r="H264" t="b">
        <f t="shared" ca="1" si="24"/>
        <v>0</v>
      </c>
      <c r="I264" t="b">
        <f t="shared" ca="1" si="21"/>
        <v>0</v>
      </c>
      <c r="J264" s="2">
        <f ca="1"/>
        <v>45772</v>
      </c>
      <c r="K264">
        <f ca="1"/>
        <v>-33.326610754156341</v>
      </c>
      <c r="L264">
        <f ca="1"/>
        <v>0.70865247127532882</v>
      </c>
      <c r="M264">
        <f ca="1"/>
        <v>-0.6279597151637617</v>
      </c>
      <c r="N264">
        <f ca="1"/>
        <v>0.93705380429674312</v>
      </c>
      <c r="O264">
        <f ca="1"/>
        <v>0</v>
      </c>
      <c r="P264">
        <f ca="1"/>
        <v>9.7940090369354227</v>
      </c>
      <c r="Q264">
        <f ca="1"/>
        <v>8.3597399311080594</v>
      </c>
      <c r="R264">
        <f ca="1"/>
        <v>0</v>
      </c>
      <c r="S264">
        <f ca="1"/>
        <v>1</v>
      </c>
      <c r="T264">
        <f ca="1"/>
        <v>1.5644828169859579</v>
      </c>
      <c r="U264">
        <f ca="1"/>
        <v>0</v>
      </c>
      <c r="V264">
        <f ca="1"/>
        <v>0.24133419014826715</v>
      </c>
      <c r="Y264" s="2">
        <f t="shared" ca="1" si="22"/>
        <v>45772</v>
      </c>
      <c r="Z264">
        <f t="shared" ca="1" si="23"/>
        <v>0</v>
      </c>
      <c r="AB264" s="63">
        <f t="shared" ca="1" si="25"/>
        <v>-32.617958282881006</v>
      </c>
      <c r="AC264" s="63">
        <f t="shared" ca="1" si="26"/>
        <v>-32.617958282881013</v>
      </c>
      <c r="AD264" s="3">
        <f t="shared" ca="1" si="27"/>
        <v>0</v>
      </c>
    </row>
    <row r="265" spans="8:30">
      <c r="H265" t="b">
        <f t="shared" ca="1" si="24"/>
        <v>0</v>
      </c>
      <c r="I265" t="b">
        <f t="shared" ca="1" si="21"/>
        <v>0</v>
      </c>
      <c r="J265" s="2">
        <f ca="1"/>
        <v>45773</v>
      </c>
      <c r="K265">
        <f ca="1"/>
        <v>-33.740613066266455</v>
      </c>
      <c r="L265">
        <f ca="1"/>
        <v>0.78110784542819012</v>
      </c>
      <c r="M265">
        <f ca="1"/>
        <v>-0.58804869522849401</v>
      </c>
      <c r="N265">
        <f ca="1"/>
        <v>0.95515422854657073</v>
      </c>
      <c r="O265">
        <f ca="1"/>
        <v>0</v>
      </c>
      <c r="P265">
        <f ca="1"/>
        <v>10.575116882363613</v>
      </c>
      <c r="Q265">
        <f ca="1"/>
        <v>9.0264595983354692</v>
      </c>
      <c r="R265">
        <f ca="1"/>
        <v>0</v>
      </c>
      <c r="S265">
        <f ca="1"/>
        <v>1</v>
      </c>
      <c r="T265">
        <f ca="1"/>
        <v>1.0600000000000023</v>
      </c>
      <c r="U265">
        <f ca="1"/>
        <v>0</v>
      </c>
      <c r="V265">
        <f ca="1"/>
        <v>0.28713331947202053</v>
      </c>
      <c r="Y265" s="2">
        <f t="shared" ca="1" si="22"/>
        <v>45773</v>
      </c>
      <c r="Z265">
        <f t="shared" ca="1" si="23"/>
        <v>0</v>
      </c>
      <c r="AB265" s="63">
        <f t="shared" ca="1" si="25"/>
        <v>-32.959505220838267</v>
      </c>
      <c r="AC265" s="63">
        <f t="shared" ca="1" si="26"/>
        <v>-32.959505220838267</v>
      </c>
      <c r="AD265" s="3">
        <f t="shared" ca="1" si="27"/>
        <v>0</v>
      </c>
    </row>
    <row r="266" spans="8:30">
      <c r="H266" t="b">
        <f t="shared" ca="1" si="24"/>
        <v>0</v>
      </c>
      <c r="I266" t="b">
        <f t="shared" ca="1" si="21"/>
        <v>0</v>
      </c>
      <c r="J266" s="2">
        <f ca="1"/>
        <v>45774</v>
      </c>
      <c r="K266">
        <f ca="1"/>
        <v>-34.184661410405816</v>
      </c>
      <c r="L266">
        <f ca="1"/>
        <v>0.87662132558963712</v>
      </c>
      <c r="M266">
        <f ca="1"/>
        <v>-0.55456002139528238</v>
      </c>
      <c r="N266">
        <f ca="1"/>
        <v>0.98713300284555872</v>
      </c>
      <c r="O266">
        <f ca="1"/>
        <v>0</v>
      </c>
      <c r="P266">
        <f ca="1"/>
        <v>11.45173820795325</v>
      </c>
      <c r="Q266">
        <f ca="1"/>
        <v>9.7747054159935693</v>
      </c>
      <c r="R266">
        <f ca="1"/>
        <v>0</v>
      </c>
      <c r="S266">
        <f ca="1"/>
        <v>1</v>
      </c>
      <c r="T266">
        <f ca="1"/>
        <v>0.71999999999999886</v>
      </c>
      <c r="U266">
        <f ca="1"/>
        <v>0</v>
      </c>
      <c r="V266">
        <f ca="1"/>
        <v>0.33986954851756956</v>
      </c>
      <c r="Y266" s="2">
        <f t="shared" ca="1" si="22"/>
        <v>45774</v>
      </c>
      <c r="Z266">
        <f t="shared" ca="1" si="23"/>
        <v>0</v>
      </c>
      <c r="AB266" s="63">
        <f t="shared" ca="1" si="25"/>
        <v>-33.308040084816177</v>
      </c>
      <c r="AC266" s="63">
        <f t="shared" ca="1" si="26"/>
        <v>-33.308040084816177</v>
      </c>
      <c r="AD266" s="3">
        <f t="shared" ca="1" si="27"/>
        <v>0</v>
      </c>
    </row>
    <row r="267" spans="8:30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45775</v>
      </c>
      <c r="K267">
        <f ca="1"/>
        <v>-34.662235249901222</v>
      </c>
      <c r="L267">
        <f ca="1"/>
        <v>0.96977150211343144</v>
      </c>
      <c r="M267">
        <f ca="1"/>
        <v>-0.51442778184036086</v>
      </c>
      <c r="N267">
        <f ca="1"/>
        <v>1.0066254444583844</v>
      </c>
      <c r="O267">
        <f ca="1"/>
        <v>0</v>
      </c>
      <c r="P267">
        <f ca="1"/>
        <v>12.421509710066681</v>
      </c>
      <c r="Q267">
        <f ca="1"/>
        <v>10.602460170935579</v>
      </c>
      <c r="R267">
        <f ca="1"/>
        <v>0</v>
      </c>
      <c r="S267">
        <f ca="1"/>
        <v>1</v>
      </c>
      <c r="T267">
        <f ca="1"/>
        <v>1.6999999999999886</v>
      </c>
      <c r="U267">
        <f ca="1"/>
        <v>0</v>
      </c>
      <c r="V267">
        <f ca="1"/>
        <v>0.39825561773479706</v>
      </c>
      <c r="Y267" s="2">
        <f t="shared" ref="Y267:Y330" ca="1" si="29">IFERROR(J267,$Y$9)</f>
        <v>45775</v>
      </c>
      <c r="Z267">
        <f t="shared" ref="Z267:Z330" ca="1" si="30">IFERROR(O267,0)</f>
        <v>0</v>
      </c>
      <c r="AB267" s="63">
        <f t="shared" ca="1" si="25"/>
        <v>-33.692463747787791</v>
      </c>
      <c r="AC267" s="63">
        <f t="shared" ca="1" si="26"/>
        <v>-33.692463747787791</v>
      </c>
      <c r="AD267" s="3">
        <f t="shared" ca="1" si="27"/>
        <v>0</v>
      </c>
    </row>
    <row r="268" spans="8:30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45776</v>
      </c>
      <c r="K268">
        <f ca="1"/>
        <v>-35.124311192033218</v>
      </c>
      <c r="L268">
        <f ca="1"/>
        <v>0.95615348141247836</v>
      </c>
      <c r="M268">
        <f ca="1"/>
        <v>-0.43984975235967738</v>
      </c>
      <c r="N268">
        <f ca="1"/>
        <v>0.93392729164015631</v>
      </c>
      <c r="O268">
        <f ca="1"/>
        <v>0</v>
      </c>
      <c r="P268">
        <f ca="1"/>
        <v>13.37766319147916</v>
      </c>
      <c r="Q268">
        <f ca="1"/>
        <v>11.41859117599058</v>
      </c>
      <c r="R268">
        <f ca="1"/>
        <v>0</v>
      </c>
      <c r="S268">
        <f ca="1"/>
        <v>1</v>
      </c>
      <c r="T268">
        <f ca="1"/>
        <v>1.1899999999999977</v>
      </c>
      <c r="U268">
        <f ca="1"/>
        <v>0</v>
      </c>
      <c r="V268">
        <f ca="1"/>
        <v>0.45435727301610335</v>
      </c>
      <c r="Y268" s="2">
        <f t="shared" ca="1" si="29"/>
        <v>45776</v>
      </c>
      <c r="Z268">
        <f t="shared" ca="1" si="30"/>
        <v>0</v>
      </c>
      <c r="AB268" s="63">
        <f t="shared" ca="1" si="25"/>
        <v>-34.16815771062074</v>
      </c>
      <c r="AC268" s="63">
        <f t="shared" ca="1" si="26"/>
        <v>-34.16815771062074</v>
      </c>
      <c r="AD268" s="3">
        <f t="shared" ca="1" si="27"/>
        <v>0</v>
      </c>
    </row>
    <row r="269" spans="8:30">
      <c r="H269" t="b">
        <f t="shared" ca="1" si="31"/>
        <v>0</v>
      </c>
      <c r="I269" t="b">
        <f t="shared" ca="1" si="28"/>
        <v>0</v>
      </c>
      <c r="J269" s="2">
        <f ca="1"/>
        <v>45777</v>
      </c>
      <c r="K269">
        <f ca="1"/>
        <v>-35.59440654397433</v>
      </c>
      <c r="L269">
        <f ca="1"/>
        <v>0.98341663875388008</v>
      </c>
      <c r="M269">
        <f ca="1"/>
        <v>-0.38968885744112924</v>
      </c>
      <c r="N269">
        <f ca="1"/>
        <v>0.90301014425389781</v>
      </c>
      <c r="O269">
        <f ca="1"/>
        <v>0</v>
      </c>
      <c r="P269">
        <f ca="1"/>
        <v>14.36107983023304</v>
      </c>
      <c r="Q269">
        <f ca="1"/>
        <v>12.257992825805607</v>
      </c>
      <c r="R269">
        <f ca="1"/>
        <v>0</v>
      </c>
      <c r="S269">
        <f ca="1"/>
        <v>1</v>
      </c>
      <c r="T269">
        <f ca="1"/>
        <v>2.7000000000000171</v>
      </c>
      <c r="U269">
        <f ca="1"/>
        <v>0</v>
      </c>
      <c r="V269">
        <f ca="1"/>
        <v>0.50928300440307239</v>
      </c>
      <c r="Y269" s="2">
        <f t="shared" ca="1" si="29"/>
        <v>45777</v>
      </c>
      <c r="Z269">
        <f t="shared" ca="1" si="30"/>
        <v>0</v>
      </c>
      <c r="AB269" s="63">
        <f t="shared" ca="1" si="25"/>
        <v>-34.61098990522045</v>
      </c>
      <c r="AC269" s="63">
        <f t="shared" ca="1" si="26"/>
        <v>-34.61098990522045</v>
      </c>
      <c r="AD269" s="3">
        <f t="shared" ca="1" si="27"/>
        <v>0</v>
      </c>
    </row>
    <row r="270" spans="8:30">
      <c r="H270" t="b">
        <f t="shared" ca="1" si="31"/>
        <v>0</v>
      </c>
      <c r="I270" t="b">
        <f t="shared" ca="1" si="28"/>
        <v>0</v>
      </c>
      <c r="J270" s="2">
        <f ca="1"/>
        <v>45778</v>
      </c>
      <c r="K270">
        <f ca="1"/>
        <v>-36.102617195354114</v>
      </c>
      <c r="L270">
        <f ca="1"/>
        <v>1.0610873350566159</v>
      </c>
      <c r="M270">
        <f ca="1"/>
        <v>-0.3554983306673023</v>
      </c>
      <c r="N270">
        <f ca="1"/>
        <v>0.90837501434413426</v>
      </c>
      <c r="O270">
        <f ca="1"/>
        <v>0</v>
      </c>
      <c r="P270">
        <f ca="1"/>
        <v>15.422167165289656</v>
      </c>
      <c r="Q270">
        <f ca="1"/>
        <v>13.163690802171924</v>
      </c>
      <c r="R270">
        <f ca="1"/>
        <v>0</v>
      </c>
      <c r="S270">
        <f ca="1"/>
        <v>1</v>
      </c>
      <c r="T270">
        <f ca="1"/>
        <v>1.2400000000000091</v>
      </c>
      <c r="U270">
        <f ca="1"/>
        <v>0</v>
      </c>
      <c r="V270">
        <f ca="1"/>
        <v>0.56439177359445558</v>
      </c>
      <c r="Y270" s="2">
        <f t="shared" ca="1" si="29"/>
        <v>45778</v>
      </c>
      <c r="Z270">
        <f t="shared" ca="1" si="30"/>
        <v>0</v>
      </c>
      <c r="AB270" s="63">
        <f t="shared" ca="1" si="25"/>
        <v>-35.041529860297501</v>
      </c>
      <c r="AC270" s="63">
        <f t="shared" ca="1" si="26"/>
        <v>-35.041529860297501</v>
      </c>
      <c r="AD270" s="3">
        <f t="shared" ca="1" si="27"/>
        <v>0</v>
      </c>
    </row>
    <row r="271" spans="8:30">
      <c r="H271" t="b">
        <f t="shared" ca="1" si="31"/>
        <v>0</v>
      </c>
      <c r="I271" t="b">
        <f t="shared" ca="1" si="28"/>
        <v>0</v>
      </c>
      <c r="J271" s="2">
        <f ca="1"/>
        <v>45779</v>
      </c>
      <c r="K271">
        <f ca="1"/>
        <v>-36.644555051096013</v>
      </c>
      <c r="L271">
        <f ca="1"/>
        <v>1.1237227432776837</v>
      </c>
      <c r="M271">
        <f ca="1"/>
        <v>-0.31893194629667221</v>
      </c>
      <c r="N271">
        <f ca="1"/>
        <v>0.90071683383245682</v>
      </c>
      <c r="O271">
        <f ca="1"/>
        <v>0</v>
      </c>
      <c r="P271">
        <f ca="1"/>
        <v>16.545889908567339</v>
      </c>
      <c r="Q271">
        <f ca="1"/>
        <v>14.122851637438233</v>
      </c>
      <c r="R271">
        <f ca="1"/>
        <v>0</v>
      </c>
      <c r="S271">
        <f ca="1"/>
        <v>1</v>
      </c>
      <c r="T271">
        <f ca="1"/>
        <v>4.6200000000000045</v>
      </c>
      <c r="U271">
        <f ca="1"/>
        <v>0</v>
      </c>
      <c r="V271">
        <f ca="1"/>
        <v>0.61739694976196413</v>
      </c>
      <c r="Y271" s="2">
        <f t="shared" ca="1" si="29"/>
        <v>45779</v>
      </c>
      <c r="Z271">
        <f t="shared" ca="1" si="30"/>
        <v>0</v>
      </c>
      <c r="AB271" s="63">
        <f t="shared" ca="1" si="25"/>
        <v>-35.520832307818331</v>
      </c>
      <c r="AC271" s="63">
        <f t="shared" ca="1" si="26"/>
        <v>-35.520832307818331</v>
      </c>
      <c r="AD271" s="3">
        <f t="shared" ca="1" si="27"/>
        <v>0</v>
      </c>
    </row>
    <row r="272" spans="8:30">
      <c r="H272" t="b">
        <f t="shared" ca="1" si="31"/>
        <v>0</v>
      </c>
      <c r="I272" t="b">
        <f t="shared" ca="1" si="28"/>
        <v>0</v>
      </c>
      <c r="J272" s="2">
        <f ca="1"/>
        <v>45780</v>
      </c>
      <c r="K272">
        <f ca="1"/>
        <v>-37.223955230705926</v>
      </c>
      <c r="L272">
        <f ca="1"/>
        <v>1.1872449933181599</v>
      </c>
      <c r="M272">
        <f ca="1"/>
        <v>-0.28449358594411223</v>
      </c>
      <c r="N272">
        <f ca="1"/>
        <v>0.89233839965236028</v>
      </c>
      <c r="O272">
        <f ca="1"/>
        <v>0</v>
      </c>
      <c r="P272">
        <f ca="1"/>
        <v>17.733134901885499</v>
      </c>
      <c r="Q272">
        <f ca="1"/>
        <v>15.136232301190967</v>
      </c>
      <c r="R272">
        <f ca="1"/>
        <v>0</v>
      </c>
      <c r="S272">
        <f ca="1"/>
        <v>1</v>
      </c>
      <c r="T272">
        <f ca="1"/>
        <v>0.71999999999999886</v>
      </c>
      <c r="U272">
        <f ca="1"/>
        <v>0</v>
      </c>
      <c r="V272">
        <f ca="1"/>
        <v>0.6671730063757314</v>
      </c>
      <c r="Y272" s="2">
        <f t="shared" ca="1" si="29"/>
        <v>45780</v>
      </c>
      <c r="Z272">
        <f t="shared" ca="1" si="30"/>
        <v>0</v>
      </c>
      <c r="AB272" s="63">
        <f t="shared" ref="AB272:AB335" ca="1" si="32">K271+M272+N272+O272</f>
        <v>-36.036710237387766</v>
      </c>
      <c r="AC272" s="63">
        <f t="shared" ref="AC272:AC335" ca="1" si="33">K272+L272+R272</f>
        <v>-36.036710237387766</v>
      </c>
      <c r="AD272" s="3">
        <f t="shared" ref="AD272:AD335" ca="1" si="34">AC272-AB272</f>
        <v>0</v>
      </c>
    </row>
    <row r="273" spans="8:30">
      <c r="H273" t="b">
        <f t="shared" ca="1" si="31"/>
        <v>0</v>
      </c>
      <c r="I273" t="b">
        <f t="shared" ca="1" si="28"/>
        <v>0</v>
      </c>
      <c r="J273" s="2">
        <f ca="1"/>
        <v>45781</v>
      </c>
      <c r="K273">
        <f ca="1"/>
        <v>-37.830686283292827</v>
      </c>
      <c r="L273">
        <f ca="1"/>
        <v>1.2284528969661714</v>
      </c>
      <c r="M273">
        <f ca="1"/>
        <v>-0.24950474482540841</v>
      </c>
      <c r="N273">
        <f ca="1"/>
        <v>0.87122658920467966</v>
      </c>
      <c r="O273">
        <f ca="1"/>
        <v>0</v>
      </c>
      <c r="P273">
        <f ca="1"/>
        <v>18.961587798851671</v>
      </c>
      <c r="Q273">
        <f ca="1"/>
        <v>16.18478623835038</v>
      </c>
      <c r="R273">
        <f ca="1"/>
        <v>0</v>
      </c>
      <c r="S273">
        <f ca="1"/>
        <v>1</v>
      </c>
      <c r="T273">
        <f ca="1"/>
        <v>0.39000000000000057</v>
      </c>
      <c r="U273">
        <f ca="1"/>
        <v>0</v>
      </c>
      <c r="V273">
        <f ca="1"/>
        <v>0.71212562392501033</v>
      </c>
      <c r="Y273" s="2">
        <f t="shared" ca="1" si="29"/>
        <v>45781</v>
      </c>
      <c r="Z273">
        <f t="shared" ca="1" si="30"/>
        <v>0</v>
      </c>
      <c r="AB273" s="63">
        <f t="shared" ca="1" si="32"/>
        <v>-36.602233386326652</v>
      </c>
      <c r="AC273" s="63">
        <f t="shared" ca="1" si="33"/>
        <v>-36.60223338632666</v>
      </c>
      <c r="AD273" s="3">
        <f t="shared" ca="1" si="34"/>
        <v>0</v>
      </c>
    </row>
    <row r="274" spans="8:30">
      <c r="H274" t="b">
        <f t="shared" ca="1" si="31"/>
        <v>0</v>
      </c>
      <c r="I274" t="b">
        <f t="shared" ca="1" si="28"/>
        <v>0</v>
      </c>
      <c r="J274" s="2">
        <f ca="1"/>
        <v>45782</v>
      </c>
      <c r="K274">
        <f ca="1"/>
        <v>-38.498483765627597</v>
      </c>
      <c r="L274">
        <f ca="1"/>
        <v>1.3228293264195976</v>
      </c>
      <c r="M274">
        <f ca="1"/>
        <v>-0.22294702659451104</v>
      </c>
      <c r="N274">
        <f ca="1"/>
        <v>0.87797887067933689</v>
      </c>
      <c r="O274">
        <f ca="1"/>
        <v>0</v>
      </c>
      <c r="P274">
        <f ca="1"/>
        <v>20.284417125271268</v>
      </c>
      <c r="Q274">
        <f ca="1"/>
        <v>17.313895788934474</v>
      </c>
      <c r="R274">
        <f ca="1"/>
        <v>0</v>
      </c>
      <c r="S274">
        <f ca="1"/>
        <v>1</v>
      </c>
      <c r="T274">
        <f ca="1"/>
        <v>1.269999999999996</v>
      </c>
      <c r="U274">
        <f ca="1"/>
        <v>0</v>
      </c>
      <c r="V274">
        <f ca="1"/>
        <v>0.75364688247661404</v>
      </c>
      <c r="Y274" s="2">
        <f t="shared" ca="1" si="29"/>
        <v>45782</v>
      </c>
      <c r="Z274">
        <f t="shared" ca="1" si="30"/>
        <v>0</v>
      </c>
      <c r="AB274" s="63">
        <f t="shared" ca="1" si="32"/>
        <v>-37.175654439208003</v>
      </c>
      <c r="AC274" s="63">
        <f t="shared" ca="1" si="33"/>
        <v>-37.175654439208003</v>
      </c>
      <c r="AD274" s="3">
        <f t="shared" ca="1" si="34"/>
        <v>0</v>
      </c>
    </row>
    <row r="275" spans="8:30">
      <c r="H275" t="b">
        <f t="shared" ca="1" si="31"/>
        <v>0</v>
      </c>
      <c r="I275" t="b">
        <f t="shared" ca="1" si="28"/>
        <v>0</v>
      </c>
      <c r="J275" s="2">
        <f ca="1"/>
        <v>45783</v>
      </c>
      <c r="K275">
        <f ca="1"/>
        <v>-39.242440974774325</v>
      </c>
      <c r="L275">
        <f ca="1"/>
        <v>1.435906605560735</v>
      </c>
      <c r="M275">
        <f ca="1"/>
        <v>-0.19811225492237838</v>
      </c>
      <c r="N275">
        <f ca="1"/>
        <v>0.8900616513363796</v>
      </c>
      <c r="O275">
        <f ca="1"/>
        <v>0</v>
      </c>
      <c r="P275">
        <f ca="1"/>
        <v>21.720323730832003</v>
      </c>
      <c r="Q275">
        <f ca="1"/>
        <v>18.539523184475851</v>
      </c>
      <c r="R275">
        <f ca="1"/>
        <v>0</v>
      </c>
      <c r="S275">
        <f ca="1"/>
        <v>1</v>
      </c>
      <c r="T275">
        <f ca="1"/>
        <v>1.6599999999999966</v>
      </c>
      <c r="U275">
        <f ca="1"/>
        <v>0</v>
      </c>
      <c r="V275">
        <f ca="1"/>
        <v>0.79156129978962031</v>
      </c>
      <c r="Y275" s="2">
        <f t="shared" ca="1" si="29"/>
        <v>45783</v>
      </c>
      <c r="Z275">
        <f t="shared" ca="1" si="30"/>
        <v>0</v>
      </c>
      <c r="AB275" s="63">
        <f t="shared" ca="1" si="32"/>
        <v>-37.806534369213594</v>
      </c>
      <c r="AC275" s="63">
        <f t="shared" ca="1" si="33"/>
        <v>-37.806534369213594</v>
      </c>
      <c r="AD275" s="3">
        <f t="shared" ca="1" si="34"/>
        <v>0</v>
      </c>
    </row>
    <row r="276" spans="8:30">
      <c r="H276" t="b">
        <f t="shared" ca="1" si="31"/>
        <v>0</v>
      </c>
      <c r="I276" t="b">
        <f t="shared" ca="1" si="28"/>
        <v>0</v>
      </c>
      <c r="J276" s="2">
        <f ca="1"/>
        <v>45784</v>
      </c>
      <c r="K276">
        <f ca="1"/>
        <v>-40.021245813159624</v>
      </c>
      <c r="L276">
        <f ca="1"/>
        <v>1.476343849365076</v>
      </c>
      <c r="M276">
        <f ca="1"/>
        <v>-0.1684578268184822</v>
      </c>
      <c r="N276">
        <f ca="1"/>
        <v>0.86599683779825598</v>
      </c>
      <c r="O276">
        <f ca="1"/>
        <v>0</v>
      </c>
      <c r="P276">
        <f ca="1"/>
        <v>23.196667580197079</v>
      </c>
      <c r="Q276">
        <f ca="1"/>
        <v>19.79966605171634</v>
      </c>
      <c r="R276">
        <f ca="1"/>
        <v>0</v>
      </c>
      <c r="S276">
        <f ca="1"/>
        <v>0.99942028985507259</v>
      </c>
      <c r="T276">
        <f ca="1"/>
        <v>0</v>
      </c>
      <c r="U276">
        <f ca="1"/>
        <v>0</v>
      </c>
      <c r="V276">
        <f ca="1"/>
        <v>0.82390239868555659</v>
      </c>
      <c r="Y276" s="2">
        <f t="shared" ca="1" si="29"/>
        <v>45784</v>
      </c>
      <c r="Z276">
        <f t="shared" ca="1" si="30"/>
        <v>0</v>
      </c>
      <c r="AB276" s="63">
        <f t="shared" ca="1" si="32"/>
        <v>-38.544901963794551</v>
      </c>
      <c r="AC276" s="63">
        <f t="shared" ca="1" si="33"/>
        <v>-38.544901963794544</v>
      </c>
      <c r="AD276" s="3">
        <f t="shared" ca="1" si="34"/>
        <v>0</v>
      </c>
    </row>
    <row r="277" spans="8:30">
      <c r="H277" t="b">
        <f t="shared" ca="1" si="31"/>
        <v>0</v>
      </c>
      <c r="I277" t="b">
        <f t="shared" ca="1" si="28"/>
        <v>0</v>
      </c>
      <c r="J277" s="2">
        <f ca="1"/>
        <v>45785</v>
      </c>
      <c r="K277">
        <f ca="1"/>
        <v>-40.839500560961369</v>
      </c>
      <c r="L277">
        <f ca="1"/>
        <v>1.5227485835541508</v>
      </c>
      <c r="M277">
        <f ca="1"/>
        <v>-0.14224671793181187</v>
      </c>
      <c r="N277">
        <f ca="1"/>
        <v>0.84674055368422296</v>
      </c>
      <c r="O277">
        <f ca="1"/>
        <v>0</v>
      </c>
      <c r="P277">
        <f ca="1"/>
        <v>24.71941616375123</v>
      </c>
      <c r="Q277">
        <f ca="1"/>
        <v>21.099417980775108</v>
      </c>
      <c r="R277">
        <f ca="1"/>
        <v>0</v>
      </c>
      <c r="S277">
        <f ca="1"/>
        <v>1</v>
      </c>
      <c r="T277">
        <f ca="1"/>
        <v>1.5201593811007825</v>
      </c>
      <c r="U277">
        <f ca="1"/>
        <v>0</v>
      </c>
      <c r="V277">
        <f ca="1"/>
        <v>0.8513878925283701</v>
      </c>
      <c r="Y277" s="2">
        <f t="shared" ca="1" si="29"/>
        <v>45785</v>
      </c>
      <c r="Z277">
        <f t="shared" ca="1" si="30"/>
        <v>0</v>
      </c>
      <c r="AB277" s="63">
        <f t="shared" ca="1" si="32"/>
        <v>-39.316751977407215</v>
      </c>
      <c r="AC277" s="63">
        <f t="shared" ca="1" si="33"/>
        <v>-39.316751977407222</v>
      </c>
      <c r="AD277" s="3">
        <f t="shared" ca="1" si="34"/>
        <v>0</v>
      </c>
    </row>
    <row r="278" spans="8:30">
      <c r="H278" t="b">
        <f t="shared" ca="1" si="31"/>
        <v>0</v>
      </c>
      <c r="I278" t="b">
        <f t="shared" ca="1" si="28"/>
        <v>0</v>
      </c>
      <c r="J278" s="2">
        <f ca="1"/>
        <v>45786</v>
      </c>
      <c r="K278">
        <f ca="1"/>
        <v>-41.675085725891172</v>
      </c>
      <c r="L278">
        <f ca="1"/>
        <v>1.5345952001426753</v>
      </c>
      <c r="M278">
        <f ca="1"/>
        <v>-0.11718384159953388</v>
      </c>
      <c r="N278">
        <f ca="1"/>
        <v>0.81619387681240652</v>
      </c>
      <c r="O278">
        <f ca="1"/>
        <v>0</v>
      </c>
      <c r="P278">
        <f ca="1"/>
        <v>26.254011363893905</v>
      </c>
      <c r="Q278">
        <f ca="1"/>
        <v>22.409281666252539</v>
      </c>
      <c r="R278">
        <f ca="1"/>
        <v>0</v>
      </c>
      <c r="S278">
        <f ca="1"/>
        <v>1</v>
      </c>
      <c r="T278">
        <f ca="1"/>
        <v>0.59999999999999432</v>
      </c>
      <c r="U278">
        <f ca="1"/>
        <v>0</v>
      </c>
      <c r="V278">
        <f ca="1"/>
        <v>0.87414650262902727</v>
      </c>
      <c r="Y278" s="2">
        <f t="shared" ca="1" si="29"/>
        <v>45786</v>
      </c>
      <c r="Z278">
        <f t="shared" ca="1" si="30"/>
        <v>0</v>
      </c>
      <c r="AB278" s="63">
        <f t="shared" ca="1" si="32"/>
        <v>-40.140490525748497</v>
      </c>
      <c r="AC278" s="63">
        <f t="shared" ca="1" si="33"/>
        <v>-40.140490525748497</v>
      </c>
      <c r="AD278" s="3">
        <f t="shared" ca="1" si="34"/>
        <v>0</v>
      </c>
    </row>
    <row r="279" spans="8:30">
      <c r="H279" t="b">
        <f t="shared" ca="1" si="31"/>
        <v>0</v>
      </c>
      <c r="I279" t="b">
        <f t="shared" ca="1" si="28"/>
        <v>0</v>
      </c>
      <c r="J279" s="2">
        <f ca="1"/>
        <v>45787</v>
      </c>
      <c r="K279">
        <f ca="1"/>
        <v>-42.597375692473243</v>
      </c>
      <c r="L279">
        <f ca="1"/>
        <v>1.649600707982291</v>
      </c>
      <c r="M279">
        <f ca="1"/>
        <v>-9.8264314008496001E-2</v>
      </c>
      <c r="N279">
        <f ca="1"/>
        <v>0.82557505540871123</v>
      </c>
      <c r="O279">
        <f ca="1"/>
        <v>0</v>
      </c>
      <c r="P279">
        <f ca="1"/>
        <v>27.903612071876196</v>
      </c>
      <c r="Q279">
        <f ca="1"/>
        <v>23.817309048798094</v>
      </c>
      <c r="R279">
        <f ca="1"/>
        <v>0</v>
      </c>
      <c r="S279">
        <f ca="1"/>
        <v>1</v>
      </c>
      <c r="T279">
        <f ca="1"/>
        <v>1.5</v>
      </c>
      <c r="U279">
        <f ca="1"/>
        <v>0</v>
      </c>
      <c r="V279">
        <f ca="1"/>
        <v>0.89414513263351447</v>
      </c>
      <c r="Y279" s="2">
        <f t="shared" ca="1" si="29"/>
        <v>45787</v>
      </c>
      <c r="Z279">
        <f t="shared" ca="1" si="30"/>
        <v>0</v>
      </c>
      <c r="AB279" s="63">
        <f t="shared" ca="1" si="32"/>
        <v>-40.947774984490955</v>
      </c>
      <c r="AC279" s="63">
        <f t="shared" ca="1" si="33"/>
        <v>-40.947774984490948</v>
      </c>
      <c r="AD279" s="3">
        <f t="shared" ca="1" si="34"/>
        <v>0</v>
      </c>
    </row>
    <row r="280" spans="8:30">
      <c r="H280" t="b">
        <f t="shared" ca="1" si="31"/>
        <v>0</v>
      </c>
      <c r="I280" t="b">
        <f t="shared" ca="1" si="28"/>
        <v>0</v>
      </c>
      <c r="J280" s="2">
        <f ca="1"/>
        <v>45788</v>
      </c>
      <c r="K280">
        <f ca="1"/>
        <v>-43.639303864602439</v>
      </c>
      <c r="L280">
        <f ca="1"/>
        <v>1.808122612456085</v>
      </c>
      <c r="M280">
        <f ca="1"/>
        <v>-8.0546113357328863E-2</v>
      </c>
      <c r="N280">
        <f ca="1"/>
        <v>0.84674055368422296</v>
      </c>
      <c r="O280">
        <f ca="1"/>
        <v>0</v>
      </c>
      <c r="P280">
        <f ca="1"/>
        <v>29.711734684332281</v>
      </c>
      <c r="Q280">
        <f ca="1"/>
        <v>25.360643830978184</v>
      </c>
      <c r="R280">
        <f ca="1"/>
        <v>0</v>
      </c>
      <c r="S280">
        <f ca="1"/>
        <v>1</v>
      </c>
      <c r="T280">
        <f ca="1"/>
        <v>0.60000000000000853</v>
      </c>
      <c r="U280">
        <f ca="1"/>
        <v>0</v>
      </c>
      <c r="V280">
        <f ca="1"/>
        <v>0.91184019921820869</v>
      </c>
      <c r="Y280" s="2">
        <f t="shared" ca="1" si="29"/>
        <v>45788</v>
      </c>
      <c r="Z280">
        <f t="shared" ca="1" si="30"/>
        <v>0</v>
      </c>
      <c r="AB280" s="63">
        <f t="shared" ca="1" si="32"/>
        <v>-41.831181252146351</v>
      </c>
      <c r="AC280" s="63">
        <f t="shared" ca="1" si="33"/>
        <v>-41.831181252146351</v>
      </c>
      <c r="AD280" s="3">
        <f t="shared" ca="1" si="34"/>
        <v>0</v>
      </c>
    </row>
    <row r="281" spans="8:30">
      <c r="H281" t="b">
        <f t="shared" ca="1" si="31"/>
        <v>0</v>
      </c>
      <c r="I281" t="b">
        <f t="shared" ca="1" si="28"/>
        <v>0</v>
      </c>
      <c r="J281" s="2">
        <f ca="1"/>
        <v>45789</v>
      </c>
      <c r="K281">
        <f ca="1"/>
        <v>-44.820814950411275</v>
      </c>
      <c r="L281">
        <f ca="1"/>
        <v>1.9892311088841588</v>
      </c>
      <c r="M281">
        <f ca="1"/>
        <v>-6.2758279314806487E-2</v>
      </c>
      <c r="N281">
        <f ca="1"/>
        <v>0.87047830239013424</v>
      </c>
      <c r="O281">
        <f ca="1"/>
        <v>0</v>
      </c>
      <c r="P281">
        <f ca="1"/>
        <v>31.70096579321644</v>
      </c>
      <c r="Q281">
        <f ca="1"/>
        <v>27.058564944837464</v>
      </c>
      <c r="R281">
        <f ca="1"/>
        <v>0</v>
      </c>
      <c r="S281">
        <f ca="1"/>
        <v>1</v>
      </c>
      <c r="T281">
        <f ca="1"/>
        <v>1.980000000000004</v>
      </c>
      <c r="U281">
        <f ca="1"/>
        <v>0</v>
      </c>
      <c r="V281">
        <f ca="1"/>
        <v>0.92733002430187006</v>
      </c>
      <c r="Y281" s="2">
        <f t="shared" ca="1" si="29"/>
        <v>45789</v>
      </c>
      <c r="Z281">
        <f t="shared" ca="1" si="30"/>
        <v>0</v>
      </c>
      <c r="AB281" s="63">
        <f t="shared" ca="1" si="32"/>
        <v>-42.831583841527113</v>
      </c>
      <c r="AC281" s="63">
        <f t="shared" ca="1" si="33"/>
        <v>-42.83158384152712</v>
      </c>
      <c r="AD281" s="3">
        <f t="shared" ca="1" si="34"/>
        <v>0</v>
      </c>
    </row>
    <row r="282" spans="8:30">
      <c r="H282" t="b">
        <f t="shared" ca="1" si="31"/>
        <v>0</v>
      </c>
      <c r="I282" t="b">
        <f t="shared" ca="1" si="28"/>
        <v>0</v>
      </c>
      <c r="J282" s="2">
        <f ca="1"/>
        <v>45790</v>
      </c>
      <c r="K282">
        <f ca="1"/>
        <v>-46.091141295063416</v>
      </c>
      <c r="L282">
        <f ca="1"/>
        <v>2.0911023104469137</v>
      </c>
      <c r="M282">
        <f ca="1"/>
        <v>-4.3730194912392051E-2</v>
      </c>
      <c r="N282">
        <f ca="1"/>
        <v>0.86450616070716413</v>
      </c>
      <c r="O282">
        <f ca="1"/>
        <v>0</v>
      </c>
      <c r="P282">
        <f ca="1"/>
        <v>33.792068103663354</v>
      </c>
      <c r="Q282">
        <f ca="1"/>
        <v>28.843438883461609</v>
      </c>
      <c r="R282">
        <f ca="1"/>
        <v>0</v>
      </c>
      <c r="S282">
        <f ca="1"/>
        <v>1</v>
      </c>
      <c r="T282">
        <f ca="1"/>
        <v>1.6299999999999955</v>
      </c>
      <c r="U282">
        <f ca="1"/>
        <v>0</v>
      </c>
      <c r="V282">
        <f ca="1"/>
        <v>0.94017039327538854</v>
      </c>
      <c r="Y282" s="2">
        <f t="shared" ca="1" si="29"/>
        <v>45790</v>
      </c>
      <c r="Z282">
        <f t="shared" ca="1" si="30"/>
        <v>0</v>
      </c>
      <c r="AB282" s="63">
        <f t="shared" ca="1" si="32"/>
        <v>-44.000038984616502</v>
      </c>
      <c r="AC282" s="63">
        <f t="shared" ca="1" si="33"/>
        <v>-44.000038984616502</v>
      </c>
      <c r="AD282" s="3">
        <f t="shared" ca="1" si="34"/>
        <v>0</v>
      </c>
    </row>
    <row r="283" spans="8:30">
      <c r="H283" t="b">
        <f t="shared" ca="1" si="31"/>
        <v>0</v>
      </c>
      <c r="I283" t="b">
        <f t="shared" ca="1" si="28"/>
        <v>0</v>
      </c>
      <c r="J283" s="2">
        <f ca="1"/>
        <v>45791</v>
      </c>
      <c r="K283">
        <f ca="1"/>
        <v>-47.407386654191029</v>
      </c>
      <c r="L283">
        <f ca="1"/>
        <v>2.1307507661878446</v>
      </c>
      <c r="M283">
        <f ca="1"/>
        <v>-2.5631296716419172E-2</v>
      </c>
      <c r="N283">
        <f ca="1"/>
        <v>0.84013670377664829</v>
      </c>
      <c r="O283">
        <f ca="1"/>
        <v>0</v>
      </c>
      <c r="P283">
        <f ca="1"/>
        <v>35.922818869851199</v>
      </c>
      <c r="Q283">
        <f ca="1"/>
        <v>30.662155018617756</v>
      </c>
      <c r="R283">
        <f ca="1"/>
        <v>0</v>
      </c>
      <c r="S283">
        <f ca="1"/>
        <v>1</v>
      </c>
      <c r="T283">
        <f ca="1"/>
        <v>1.2099999999999937</v>
      </c>
      <c r="U283">
        <f ca="1"/>
        <v>0</v>
      </c>
      <c r="V283">
        <f ca="1"/>
        <v>0.95049695436180981</v>
      </c>
      <c r="Y283" s="2">
        <f t="shared" ca="1" si="29"/>
        <v>45791</v>
      </c>
      <c r="Z283">
        <f t="shared" ca="1" si="30"/>
        <v>0</v>
      </c>
      <c r="AB283" s="63">
        <f t="shared" ca="1" si="32"/>
        <v>-45.276635888003185</v>
      </c>
      <c r="AC283" s="63">
        <f t="shared" ca="1" si="33"/>
        <v>-45.276635888003185</v>
      </c>
      <c r="AD283" s="3">
        <f t="shared" ca="1" si="34"/>
        <v>0</v>
      </c>
    </row>
    <row r="284" spans="8:30">
      <c r="H284" t="b">
        <f t="shared" ca="1" si="31"/>
        <v>0</v>
      </c>
      <c r="I284" t="b">
        <f t="shared" ca="1" si="28"/>
        <v>0</v>
      </c>
      <c r="J284" s="2">
        <f ca="1"/>
        <v>45792</v>
      </c>
      <c r="K284">
        <f ca="1"/>
        <v>-48.812385899201942</v>
      </c>
      <c r="L284">
        <f ca="1"/>
        <v>2.2297472655084078</v>
      </c>
      <c r="M284">
        <f ca="1"/>
        <v>-9.5452356024381402E-3</v>
      </c>
      <c r="N284">
        <f ca="1"/>
        <v>0.83429325609993266</v>
      </c>
      <c r="O284">
        <f ca="1"/>
        <v>0</v>
      </c>
      <c r="P284">
        <f ca="1"/>
        <v>38.152566135359606</v>
      </c>
      <c r="Q284">
        <f ca="1"/>
        <v>32.565370257796488</v>
      </c>
      <c r="R284">
        <f ca="1"/>
        <v>0</v>
      </c>
      <c r="S284">
        <f ca="1"/>
        <v>1</v>
      </c>
      <c r="T284">
        <f ca="1"/>
        <v>2.3300000000000125</v>
      </c>
      <c r="U284">
        <f ca="1"/>
        <v>0</v>
      </c>
      <c r="V284">
        <f ca="1"/>
        <v>0.9590445556717283</v>
      </c>
      <c r="Y284" s="2">
        <f t="shared" ca="1" si="29"/>
        <v>45792</v>
      </c>
      <c r="Z284">
        <f t="shared" ca="1" si="30"/>
        <v>0</v>
      </c>
      <c r="AB284" s="63">
        <f t="shared" ca="1" si="32"/>
        <v>-46.582638633693534</v>
      </c>
      <c r="AC284" s="63">
        <f t="shared" ca="1" si="33"/>
        <v>-46.582638633693534</v>
      </c>
      <c r="AD284" s="3">
        <f t="shared" ca="1" si="34"/>
        <v>0</v>
      </c>
    </row>
    <row r="285" spans="8:30">
      <c r="H285" t="b">
        <f t="shared" ca="1" si="31"/>
        <v>0</v>
      </c>
      <c r="I285" t="b">
        <f t="shared" ca="1" si="28"/>
        <v>0</v>
      </c>
      <c r="J285" s="2">
        <f ca="1"/>
        <v>45793</v>
      </c>
      <c r="K285">
        <f ca="1"/>
        <v>-50.327901373877864</v>
      </c>
      <c r="L285">
        <f ca="1"/>
        <v>2.3561146554038217</v>
      </c>
      <c r="M285">
        <f ca="1"/>
        <v>5.5768642164437665E-3</v>
      </c>
      <c r="N285">
        <f ca="1"/>
        <v>0.83502231651145831</v>
      </c>
      <c r="O285">
        <f ca="1"/>
        <v>0</v>
      </c>
      <c r="P285">
        <f ca="1"/>
        <v>40.508680790763428</v>
      </c>
      <c r="Q285">
        <f ca="1"/>
        <v>34.576447202157901</v>
      </c>
      <c r="R285">
        <f ca="1"/>
        <v>0</v>
      </c>
      <c r="S285">
        <f ca="1"/>
        <v>1</v>
      </c>
      <c r="T285">
        <f ca="1"/>
        <v>2.3399999999999892</v>
      </c>
      <c r="U285">
        <f ca="1"/>
        <v>0</v>
      </c>
      <c r="V285">
        <f ca="1"/>
        <v>0.96617650427981072</v>
      </c>
      <c r="Y285" s="2">
        <f t="shared" ca="1" si="29"/>
        <v>45793</v>
      </c>
      <c r="Z285">
        <f t="shared" ca="1" si="30"/>
        <v>0</v>
      </c>
      <c r="AB285" s="63">
        <f t="shared" ca="1" si="32"/>
        <v>-47.971786718474043</v>
      </c>
      <c r="AC285" s="63">
        <f t="shared" ca="1" si="33"/>
        <v>-47.971786718474043</v>
      </c>
      <c r="AD285" s="3">
        <f t="shared" ca="1" si="34"/>
        <v>0</v>
      </c>
    </row>
    <row r="286" spans="8:30">
      <c r="H286" t="b">
        <f t="shared" ca="1" si="31"/>
        <v>0</v>
      </c>
      <c r="I286" t="b">
        <f t="shared" ca="1" si="28"/>
        <v>0</v>
      </c>
      <c r="J286" s="2">
        <f ca="1"/>
        <v>45794</v>
      </c>
      <c r="K286">
        <f ca="1"/>
        <v>-51.866361049276492</v>
      </c>
      <c r="L286">
        <f ca="1"/>
        <v>2.3638493339754092</v>
      </c>
      <c r="M286">
        <f ca="1"/>
        <v>1.9224783811907287E-2</v>
      </c>
      <c r="N286">
        <f ca="1"/>
        <v>0.80616487476487408</v>
      </c>
      <c r="O286">
        <f ca="1"/>
        <v>0</v>
      </c>
      <c r="P286">
        <f ca="1"/>
        <v>42.872530124738837</v>
      </c>
      <c r="Q286">
        <f ca="1"/>
        <v>36.594126131576246</v>
      </c>
      <c r="R286">
        <f ca="1"/>
        <v>0</v>
      </c>
      <c r="S286">
        <f ca="1"/>
        <v>1</v>
      </c>
      <c r="T286">
        <f ca="1"/>
        <v>2.1800000000000068</v>
      </c>
      <c r="U286">
        <f ca="1"/>
        <v>0</v>
      </c>
      <c r="V286">
        <f ca="1"/>
        <v>0.97184544543224494</v>
      </c>
      <c r="Y286" s="2">
        <f t="shared" ca="1" si="29"/>
        <v>45794</v>
      </c>
      <c r="Z286">
        <f t="shared" ca="1" si="30"/>
        <v>0</v>
      </c>
      <c r="AB286" s="63">
        <f t="shared" ca="1" si="32"/>
        <v>-49.502511715301083</v>
      </c>
      <c r="AC286" s="63">
        <f t="shared" ca="1" si="33"/>
        <v>-49.502511715301083</v>
      </c>
      <c r="AD286" s="3">
        <f t="shared" ca="1" si="34"/>
        <v>0</v>
      </c>
    </row>
    <row r="287" spans="8:30">
      <c r="H287" t="b">
        <f t="shared" ca="1" si="31"/>
        <v>0</v>
      </c>
      <c r="I287" t="b">
        <f t="shared" ca="1" si="28"/>
        <v>0</v>
      </c>
      <c r="J287" s="2">
        <f ca="1"/>
        <v>45795</v>
      </c>
      <c r="K287">
        <f ca="1"/>
        <v>-53.47886563360359</v>
      </c>
      <c r="L287">
        <f ca="1"/>
        <v>2.4405059582109772</v>
      </c>
      <c r="M287">
        <f ca="1"/>
        <v>3.1789067931839554E-2</v>
      </c>
      <c r="N287">
        <f ca="1"/>
        <v>0.79621230595204062</v>
      </c>
      <c r="O287">
        <f ca="1"/>
        <v>0</v>
      </c>
      <c r="P287">
        <f ca="1"/>
        <v>45.313036082949814</v>
      </c>
      <c r="Q287">
        <f ca="1"/>
        <v>38.677235819756334</v>
      </c>
      <c r="R287">
        <f ca="1"/>
        <v>0</v>
      </c>
      <c r="S287">
        <f ca="1"/>
        <v>1</v>
      </c>
      <c r="T287">
        <f ca="1"/>
        <v>2.039999999999992</v>
      </c>
      <c r="U287">
        <f ca="1"/>
        <v>0</v>
      </c>
      <c r="V287">
        <f ca="1"/>
        <v>0.97651160184779451</v>
      </c>
      <c r="Y287" s="2">
        <f t="shared" ca="1" si="29"/>
        <v>45795</v>
      </c>
      <c r="Z287">
        <f t="shared" ca="1" si="30"/>
        <v>0</v>
      </c>
      <c r="AB287" s="63">
        <f t="shared" ca="1" si="32"/>
        <v>-51.038359675392613</v>
      </c>
      <c r="AC287" s="63">
        <f t="shared" ca="1" si="33"/>
        <v>-51.038359675392613</v>
      </c>
      <c r="AD287" s="3">
        <f t="shared" ca="1" si="34"/>
        <v>0</v>
      </c>
    </row>
    <row r="288" spans="8:30">
      <c r="H288" t="b">
        <f t="shared" ca="1" si="31"/>
        <v>0</v>
      </c>
      <c r="I288" t="b">
        <f t="shared" ca="1" si="28"/>
        <v>0</v>
      </c>
      <c r="J288" s="2">
        <f ca="1"/>
        <v>45796</v>
      </c>
      <c r="K288">
        <f ca="1"/>
        <v>-55.32410406871702</v>
      </c>
      <c r="L288">
        <f ca="1"/>
        <v>2.7214309203144396</v>
      </c>
      <c r="M288">
        <f ca="1"/>
        <v>4.5538659797585979E-2</v>
      </c>
      <c r="N288">
        <f ca="1"/>
        <v>0.83065382540342669</v>
      </c>
      <c r="O288">
        <f ca="1"/>
        <v>0</v>
      </c>
      <c r="P288">
        <f ca="1"/>
        <v>48.034467003264254</v>
      </c>
      <c r="Q288">
        <f ca="1"/>
        <v>41.000130831238117</v>
      </c>
      <c r="R288">
        <f ca="1"/>
        <v>0</v>
      </c>
      <c r="S288">
        <f ca="1"/>
        <v>0.99463768115942019</v>
      </c>
      <c r="T288">
        <f ca="1"/>
        <v>0</v>
      </c>
      <c r="U288">
        <f ca="1"/>
        <v>0</v>
      </c>
      <c r="V288">
        <f ca="1"/>
        <v>0.98063630808794511</v>
      </c>
      <c r="Y288" s="2">
        <f t="shared" ca="1" si="29"/>
        <v>45796</v>
      </c>
      <c r="Z288">
        <f t="shared" ca="1" si="30"/>
        <v>0</v>
      </c>
      <c r="AB288" s="63">
        <f t="shared" ca="1" si="32"/>
        <v>-52.60267314840258</v>
      </c>
      <c r="AC288" s="63">
        <f t="shared" ca="1" si="33"/>
        <v>-52.60267314840258</v>
      </c>
      <c r="AD288" s="3">
        <f t="shared" ca="1" si="34"/>
        <v>0</v>
      </c>
    </row>
    <row r="289" spans="8:30">
      <c r="H289" t="b">
        <f t="shared" ca="1" si="31"/>
        <v>0</v>
      </c>
      <c r="I289" t="b">
        <f t="shared" ca="1" si="28"/>
        <v>0</v>
      </c>
      <c r="J289" s="2">
        <f ca="1"/>
        <v>45797</v>
      </c>
      <c r="K289">
        <f ca="1"/>
        <v>-57.284173096408637</v>
      </c>
      <c r="L289">
        <f ca="1"/>
        <v>2.8446420119938125</v>
      </c>
      <c r="M289">
        <f ca="1"/>
        <v>5.7548807430514159E-2</v>
      </c>
      <c r="N289">
        <f ca="1"/>
        <v>0.82702417687168051</v>
      </c>
      <c r="O289">
        <f ca="1"/>
        <v>0</v>
      </c>
      <c r="P289">
        <f ca="1"/>
        <v>50.879109015258067</v>
      </c>
      <c r="Q289">
        <f ca="1"/>
        <v>43.428193469090573</v>
      </c>
      <c r="R289">
        <f ca="1"/>
        <v>0</v>
      </c>
      <c r="S289">
        <f ca="1"/>
        <v>1</v>
      </c>
      <c r="T289">
        <f ca="1"/>
        <v>3.3901250289991651</v>
      </c>
      <c r="U289">
        <f ca="1"/>
        <v>0</v>
      </c>
      <c r="V289">
        <f ca="1"/>
        <v>0.98402998714646228</v>
      </c>
      <c r="Y289" s="2">
        <f t="shared" ca="1" si="29"/>
        <v>45797</v>
      </c>
      <c r="Z289">
        <f t="shared" ca="1" si="30"/>
        <v>0</v>
      </c>
      <c r="AB289" s="63">
        <f t="shared" ca="1" si="32"/>
        <v>-54.439531084414824</v>
      </c>
      <c r="AC289" s="63">
        <f t="shared" ca="1" si="33"/>
        <v>-54.439531084414824</v>
      </c>
      <c r="AD289" s="3">
        <f t="shared" ca="1" si="34"/>
        <v>0</v>
      </c>
    </row>
    <row r="290" spans="8:30">
      <c r="H290" t="b">
        <f t="shared" ca="1" si="31"/>
        <v>0</v>
      </c>
      <c r="I290" t="b">
        <f t="shared" ca="1" si="28"/>
        <v>0</v>
      </c>
      <c r="J290" s="2">
        <f ca="1"/>
        <v>45798</v>
      </c>
      <c r="K290">
        <f ca="1"/>
        <v>-59.460472274146142</v>
      </c>
      <c r="L290">
        <f ca="1"/>
        <v>3.0950946618603226</v>
      </c>
      <c r="M290">
        <f ca="1"/>
        <v>7.0583096102346587E-2</v>
      </c>
      <c r="N290">
        <f ca="1"/>
        <v>0.84821238802047183</v>
      </c>
      <c r="O290">
        <f ca="1"/>
        <v>0</v>
      </c>
      <c r="P290">
        <f ca="1"/>
        <v>53.974203677118389</v>
      </c>
      <c r="Q290">
        <f ca="1"/>
        <v>46.0700315905111</v>
      </c>
      <c r="R290">
        <f ca="1"/>
        <v>0</v>
      </c>
      <c r="S290">
        <f ca="1"/>
        <v>1</v>
      </c>
      <c r="T290">
        <f ca="1"/>
        <v>3.6599999999999966</v>
      </c>
      <c r="U290">
        <f ca="1"/>
        <v>0</v>
      </c>
      <c r="V290">
        <f ca="1"/>
        <v>0.98692549258555939</v>
      </c>
      <c r="Y290" s="2">
        <f t="shared" ca="1" si="29"/>
        <v>45798</v>
      </c>
      <c r="Z290">
        <f t="shared" ca="1" si="30"/>
        <v>0</v>
      </c>
      <c r="AB290" s="63">
        <f t="shared" ca="1" si="32"/>
        <v>-56.365377612285819</v>
      </c>
      <c r="AC290" s="63">
        <f t="shared" ca="1" si="33"/>
        <v>-56.365377612285819</v>
      </c>
      <c r="AD290" s="3">
        <f t="shared" ca="1" si="34"/>
        <v>0</v>
      </c>
    </row>
    <row r="291" spans="8:30">
      <c r="H291" t="b">
        <f t="shared" ca="1" si="31"/>
        <v>0</v>
      </c>
      <c r="I291" t="b">
        <f t="shared" ca="1" si="28"/>
        <v>0</v>
      </c>
      <c r="J291" s="2">
        <f ca="1"/>
        <v>45799</v>
      </c>
      <c r="K291">
        <f ca="1"/>
        <v>-61.620310397118317</v>
      </c>
      <c r="L291">
        <f ca="1"/>
        <v>3.0483619856450943</v>
      </c>
      <c r="M291">
        <f ca="1"/>
        <v>7.8785981380441683E-2</v>
      </c>
      <c r="N291">
        <f ca="1"/>
        <v>0.80973788129247981</v>
      </c>
      <c r="O291">
        <f ca="1"/>
        <v>0</v>
      </c>
      <c r="P291">
        <f ca="1"/>
        <v>57.022565662763483</v>
      </c>
      <c r="Q291">
        <f ca="1"/>
        <v>48.671980733070086</v>
      </c>
      <c r="R291">
        <f ca="1"/>
        <v>0</v>
      </c>
      <c r="S291">
        <f ca="1"/>
        <v>1</v>
      </c>
      <c r="T291">
        <f ca="1"/>
        <v>3.3299999999999983</v>
      </c>
      <c r="U291">
        <f ca="1"/>
        <v>0</v>
      </c>
      <c r="V291">
        <f ca="1"/>
        <v>0.98916851119782045</v>
      </c>
      <c r="Y291" s="2">
        <f t="shared" ca="1" si="29"/>
        <v>45799</v>
      </c>
      <c r="Z291">
        <f t="shared" ca="1" si="30"/>
        <v>0</v>
      </c>
      <c r="AB291" s="63">
        <f t="shared" ca="1" si="32"/>
        <v>-58.571948411473223</v>
      </c>
      <c r="AC291" s="63">
        <f t="shared" ca="1" si="33"/>
        <v>-58.571948411473223</v>
      </c>
      <c r="AD291" s="3">
        <f t="shared" ca="1" si="34"/>
        <v>0</v>
      </c>
    </row>
    <row r="292" spans="8:30">
      <c r="H292" t="b">
        <f t="shared" ca="1" si="31"/>
        <v>0</v>
      </c>
      <c r="I292" t="b">
        <f t="shared" ca="1" si="28"/>
        <v>0</v>
      </c>
      <c r="J292" s="2">
        <f ca="1"/>
        <v>45800</v>
      </c>
      <c r="K292">
        <f ca="1"/>
        <v>-63.834951721946524</v>
      </c>
      <c r="L292">
        <f ca="1"/>
        <v>3.094554060119016</v>
      </c>
      <c r="M292">
        <f ca="1"/>
        <v>8.7236415947209878E-2</v>
      </c>
      <c r="N292">
        <f ca="1"/>
        <v>0.79267631934360139</v>
      </c>
      <c r="O292">
        <f ca="1"/>
        <v>0</v>
      </c>
      <c r="P292">
        <f ca="1"/>
        <v>60.117119722882499</v>
      </c>
      <c r="Q292">
        <f ca="1"/>
        <v>51.313357420368327</v>
      </c>
      <c r="R292">
        <f ca="1"/>
        <v>0</v>
      </c>
      <c r="S292">
        <f ca="1"/>
        <v>1</v>
      </c>
      <c r="T292">
        <f ca="1"/>
        <v>6.3599999999999994</v>
      </c>
      <c r="U292">
        <f ca="1"/>
        <v>0</v>
      </c>
      <c r="V292">
        <f ca="1"/>
        <v>0.99097972636791865</v>
      </c>
      <c r="Y292" s="2">
        <f t="shared" ca="1" si="29"/>
        <v>45800</v>
      </c>
      <c r="Z292">
        <f t="shared" ca="1" si="30"/>
        <v>0</v>
      </c>
      <c r="AB292" s="63">
        <f t="shared" ca="1" si="32"/>
        <v>-60.740397661827508</v>
      </c>
      <c r="AC292" s="63">
        <f t="shared" ca="1" si="33"/>
        <v>-60.740397661827508</v>
      </c>
      <c r="AD292" s="3">
        <f t="shared" ca="1" si="34"/>
        <v>0</v>
      </c>
    </row>
    <row r="293" spans="8:30">
      <c r="H293" t="b">
        <f t="shared" ca="1" si="31"/>
        <v>0</v>
      </c>
      <c r="I293" t="b">
        <f t="shared" ca="1" si="28"/>
        <v>0</v>
      </c>
      <c r="J293" s="2">
        <f ca="1"/>
        <v>45801</v>
      </c>
      <c r="K293">
        <f ca="1"/>
        <v>-66.154299213312981</v>
      </c>
      <c r="L293">
        <f ca="1"/>
        <v>3.2030009866969635</v>
      </c>
      <c r="M293">
        <f ca="1"/>
        <v>9.5911212320018535E-2</v>
      </c>
      <c r="N293">
        <f ca="1"/>
        <v>0.78774228301048888</v>
      </c>
      <c r="O293">
        <f ca="1"/>
        <v>0</v>
      </c>
      <c r="P293">
        <f ca="1"/>
        <v>63.320120709579463</v>
      </c>
      <c r="Q293">
        <f ca="1"/>
        <v>54.047299685164056</v>
      </c>
      <c r="R293">
        <f ca="1"/>
        <v>0</v>
      </c>
      <c r="S293">
        <f ca="1"/>
        <v>1</v>
      </c>
      <c r="T293">
        <f ca="1"/>
        <v>3.8299999999999983</v>
      </c>
      <c r="U293">
        <f ca="1"/>
        <v>0</v>
      </c>
      <c r="V293">
        <f ca="1"/>
        <v>0.9924780494942157</v>
      </c>
      <c r="Y293" s="2">
        <f t="shared" ca="1" si="29"/>
        <v>45801</v>
      </c>
      <c r="Z293">
        <f t="shared" ca="1" si="30"/>
        <v>0</v>
      </c>
      <c r="AB293" s="63">
        <f t="shared" ca="1" si="32"/>
        <v>-62.951298226616018</v>
      </c>
      <c r="AC293" s="63">
        <f t="shared" ca="1" si="33"/>
        <v>-62.951298226616018</v>
      </c>
      <c r="AD293" s="3">
        <f t="shared" ca="1" si="34"/>
        <v>0</v>
      </c>
    </row>
    <row r="294" spans="8:30">
      <c r="H294" t="b">
        <f t="shared" ca="1" si="31"/>
        <v>0</v>
      </c>
      <c r="I294" t="b">
        <f t="shared" ca="1" si="28"/>
        <v>0</v>
      </c>
      <c r="J294" s="2">
        <f ca="1"/>
        <v>45802</v>
      </c>
      <c r="K294">
        <f ca="1"/>
        <v>-68.704571921636813</v>
      </c>
      <c r="L294">
        <f ca="1"/>
        <v>3.4645050107545572</v>
      </c>
      <c r="M294">
        <f ca="1"/>
        <v>0.10663939523445265</v>
      </c>
      <c r="N294">
        <f ca="1"/>
        <v>0.8075929071962632</v>
      </c>
      <c r="O294">
        <f ca="1"/>
        <v>0</v>
      </c>
      <c r="P294">
        <f ca="1"/>
        <v>66.78462572033402</v>
      </c>
      <c r="Q294">
        <f ca="1"/>
        <v>57.00445040564076</v>
      </c>
      <c r="R294">
        <f ca="1"/>
        <v>0</v>
      </c>
      <c r="S294">
        <f ca="1"/>
        <v>1</v>
      </c>
      <c r="T294">
        <f ca="1"/>
        <v>4.4699999999999989</v>
      </c>
      <c r="U294">
        <f ca="1"/>
        <v>0</v>
      </c>
      <c r="V294">
        <f ca="1"/>
        <v>0.99377011659528169</v>
      </c>
      <c r="Y294" s="2">
        <f t="shared" ca="1" si="29"/>
        <v>45802</v>
      </c>
      <c r="Z294">
        <f t="shared" ca="1" si="30"/>
        <v>0</v>
      </c>
      <c r="AB294" s="63">
        <f t="shared" ca="1" si="32"/>
        <v>-65.240066910882263</v>
      </c>
      <c r="AC294" s="63">
        <f t="shared" ca="1" si="33"/>
        <v>-65.240066910882263</v>
      </c>
      <c r="AD294" s="3">
        <f t="shared" ca="1" si="34"/>
        <v>0</v>
      </c>
    </row>
    <row r="295" spans="8:30">
      <c r="H295" t="b">
        <f t="shared" ca="1" si="31"/>
        <v>0</v>
      </c>
      <c r="I295" t="b">
        <f t="shared" ca="1" si="28"/>
        <v>0</v>
      </c>
      <c r="J295" s="2">
        <f ca="1"/>
        <v>45803</v>
      </c>
      <c r="K295">
        <f ca="1"/>
        <v>-71.549317568540403</v>
      </c>
      <c r="L295">
        <f ca="1"/>
        <v>3.7996719298241004</v>
      </c>
      <c r="M295">
        <f ca="1"/>
        <v>0.11844467101566636</v>
      </c>
      <c r="N295">
        <f ca="1"/>
        <v>0.83648161190483972</v>
      </c>
      <c r="O295">
        <f ca="1"/>
        <v>0</v>
      </c>
      <c r="P295">
        <f ca="1"/>
        <v>70.584297650158121</v>
      </c>
      <c r="Q295">
        <f ca="1"/>
        <v>60.247685023565928</v>
      </c>
      <c r="R295">
        <f ca="1"/>
        <v>0</v>
      </c>
      <c r="S295">
        <f ca="1"/>
        <v>1</v>
      </c>
      <c r="T295">
        <f ca="1"/>
        <v>5.460000000000008</v>
      </c>
      <c r="U295">
        <f ca="1"/>
        <v>0</v>
      </c>
      <c r="V295">
        <f ca="1"/>
        <v>0.99488962189966823</v>
      </c>
      <c r="Y295" s="2">
        <f t="shared" ca="1" si="29"/>
        <v>45803</v>
      </c>
      <c r="Z295">
        <f t="shared" ca="1" si="30"/>
        <v>0</v>
      </c>
      <c r="AB295" s="63">
        <f t="shared" ca="1" si="32"/>
        <v>-67.749645638716302</v>
      </c>
      <c r="AC295" s="63">
        <f t="shared" ca="1" si="33"/>
        <v>-67.749645638716302</v>
      </c>
      <c r="AD295" s="3">
        <f t="shared" ca="1" si="34"/>
        <v>0</v>
      </c>
    </row>
    <row r="296" spans="8:30">
      <c r="H296" t="b">
        <f t="shared" ca="1" si="31"/>
        <v>0</v>
      </c>
      <c r="I296" t="b">
        <f t="shared" ca="1" si="28"/>
        <v>0</v>
      </c>
      <c r="J296" s="2">
        <f ca="1"/>
        <v>45804</v>
      </c>
      <c r="K296">
        <f ca="1"/>
        <v>-74.307742516637873</v>
      </c>
      <c r="L296">
        <f ca="1"/>
        <v>3.671767485986507</v>
      </c>
      <c r="M296">
        <f ca="1"/>
        <v>0.12137224812401115</v>
      </c>
      <c r="N296">
        <f ca="1"/>
        <v>0.79197028976502037</v>
      </c>
      <c r="O296">
        <f ca="1"/>
        <v>0</v>
      </c>
      <c r="P296">
        <f ca="1"/>
        <v>74.256065136144628</v>
      </c>
      <c r="Q296">
        <f ca="1"/>
        <v>63.381745973947716</v>
      </c>
      <c r="R296">
        <f ca="1"/>
        <v>0</v>
      </c>
      <c r="S296">
        <f ca="1"/>
        <v>1</v>
      </c>
      <c r="T296">
        <f ca="1"/>
        <v>2.8299999999999983</v>
      </c>
      <c r="U296">
        <f ca="1"/>
        <v>0</v>
      </c>
      <c r="V296">
        <f ca="1"/>
        <v>0.99574727952222597</v>
      </c>
      <c r="Y296" s="2">
        <f t="shared" ca="1" si="29"/>
        <v>45804</v>
      </c>
      <c r="Z296">
        <f t="shared" ca="1" si="30"/>
        <v>0</v>
      </c>
      <c r="AB296" s="63">
        <f t="shared" ca="1" si="32"/>
        <v>-70.63597503065138</v>
      </c>
      <c r="AC296" s="63">
        <f t="shared" ca="1" si="33"/>
        <v>-70.635975030651366</v>
      </c>
      <c r="AD296" s="3">
        <f t="shared" ca="1" si="34"/>
        <v>0</v>
      </c>
    </row>
    <row r="297" spans="8:30">
      <c r="H297" t="b">
        <f t="shared" ca="1" si="31"/>
        <v>0</v>
      </c>
      <c r="I297" t="b">
        <f t="shared" ca="1" si="28"/>
        <v>0</v>
      </c>
      <c r="J297" s="2">
        <f ca="1"/>
        <v>45805</v>
      </c>
      <c r="K297">
        <f ca="1"/>
        <v>-76.900400250139654</v>
      </c>
      <c r="L297">
        <f ca="1"/>
        <v>3.4563007265457486</v>
      </c>
      <c r="M297">
        <f ca="1"/>
        <v>0.12216454221430695</v>
      </c>
      <c r="N297">
        <f ca="1"/>
        <v>0.74147845082965824</v>
      </c>
      <c r="O297">
        <f ca="1"/>
        <v>0</v>
      </c>
      <c r="P297">
        <f ca="1"/>
        <v>77.712365862690376</v>
      </c>
      <c r="Q297">
        <f ca="1"/>
        <v>66.331893874430278</v>
      </c>
      <c r="R297">
        <f ca="1"/>
        <v>0</v>
      </c>
      <c r="S297">
        <f ca="1"/>
        <v>1</v>
      </c>
      <c r="T297">
        <f ca="1"/>
        <v>2.3299999999999841</v>
      </c>
      <c r="U297">
        <f ca="1"/>
        <v>0</v>
      </c>
      <c r="V297">
        <f ca="1"/>
        <v>0.99640023529408073</v>
      </c>
      <c r="Y297" s="2">
        <f t="shared" ca="1" si="29"/>
        <v>45805</v>
      </c>
      <c r="Z297">
        <f t="shared" ca="1" si="30"/>
        <v>0</v>
      </c>
      <c r="AB297" s="63">
        <f t="shared" ca="1" si="32"/>
        <v>-73.444099523593906</v>
      </c>
      <c r="AC297" s="63">
        <f t="shared" ca="1" si="33"/>
        <v>-73.444099523593906</v>
      </c>
      <c r="AD297" s="3">
        <f t="shared" ca="1" si="34"/>
        <v>0</v>
      </c>
    </row>
    <row r="298" spans="8:30">
      <c r="H298" t="b">
        <f t="shared" ca="1" si="31"/>
        <v>0</v>
      </c>
      <c r="I298" t="b">
        <f t="shared" ca="1" si="28"/>
        <v>0</v>
      </c>
      <c r="J298" s="2">
        <f ca="1"/>
        <v>45806</v>
      </c>
      <c r="K298">
        <f ca="1"/>
        <v>-79.447310886174904</v>
      </c>
      <c r="L298">
        <f ca="1"/>
        <v>3.3886728433952555</v>
      </c>
      <c r="M298">
        <f ca="1"/>
        <v>0.12508905630013345</v>
      </c>
      <c r="N298">
        <f ca="1"/>
        <v>0.71667315105986462</v>
      </c>
      <c r="O298">
        <f ca="1"/>
        <v>0</v>
      </c>
      <c r="P298">
        <f ca="1"/>
        <v>81.101038706085632</v>
      </c>
      <c r="Q298">
        <f ca="1"/>
        <v>69.22431755665886</v>
      </c>
      <c r="R298">
        <f ca="1"/>
        <v>0</v>
      </c>
      <c r="S298">
        <f ca="1"/>
        <v>1</v>
      </c>
      <c r="T298">
        <f ca="1"/>
        <v>3.519999999999996</v>
      </c>
      <c r="U298">
        <f ca="1"/>
        <v>0</v>
      </c>
      <c r="V298">
        <f ca="1"/>
        <v>0.99692660190402071</v>
      </c>
      <c r="Y298" s="2">
        <f t="shared" ca="1" si="29"/>
        <v>45806</v>
      </c>
      <c r="Z298">
        <f t="shared" ca="1" si="30"/>
        <v>0</v>
      </c>
      <c r="AB298" s="63">
        <f t="shared" ca="1" si="32"/>
        <v>-76.058638042779648</v>
      </c>
      <c r="AC298" s="63">
        <f t="shared" ca="1" si="33"/>
        <v>-76.058638042779648</v>
      </c>
      <c r="AD298" s="3">
        <f t="shared" ca="1" si="34"/>
        <v>0</v>
      </c>
    </row>
    <row r="299" spans="8:30">
      <c r="H299" t="b">
        <f t="shared" ca="1" si="31"/>
        <v>0</v>
      </c>
      <c r="I299" t="b">
        <f t="shared" ca="1" si="28"/>
        <v>0</v>
      </c>
      <c r="J299" s="2">
        <f ca="1"/>
        <v>45807</v>
      </c>
      <c r="K299">
        <f ca="1"/>
        <v>-82.234874382295857</v>
      </c>
      <c r="L299">
        <f ca="1"/>
        <v>3.6578257173036661</v>
      </c>
      <c r="M299">
        <f ca="1"/>
        <v>0.13351711389099563</v>
      </c>
      <c r="N299">
        <f ca="1"/>
        <v>0.73674510729171483</v>
      </c>
      <c r="O299">
        <f ca="1"/>
        <v>0</v>
      </c>
      <c r="P299">
        <f ca="1"/>
        <v>84.758864423389298</v>
      </c>
      <c r="Q299">
        <f ca="1"/>
        <v>72.346478419964086</v>
      </c>
      <c r="R299">
        <f ca="1"/>
        <v>0</v>
      </c>
      <c r="S299">
        <f ca="1"/>
        <v>1</v>
      </c>
      <c r="T299">
        <f ca="1"/>
        <v>4.0700000000000074</v>
      </c>
      <c r="U299">
        <f ca="1"/>
        <v>0</v>
      </c>
      <c r="V299">
        <f ca="1"/>
        <v>0.99739466959543932</v>
      </c>
      <c r="Y299" s="2">
        <f t="shared" ca="1" si="29"/>
        <v>45807</v>
      </c>
      <c r="Z299">
        <f t="shared" ca="1" si="30"/>
        <v>0</v>
      </c>
      <c r="AB299" s="63">
        <f t="shared" ca="1" si="32"/>
        <v>-78.577048664992191</v>
      </c>
      <c r="AC299" s="63">
        <f t="shared" ca="1" si="33"/>
        <v>-78.577048664992191</v>
      </c>
      <c r="AD299" s="3">
        <f t="shared" ca="1" si="34"/>
        <v>0</v>
      </c>
    </row>
    <row r="300" spans="8:30">
      <c r="H300" t="b">
        <f t="shared" ca="1" si="31"/>
        <v>0</v>
      </c>
      <c r="I300" t="b">
        <f t="shared" ca="1" si="28"/>
        <v>0</v>
      </c>
      <c r="J300" s="2">
        <f ca="1"/>
        <v>45808</v>
      </c>
      <c r="K300">
        <f ca="1"/>
        <v>-85.001462831324986</v>
      </c>
      <c r="L300">
        <f ca="1"/>
        <v>3.620162986466184</v>
      </c>
      <c r="M300">
        <f ca="1"/>
        <v>0.13623789856841739</v>
      </c>
      <c r="N300">
        <f ca="1"/>
        <v>0.71733663886863519</v>
      </c>
      <c r="O300">
        <f ca="1"/>
        <v>0</v>
      </c>
      <c r="P300">
        <f ca="1"/>
        <v>88.379027409855482</v>
      </c>
      <c r="Q300">
        <f ca="1"/>
        <v>75.436492015106765</v>
      </c>
      <c r="R300">
        <f ca="1"/>
        <v>0</v>
      </c>
      <c r="S300">
        <f ca="1"/>
        <v>1</v>
      </c>
      <c r="T300">
        <f ca="1"/>
        <v>4.2400000000000091</v>
      </c>
      <c r="U300">
        <f ca="1"/>
        <v>0</v>
      </c>
      <c r="V300">
        <f ca="1"/>
        <v>0.99777647581083506</v>
      </c>
      <c r="Y300" s="2">
        <f t="shared" ca="1" si="29"/>
        <v>45808</v>
      </c>
      <c r="Z300">
        <f t="shared" ca="1" si="30"/>
        <v>0</v>
      </c>
      <c r="AB300" s="63">
        <f t="shared" ca="1" si="32"/>
        <v>-81.381299844858802</v>
      </c>
      <c r="AC300" s="63">
        <f t="shared" ca="1" si="33"/>
        <v>-81.381299844858802</v>
      </c>
      <c r="AD300" s="3">
        <f t="shared" ca="1" si="34"/>
        <v>0</v>
      </c>
    </row>
    <row r="301" spans="8:30">
      <c r="H301" t="b">
        <f t="shared" ca="1" si="31"/>
        <v>0</v>
      </c>
      <c r="I301" t="b">
        <f t="shared" ca="1" si="28"/>
        <v>0</v>
      </c>
      <c r="J301" s="2">
        <f ca="1"/>
        <v>45809</v>
      </c>
      <c r="K301">
        <f ca="1"/>
        <v>-87.888706678836513</v>
      </c>
      <c r="L301">
        <f ca="1"/>
        <v>3.7481401574063682</v>
      </c>
      <c r="M301">
        <f ca="1"/>
        <v>0.14156690225701851</v>
      </c>
      <c r="N301">
        <f ca="1"/>
        <v>0.71932940763781239</v>
      </c>
      <c r="O301">
        <f ca="1"/>
        <v>0</v>
      </c>
      <c r="P301">
        <f ca="1"/>
        <v>92.12716756726185</v>
      </c>
      <c r="Q301">
        <f ca="1"/>
        <v>78.635741354482917</v>
      </c>
      <c r="R301">
        <f ca="1"/>
        <v>0</v>
      </c>
      <c r="S301">
        <f ca="1"/>
        <v>1</v>
      </c>
      <c r="T301">
        <f ca="1"/>
        <v>2.8799999999999955</v>
      </c>
      <c r="U301">
        <f ca="1"/>
        <v>0</v>
      </c>
      <c r="V301">
        <f ca="1"/>
        <v>0.99810377613251655</v>
      </c>
      <c r="Y301" s="2">
        <f t="shared" ca="1" si="29"/>
        <v>45809</v>
      </c>
      <c r="Z301">
        <f t="shared" ca="1" si="30"/>
        <v>0</v>
      </c>
      <c r="AB301" s="63">
        <f t="shared" ca="1" si="32"/>
        <v>-84.140566521430145</v>
      </c>
      <c r="AC301" s="63">
        <f t="shared" ca="1" si="33"/>
        <v>-84.140566521430145</v>
      </c>
      <c r="AD301" s="3">
        <f t="shared" ca="1" si="34"/>
        <v>0</v>
      </c>
    </row>
    <row r="302" spans="8:30">
      <c r="H302" t="b">
        <f t="shared" ca="1" si="31"/>
        <v>0</v>
      </c>
      <c r="I302" t="b">
        <f t="shared" ca="1" si="28"/>
        <v>0</v>
      </c>
      <c r="J302" s="2">
        <f ca="1"/>
        <v>45810</v>
      </c>
      <c r="K302">
        <f ca="1"/>
        <v>-90.802568627822225</v>
      </c>
      <c r="L302">
        <f ca="1"/>
        <v>3.7672992683027218</v>
      </c>
      <c r="M302">
        <f ca="1"/>
        <v>0.14469607320229017</v>
      </c>
      <c r="N302">
        <f ca="1"/>
        <v>0.70874124611472378</v>
      </c>
      <c r="O302">
        <f ca="1"/>
        <v>0</v>
      </c>
      <c r="P302">
        <f ca="1"/>
        <v>95.894466835564572</v>
      </c>
      <c r="Q302">
        <f ca="1"/>
        <v>81.851344077218286</v>
      </c>
      <c r="R302">
        <f ca="1"/>
        <v>0</v>
      </c>
      <c r="S302">
        <f ca="1"/>
        <v>1</v>
      </c>
      <c r="T302">
        <f ca="1"/>
        <v>3.8100000000000023</v>
      </c>
      <c r="U302">
        <f ca="1"/>
        <v>0</v>
      </c>
      <c r="V302">
        <f ca="1"/>
        <v>0.99837686798804137</v>
      </c>
      <c r="Y302" s="2">
        <f t="shared" ca="1" si="29"/>
        <v>45810</v>
      </c>
      <c r="Z302">
        <f t="shared" ca="1" si="30"/>
        <v>0</v>
      </c>
      <c r="AB302" s="63">
        <f t="shared" ca="1" si="32"/>
        <v>-87.035269359519503</v>
      </c>
      <c r="AC302" s="63">
        <f t="shared" ca="1" si="33"/>
        <v>-87.035269359519503</v>
      </c>
      <c r="AD302" s="3">
        <f t="shared" ca="1" si="34"/>
        <v>0</v>
      </c>
    </row>
    <row r="303" spans="8:30">
      <c r="H303" t="b">
        <f t="shared" ca="1" si="31"/>
        <v>0</v>
      </c>
      <c r="I303" t="b">
        <f t="shared" ca="1" si="28"/>
        <v>0</v>
      </c>
      <c r="J303" s="2">
        <f ca="1"/>
        <v>45811</v>
      </c>
      <c r="K303">
        <f ca="1"/>
        <v>-93.537726377301169</v>
      </c>
      <c r="L303">
        <f ca="1"/>
        <v>3.5524315022924071</v>
      </c>
      <c r="M303">
        <f ca="1"/>
        <v>0.14354389726995009</v>
      </c>
      <c r="N303">
        <f ca="1"/>
        <v>0.67372985554351106</v>
      </c>
      <c r="O303">
        <f ca="1"/>
        <v>0</v>
      </c>
      <c r="P303">
        <f ca="1"/>
        <v>99.446898337856979</v>
      </c>
      <c r="Q303">
        <f ca="1"/>
        <v>84.883545024781682</v>
      </c>
      <c r="R303">
        <f ca="1"/>
        <v>0</v>
      </c>
      <c r="S303">
        <f ca="1"/>
        <v>1</v>
      </c>
      <c r="T303">
        <f ca="1"/>
        <v>1.3000000000000114</v>
      </c>
      <c r="U303">
        <f ca="1"/>
        <v>0</v>
      </c>
      <c r="V303">
        <f ca="1"/>
        <v>0.99859288821803005</v>
      </c>
      <c r="Y303" s="2">
        <f t="shared" ca="1" si="29"/>
        <v>45811</v>
      </c>
      <c r="Z303">
        <f t="shared" ca="1" si="30"/>
        <v>0</v>
      </c>
      <c r="AB303" s="63">
        <f t="shared" ca="1" si="32"/>
        <v>-89.985294875008762</v>
      </c>
      <c r="AC303" s="63">
        <f t="shared" ca="1" si="33"/>
        <v>-89.985294875008762</v>
      </c>
      <c r="AD303" s="3">
        <f t="shared" ca="1" si="34"/>
        <v>0</v>
      </c>
    </row>
    <row r="304" spans="8:30">
      <c r="H304" t="b">
        <f t="shared" ca="1" si="31"/>
        <v>0</v>
      </c>
      <c r="I304" t="b">
        <f t="shared" ca="1" si="28"/>
        <v>0</v>
      </c>
      <c r="J304" s="2">
        <f ca="1"/>
        <v>45812</v>
      </c>
      <c r="K304">
        <f ca="1"/>
        <v>-96.416430213333939</v>
      </c>
      <c r="L304">
        <f ca="1"/>
        <v>3.7080178033813525</v>
      </c>
      <c r="M304">
        <f ca="1"/>
        <v>0.14854247235634688</v>
      </c>
      <c r="N304">
        <f ca="1"/>
        <v>0.68077149499222989</v>
      </c>
      <c r="O304">
        <f ca="1"/>
        <v>0</v>
      </c>
      <c r="P304">
        <f ca="1"/>
        <v>103.15491614123833</v>
      </c>
      <c r="Q304">
        <f ca="1"/>
        <v>88.048547668672057</v>
      </c>
      <c r="R304">
        <f ca="1"/>
        <v>0</v>
      </c>
      <c r="S304">
        <f ca="1"/>
        <v>1</v>
      </c>
      <c r="T304">
        <f ca="1"/>
        <v>3.0400000000000063</v>
      </c>
      <c r="U304">
        <f ca="1"/>
        <v>0</v>
      </c>
      <c r="V304">
        <f ca="1"/>
        <v>0.99878335283868225</v>
      </c>
      <c r="Y304" s="2">
        <f t="shared" ca="1" si="29"/>
        <v>45812</v>
      </c>
      <c r="Z304">
        <f t="shared" ca="1" si="30"/>
        <v>0</v>
      </c>
      <c r="AB304" s="63">
        <f t="shared" ca="1" si="32"/>
        <v>-92.708412409952587</v>
      </c>
      <c r="AC304" s="63">
        <f t="shared" ca="1" si="33"/>
        <v>-92.708412409952587</v>
      </c>
      <c r="AD304" s="3">
        <f t="shared" ca="1" si="34"/>
        <v>0</v>
      </c>
    </row>
    <row r="305" spans="8:30">
      <c r="H305" t="b">
        <f t="shared" ca="1" si="31"/>
        <v>0</v>
      </c>
      <c r="I305" t="b">
        <f t="shared" ca="1" si="28"/>
        <v>0</v>
      </c>
      <c r="J305" s="2">
        <f ca="1"/>
        <v>45813</v>
      </c>
      <c r="K305">
        <f ca="1"/>
        <v>-99.453622495828441</v>
      </c>
      <c r="L305">
        <f ca="1"/>
        <v>3.8799736644926242</v>
      </c>
      <c r="M305">
        <f ca="1"/>
        <v>0.15362846146289399</v>
      </c>
      <c r="N305">
        <f ca="1"/>
        <v>0.68915292053522814</v>
      </c>
      <c r="O305">
        <f ca="1"/>
        <v>0</v>
      </c>
      <c r="P305">
        <f ca="1"/>
        <v>107.03488980573096</v>
      </c>
      <c r="Q305">
        <f ca="1"/>
        <v>91.360324353008849</v>
      </c>
      <c r="R305">
        <f ca="1"/>
        <v>0</v>
      </c>
      <c r="S305">
        <f ca="1"/>
        <v>1</v>
      </c>
      <c r="T305">
        <f ca="1"/>
        <v>2.0400000000000063</v>
      </c>
      <c r="U305">
        <f ca="1"/>
        <v>0</v>
      </c>
      <c r="V305">
        <f ca="1"/>
        <v>0.99895128303846259</v>
      </c>
      <c r="Y305" s="2">
        <f t="shared" ca="1" si="29"/>
        <v>45813</v>
      </c>
      <c r="Z305">
        <f t="shared" ca="1" si="30"/>
        <v>0</v>
      </c>
      <c r="AB305" s="63">
        <f t="shared" ca="1" si="32"/>
        <v>-95.573648831335831</v>
      </c>
      <c r="AC305" s="63">
        <f t="shared" ca="1" si="33"/>
        <v>-95.573648831335817</v>
      </c>
      <c r="AD305" s="3">
        <f t="shared" ca="1" si="34"/>
        <v>0</v>
      </c>
    </row>
    <row r="306" spans="8:30">
      <c r="H306" t="b">
        <f t="shared" ca="1" si="31"/>
        <v>0</v>
      </c>
      <c r="I306" t="b">
        <f t="shared" ca="1" si="28"/>
        <v>0</v>
      </c>
      <c r="J306" s="2">
        <f ca="1"/>
        <v>45814</v>
      </c>
      <c r="K306">
        <f ca="1"/>
        <v>-102.54701297926786</v>
      </c>
      <c r="L306">
        <f ca="1"/>
        <v>3.9351739173114026</v>
      </c>
      <c r="M306">
        <f ca="1"/>
        <v>0.15650687834120447</v>
      </c>
      <c r="N306">
        <f ca="1"/>
        <v>0.68527655553077582</v>
      </c>
      <c r="O306">
        <f ca="1"/>
        <v>0</v>
      </c>
      <c r="P306">
        <f ca="1"/>
        <v>110.97006372304236</v>
      </c>
      <c r="Q306">
        <f ca="1"/>
        <v>94.71921757113239</v>
      </c>
      <c r="R306">
        <f ca="1"/>
        <v>0</v>
      </c>
      <c r="S306">
        <f ca="1"/>
        <v>1</v>
      </c>
      <c r="T306">
        <f ca="1"/>
        <v>2.1600000000000108</v>
      </c>
      <c r="U306">
        <f ca="1"/>
        <v>0</v>
      </c>
      <c r="V306">
        <f ca="1"/>
        <v>0.99909477540798985</v>
      </c>
      <c r="Y306" s="2">
        <f t="shared" ca="1" si="29"/>
        <v>45814</v>
      </c>
      <c r="Z306">
        <f t="shared" ca="1" si="30"/>
        <v>0</v>
      </c>
      <c r="AB306" s="63">
        <f t="shared" ca="1" si="32"/>
        <v>-98.611839061956459</v>
      </c>
      <c r="AC306" s="63">
        <f t="shared" ca="1" si="33"/>
        <v>-98.611839061956459</v>
      </c>
      <c r="AD306" s="3">
        <f t="shared" ca="1" si="34"/>
        <v>0</v>
      </c>
    </row>
    <row r="307" spans="8:30">
      <c r="H307" t="b">
        <f t="shared" ca="1" si="31"/>
        <v>0</v>
      </c>
      <c r="I307" t="b">
        <f t="shared" ca="1" si="28"/>
        <v>0</v>
      </c>
      <c r="J307" s="2">
        <f ca="1"/>
        <v>45815</v>
      </c>
      <c r="K307">
        <f ca="1"/>
        <v>-105.79062752985291</v>
      </c>
      <c r="L307">
        <f ca="1"/>
        <v>4.0970483890534695</v>
      </c>
      <c r="M307">
        <f ca="1"/>
        <v>0.16104010950014214</v>
      </c>
      <c r="N307">
        <f ca="1"/>
        <v>0.69239372896827855</v>
      </c>
      <c r="O307">
        <f ca="1"/>
        <v>0</v>
      </c>
      <c r="P307">
        <f ca="1"/>
        <v>115.06711211209583</v>
      </c>
      <c r="Q307">
        <f ca="1"/>
        <v>98.216279794424892</v>
      </c>
      <c r="R307">
        <f ca="1"/>
        <v>0</v>
      </c>
      <c r="S307">
        <f ca="1"/>
        <v>1</v>
      </c>
      <c r="T307">
        <f ca="1"/>
        <v>1.7400000000000091</v>
      </c>
      <c r="U307">
        <f ca="1"/>
        <v>0</v>
      </c>
      <c r="V307">
        <f ca="1"/>
        <v>0.99922067400365933</v>
      </c>
      <c r="Y307" s="2">
        <f t="shared" ca="1" si="29"/>
        <v>45815</v>
      </c>
      <c r="Z307">
        <f t="shared" ca="1" si="30"/>
        <v>0</v>
      </c>
      <c r="AB307" s="63">
        <f t="shared" ca="1" si="32"/>
        <v>-101.69357914079944</v>
      </c>
      <c r="AC307" s="63">
        <f t="shared" ca="1" si="33"/>
        <v>-101.69357914079944</v>
      </c>
      <c r="AD307" s="3">
        <f t="shared" ca="1" si="34"/>
        <v>0</v>
      </c>
    </row>
    <row r="308" spans="8:30">
      <c r="H308" t="b">
        <f t="shared" ca="1" si="31"/>
        <v>0</v>
      </c>
      <c r="I308" t="b">
        <f t="shared" ca="1" si="28"/>
        <v>0</v>
      </c>
      <c r="J308" s="2">
        <f ca="1"/>
        <v>45816</v>
      </c>
      <c r="K308">
        <f ca="1"/>
        <v>-109.2935099243156</v>
      </c>
      <c r="L308">
        <f ca="1"/>
        <v>4.3818076225221461</v>
      </c>
      <c r="M308">
        <f ca="1"/>
        <v>0.16754615456619604</v>
      </c>
      <c r="N308">
        <f ca="1"/>
        <v>0.7113790734932649</v>
      </c>
      <c r="O308">
        <f ca="1"/>
        <v>0</v>
      </c>
      <c r="P308">
        <f ca="1"/>
        <v>119.44891973461797</v>
      </c>
      <c r="Q308">
        <f ca="1"/>
        <v>101.95640010820948</v>
      </c>
      <c r="R308">
        <f ca="1"/>
        <v>0</v>
      </c>
      <c r="S308">
        <f ca="1"/>
        <v>1</v>
      </c>
      <c r="T308">
        <f ca="1"/>
        <v>1.4199999999999875</v>
      </c>
      <c r="U308">
        <f ca="1"/>
        <v>0</v>
      </c>
      <c r="V308">
        <f ca="1"/>
        <v>0.99933364807247915</v>
      </c>
      <c r="Y308" s="2">
        <f t="shared" ca="1" si="29"/>
        <v>45816</v>
      </c>
      <c r="Z308">
        <f t="shared" ca="1" si="30"/>
        <v>0</v>
      </c>
      <c r="AB308" s="63">
        <f t="shared" ca="1" si="32"/>
        <v>-104.91170230179345</v>
      </c>
      <c r="AC308" s="63">
        <f t="shared" ca="1" si="33"/>
        <v>-104.91170230179345</v>
      </c>
      <c r="AD308" s="3">
        <f t="shared" ca="1" si="34"/>
        <v>0</v>
      </c>
    </row>
    <row r="309" spans="8:30">
      <c r="H309" t="b">
        <f t="shared" ca="1" si="31"/>
        <v>0</v>
      </c>
      <c r="I309" t="b">
        <f t="shared" ca="1" si="28"/>
        <v>0</v>
      </c>
      <c r="J309" s="2">
        <f ca="1"/>
        <v>45817</v>
      </c>
      <c r="K309">
        <f ca="1"/>
        <v>-113.12582553011475</v>
      </c>
      <c r="L309">
        <f ca="1"/>
        <v>4.7450560146657921</v>
      </c>
      <c r="M309">
        <f ca="1"/>
        <v>0.17532026680792967</v>
      </c>
      <c r="N309">
        <f ca="1"/>
        <v>0.7374201420587122</v>
      </c>
      <c r="O309">
        <f ca="1"/>
        <v>0</v>
      </c>
      <c r="P309">
        <f ca="1"/>
        <v>124.19397574928377</v>
      </c>
      <c r="Q309">
        <f ca="1"/>
        <v>106.0065734429033</v>
      </c>
      <c r="R309">
        <f ca="1"/>
        <v>0</v>
      </c>
      <c r="S309">
        <f ca="1"/>
        <v>1</v>
      </c>
      <c r="T309">
        <f ca="1"/>
        <v>3.8099999999999881</v>
      </c>
      <c r="U309">
        <f ca="1"/>
        <v>0</v>
      </c>
      <c r="V309">
        <f ca="1"/>
        <v>0.99943547194194415</v>
      </c>
      <c r="Y309" s="2">
        <f t="shared" ca="1" si="29"/>
        <v>45817</v>
      </c>
      <c r="Z309">
        <f t="shared" ca="1" si="30"/>
        <v>0</v>
      </c>
      <c r="AB309" s="63">
        <f t="shared" ca="1" si="32"/>
        <v>-108.38076951544896</v>
      </c>
      <c r="AC309" s="63">
        <f t="shared" ca="1" si="33"/>
        <v>-108.38076951544896</v>
      </c>
      <c r="AD309" s="3">
        <f t="shared" ca="1" si="34"/>
        <v>0</v>
      </c>
    </row>
    <row r="310" spans="8:30">
      <c r="H310" t="b">
        <f t="shared" ca="1" si="31"/>
        <v>0</v>
      </c>
      <c r="I310" t="b">
        <f t="shared" ca="1" si="28"/>
        <v>0</v>
      </c>
      <c r="J310" s="2">
        <f ca="1"/>
        <v>45818</v>
      </c>
      <c r="K310">
        <f ca="1"/>
        <v>-117.07282118323894</v>
      </c>
      <c r="L310">
        <f ca="1"/>
        <v>4.8643438875273262</v>
      </c>
      <c r="M310">
        <f ca="1"/>
        <v>0.17857686583216292</v>
      </c>
      <c r="N310">
        <f ca="1"/>
        <v>0.73877136857097703</v>
      </c>
      <c r="O310">
        <f ca="1"/>
        <v>0</v>
      </c>
      <c r="P310">
        <f ca="1"/>
        <v>129.05831963681109</v>
      </c>
      <c r="Q310">
        <f ca="1"/>
        <v>110.15856571510237</v>
      </c>
      <c r="R310">
        <f ca="1"/>
        <v>0</v>
      </c>
      <c r="S310">
        <f ca="1"/>
        <v>1</v>
      </c>
      <c r="T310">
        <f ca="1"/>
        <v>5.8900000000000006</v>
      </c>
      <c r="U310">
        <f ca="1"/>
        <v>0</v>
      </c>
      <c r="V310">
        <f ca="1"/>
        <v>0.99952196936679538</v>
      </c>
      <c r="Y310" s="2">
        <f t="shared" ca="1" si="29"/>
        <v>45818</v>
      </c>
      <c r="Z310">
        <f t="shared" ca="1" si="30"/>
        <v>0</v>
      </c>
      <c r="AB310" s="63">
        <f t="shared" ca="1" si="32"/>
        <v>-112.20847729571162</v>
      </c>
      <c r="AC310" s="63">
        <f t="shared" ca="1" si="33"/>
        <v>-112.20847729571162</v>
      </c>
      <c r="AD310" s="3">
        <f t="shared" ca="1" si="34"/>
        <v>0</v>
      </c>
    </row>
    <row r="311" spans="8:30">
      <c r="H311" t="b">
        <f t="shared" ca="1" si="31"/>
        <v>0</v>
      </c>
      <c r="I311" t="b">
        <f t="shared" ca="1" si="28"/>
        <v>0</v>
      </c>
      <c r="J311" s="2">
        <f ca="1"/>
        <v>45819</v>
      </c>
      <c r="K311">
        <f ca="1"/>
        <v>-121.15667151841424</v>
      </c>
      <c r="L311">
        <f ca="1"/>
        <v>5.0088254807768919</v>
      </c>
      <c r="M311">
        <f ca="1"/>
        <v>0.18214083827327698</v>
      </c>
      <c r="N311">
        <f ca="1"/>
        <v>0.74283430732832578</v>
      </c>
      <c r="O311">
        <f ca="1"/>
        <v>0</v>
      </c>
      <c r="P311">
        <f ca="1"/>
        <v>134.06714511758798</v>
      </c>
      <c r="Q311">
        <f ca="1"/>
        <v>114.4338811882341</v>
      </c>
      <c r="R311">
        <f ca="1"/>
        <v>0</v>
      </c>
      <c r="S311">
        <f ca="1"/>
        <v>1</v>
      </c>
      <c r="T311">
        <f ca="1"/>
        <v>3.539999999999992</v>
      </c>
      <c r="U311">
        <f ca="1"/>
        <v>0</v>
      </c>
      <c r="V311">
        <f ca="1"/>
        <v>0.99959579156494727</v>
      </c>
      <c r="Y311" s="2">
        <f t="shared" ca="1" si="29"/>
        <v>45819</v>
      </c>
      <c r="Z311">
        <f t="shared" ca="1" si="30"/>
        <v>0</v>
      </c>
      <c r="AB311" s="63">
        <f t="shared" ca="1" si="32"/>
        <v>-116.14784603763734</v>
      </c>
      <c r="AC311" s="63">
        <f t="shared" ca="1" si="33"/>
        <v>-116.14784603763735</v>
      </c>
      <c r="AD311" s="3">
        <f t="shared" ca="1" si="34"/>
        <v>0</v>
      </c>
    </row>
    <row r="312" spans="8:30">
      <c r="H312" t="b">
        <f t="shared" ca="1" si="31"/>
        <v>0</v>
      </c>
      <c r="I312" t="b">
        <f t="shared" ca="1" si="28"/>
        <v>0</v>
      </c>
      <c r="J312" s="2">
        <f ca="1"/>
        <v>45820</v>
      </c>
      <c r="K312">
        <f ca="1"/>
        <v>-125.22063951849867</v>
      </c>
      <c r="L312">
        <f ca="1"/>
        <v>4.9771086331769823</v>
      </c>
      <c r="M312">
        <f ca="1"/>
        <v>0.18245349257608012</v>
      </c>
      <c r="N312">
        <f ca="1"/>
        <v>0.73068714051647565</v>
      </c>
      <c r="O312">
        <f ca="1"/>
        <v>0</v>
      </c>
      <c r="P312">
        <f ca="1"/>
        <v>139.04425375076497</v>
      </c>
      <c r="Q312">
        <f ca="1"/>
        <v>118.6821245404019</v>
      </c>
      <c r="R312">
        <f ca="1"/>
        <v>0</v>
      </c>
      <c r="S312">
        <f ca="1"/>
        <v>1</v>
      </c>
      <c r="T312">
        <f ca="1"/>
        <v>2.8400000000000034</v>
      </c>
      <c r="U312">
        <f ca="1"/>
        <v>0</v>
      </c>
      <c r="V312">
        <f ca="1"/>
        <v>0.99965676263780456</v>
      </c>
      <c r="Y312" s="2">
        <f t="shared" ca="1" si="29"/>
        <v>45820</v>
      </c>
      <c r="Z312">
        <f t="shared" ca="1" si="30"/>
        <v>0</v>
      </c>
      <c r="AB312" s="63">
        <f t="shared" ca="1" si="32"/>
        <v>-120.24353088532168</v>
      </c>
      <c r="AC312" s="63">
        <f t="shared" ca="1" si="33"/>
        <v>-120.24353088532169</v>
      </c>
      <c r="AD312" s="3">
        <f t="shared" ca="1" si="34"/>
        <v>0</v>
      </c>
    </row>
    <row r="313" spans="8:30">
      <c r="H313" t="b">
        <f t="shared" ca="1" si="31"/>
        <v>0</v>
      </c>
      <c r="I313" t="b">
        <f t="shared" ca="1" si="28"/>
        <v>0</v>
      </c>
      <c r="J313" s="2">
        <f ca="1"/>
        <v>45821</v>
      </c>
      <c r="K313">
        <f ca="1"/>
        <v>-129.24628335804312</v>
      </c>
      <c r="L313">
        <f ca="1"/>
        <v>4.9260279200872787</v>
      </c>
      <c r="M313">
        <f ca="1"/>
        <v>0.18238356967459879</v>
      </c>
      <c r="N313">
        <f ca="1"/>
        <v>0.71800051086822303</v>
      </c>
      <c r="O313">
        <f ca="1"/>
        <v>0</v>
      </c>
      <c r="P313">
        <f ca="1"/>
        <v>143.97028167085224</v>
      </c>
      <c r="Q313">
        <f ca="1"/>
        <v>122.88676761863539</v>
      </c>
      <c r="R313">
        <f ca="1"/>
        <v>0</v>
      </c>
      <c r="S313">
        <f ca="1"/>
        <v>1</v>
      </c>
      <c r="T313">
        <f ca="1"/>
        <v>2.1299999999999955</v>
      </c>
      <c r="U313">
        <f ca="1"/>
        <v>0</v>
      </c>
      <c r="V313">
        <f ca="1"/>
        <v>0.99970722984250471</v>
      </c>
      <c r="Y313" s="2">
        <f t="shared" ca="1" si="29"/>
        <v>45821</v>
      </c>
      <c r="Z313">
        <f t="shared" ca="1" si="30"/>
        <v>0</v>
      </c>
      <c r="AB313" s="63">
        <f t="shared" ca="1" si="32"/>
        <v>-124.32025543795585</v>
      </c>
      <c r="AC313" s="63">
        <f t="shared" ca="1" si="33"/>
        <v>-124.32025543795584</v>
      </c>
      <c r="AD313" s="3">
        <f t="shared" ca="1" si="34"/>
        <v>0</v>
      </c>
    </row>
    <row r="314" spans="8:30">
      <c r="H314" t="b">
        <f t="shared" ca="1" si="31"/>
        <v>0</v>
      </c>
      <c r="I314" t="b">
        <f t="shared" ca="1" si="28"/>
        <v>0</v>
      </c>
      <c r="J314" s="2">
        <f ca="1"/>
        <v>45822</v>
      </c>
      <c r="K314">
        <f ca="1"/>
        <v>-132.96724016099392</v>
      </c>
      <c r="L314">
        <f ca="1"/>
        <v>4.579050975288169</v>
      </c>
      <c r="M314">
        <f ca="1"/>
        <v>0.1773226773451313</v>
      </c>
      <c r="N314">
        <f ca="1"/>
        <v>0.68077149499222989</v>
      </c>
      <c r="O314">
        <f ca="1"/>
        <v>0</v>
      </c>
      <c r="P314">
        <f ca="1"/>
        <v>148.54933264614041</v>
      </c>
      <c r="Q314">
        <f ca="1"/>
        <v>126.79524627536672</v>
      </c>
      <c r="R314">
        <f ca="1"/>
        <v>0</v>
      </c>
      <c r="S314">
        <f ca="1"/>
        <v>1</v>
      </c>
      <c r="T314">
        <f ca="1"/>
        <v>1.960000000000008</v>
      </c>
      <c r="U314">
        <f ca="1"/>
        <v>0</v>
      </c>
      <c r="V314">
        <f ca="1"/>
        <v>0.99974689701937369</v>
      </c>
      <c r="Y314" s="2">
        <f t="shared" ca="1" si="29"/>
        <v>45822</v>
      </c>
      <c r="Z314">
        <f t="shared" ca="1" si="30"/>
        <v>0</v>
      </c>
      <c r="AB314" s="63">
        <f t="shared" ca="1" si="32"/>
        <v>-128.38818918570576</v>
      </c>
      <c r="AC314" s="63">
        <f t="shared" ca="1" si="33"/>
        <v>-128.38818918570576</v>
      </c>
      <c r="AD314" s="3">
        <f t="shared" ca="1" si="34"/>
        <v>0</v>
      </c>
    </row>
    <row r="315" spans="8:30">
      <c r="H315" t="b">
        <f t="shared" ca="1" si="31"/>
        <v>0</v>
      </c>
      <c r="I315" t="b">
        <f t="shared" ca="1" si="28"/>
        <v>0</v>
      </c>
      <c r="J315" s="2">
        <f ca="1"/>
        <v>45823</v>
      </c>
      <c r="K315">
        <f ca="1"/>
        <v>-136.78959428723093</v>
      </c>
      <c r="L315">
        <f ca="1"/>
        <v>4.6868705223230336</v>
      </c>
      <c r="M315">
        <f ca="1"/>
        <v>0.17988456522414964</v>
      </c>
      <c r="N315">
        <f ca="1"/>
        <v>0.68463183086187718</v>
      </c>
      <c r="O315">
        <f ca="1"/>
        <v>0</v>
      </c>
      <c r="P315">
        <f ca="1"/>
        <v>153.23620316846345</v>
      </c>
      <c r="Q315">
        <f ca="1"/>
        <v>130.79575500571775</v>
      </c>
      <c r="R315">
        <f ca="1"/>
        <v>0</v>
      </c>
      <c r="S315">
        <f ca="1"/>
        <v>1</v>
      </c>
      <c r="T315">
        <f ca="1"/>
        <v>5.0899999999999892</v>
      </c>
      <c r="U315">
        <f ca="1"/>
        <v>0</v>
      </c>
      <c r="V315">
        <f ca="1"/>
        <v>0.99978150048821635</v>
      </c>
      <c r="Y315" s="2">
        <f t="shared" ca="1" si="29"/>
        <v>45823</v>
      </c>
      <c r="Z315">
        <f t="shared" ca="1" si="30"/>
        <v>0</v>
      </c>
      <c r="AB315" s="63">
        <f t="shared" ca="1" si="32"/>
        <v>-132.10272376490789</v>
      </c>
      <c r="AC315" s="63">
        <f t="shared" ca="1" si="33"/>
        <v>-132.10272376490789</v>
      </c>
      <c r="AD315" s="3">
        <f t="shared" ca="1" si="34"/>
        <v>0</v>
      </c>
    </row>
    <row r="316" spans="8:30">
      <c r="H316" t="b">
        <f t="shared" ca="1" si="31"/>
        <v>0</v>
      </c>
      <c r="I316" t="b">
        <f t="shared" ca="1" si="28"/>
        <v>0</v>
      </c>
      <c r="J316" s="2">
        <f ca="1"/>
        <v>45824</v>
      </c>
      <c r="K316">
        <f ca="1"/>
        <v>-140.27607393026631</v>
      </c>
      <c r="L316">
        <f ca="1"/>
        <v>4.309492497493693</v>
      </c>
      <c r="M316">
        <f ca="1"/>
        <v>0.1745011904468754</v>
      </c>
      <c r="N316">
        <f ca="1"/>
        <v>0.6485116640114339</v>
      </c>
      <c r="O316">
        <f ca="1"/>
        <v>0</v>
      </c>
      <c r="P316">
        <f ca="1"/>
        <v>157.54569566595714</v>
      </c>
      <c r="Q316">
        <f ca="1"/>
        <v>134.47415027554501</v>
      </c>
      <c r="R316">
        <f ca="1"/>
        <v>0</v>
      </c>
      <c r="S316">
        <f ca="1"/>
        <v>1</v>
      </c>
      <c r="T316">
        <f ca="1"/>
        <v>2.8899999999999864</v>
      </c>
      <c r="U316">
        <f ca="1"/>
        <v>0</v>
      </c>
      <c r="V316">
        <f ca="1"/>
        <v>0.9998088195793472</v>
      </c>
      <c r="Y316" s="2">
        <f t="shared" ca="1" si="29"/>
        <v>45824</v>
      </c>
      <c r="Z316">
        <f t="shared" ca="1" si="30"/>
        <v>0</v>
      </c>
      <c r="AB316" s="63">
        <f t="shared" ca="1" si="32"/>
        <v>-135.96658143277261</v>
      </c>
      <c r="AC316" s="63">
        <f t="shared" ca="1" si="33"/>
        <v>-135.96658143277261</v>
      </c>
      <c r="AD316" s="3">
        <f t="shared" ca="1" si="34"/>
        <v>0</v>
      </c>
    </row>
    <row r="317" spans="8:30">
      <c r="H317" t="b">
        <f t="shared" ca="1" si="31"/>
        <v>0</v>
      </c>
      <c r="I317" t="b">
        <f t="shared" ca="1" si="28"/>
        <v>0</v>
      </c>
      <c r="J317" s="2">
        <f ca="1"/>
        <v>45825</v>
      </c>
      <c r="K317">
        <f ca="1"/>
        <v>-143.85538588476575</v>
      </c>
      <c r="L317">
        <f ca="1"/>
        <v>4.4089795717553955</v>
      </c>
      <c r="M317">
        <f ca="1"/>
        <v>0.17678658451620777</v>
      </c>
      <c r="N317">
        <f ca="1"/>
        <v>0.65288103273973341</v>
      </c>
      <c r="O317">
        <f ca="1"/>
        <v>0</v>
      </c>
      <c r="P317">
        <f ca="1"/>
        <v>161.95467523771254</v>
      </c>
      <c r="Q317">
        <f ca="1"/>
        <v>138.23746338281742</v>
      </c>
      <c r="R317">
        <f ca="1"/>
        <v>0</v>
      </c>
      <c r="S317">
        <f ca="1"/>
        <v>1</v>
      </c>
      <c r="T317">
        <f ca="1"/>
        <v>3.3899999999999864</v>
      </c>
      <c r="U317">
        <f ca="1"/>
        <v>0</v>
      </c>
      <c r="V317">
        <f ca="1"/>
        <v>0.99983299962651695</v>
      </c>
      <c r="Y317" s="2">
        <f t="shared" ca="1" si="29"/>
        <v>45825</v>
      </c>
      <c r="Z317">
        <f t="shared" ca="1" si="30"/>
        <v>0</v>
      </c>
      <c r="AB317" s="63">
        <f t="shared" ca="1" si="32"/>
        <v>-139.44640631301036</v>
      </c>
      <c r="AC317" s="63">
        <f t="shared" ca="1" si="33"/>
        <v>-139.44640631301036</v>
      </c>
      <c r="AD317" s="3">
        <f t="shared" ca="1" si="34"/>
        <v>0</v>
      </c>
    </row>
    <row r="318" spans="8:30">
      <c r="H318" t="b">
        <f t="shared" ca="1" si="31"/>
        <v>0</v>
      </c>
      <c r="I318" t="b">
        <f t="shared" ca="1" si="28"/>
        <v>0</v>
      </c>
      <c r="J318" s="2">
        <f ca="1"/>
        <v>45826</v>
      </c>
      <c r="K318">
        <f ca="1"/>
        <v>-147.84947018286314</v>
      </c>
      <c r="L318">
        <f ca="1"/>
        <v>4.8654442303601115</v>
      </c>
      <c r="M318">
        <f ca="1"/>
        <v>0.1847927823220985</v>
      </c>
      <c r="N318">
        <f ca="1"/>
        <v>0.68656714994062162</v>
      </c>
      <c r="O318">
        <f ca="1"/>
        <v>0</v>
      </c>
      <c r="P318">
        <f ca="1"/>
        <v>166.82011946807265</v>
      </c>
      <c r="Q318">
        <f ca="1"/>
        <v>142.3903948597775</v>
      </c>
      <c r="R318">
        <f ca="1"/>
        <v>0</v>
      </c>
      <c r="S318">
        <f ca="1"/>
        <v>1</v>
      </c>
      <c r="T318">
        <f ca="1"/>
        <v>3.6199999999999903</v>
      </c>
      <c r="U318">
        <f ca="1"/>
        <v>0</v>
      </c>
      <c r="V318">
        <f ca="1"/>
        <v>0.99985593513930715</v>
      </c>
      <c r="Y318" s="2">
        <f t="shared" ca="1" si="29"/>
        <v>45826</v>
      </c>
      <c r="Z318">
        <f t="shared" ca="1" si="30"/>
        <v>0</v>
      </c>
      <c r="AB318" s="63">
        <f t="shared" ca="1" si="32"/>
        <v>-142.98402595250303</v>
      </c>
      <c r="AC318" s="63">
        <f t="shared" ca="1" si="33"/>
        <v>-142.98402595250303</v>
      </c>
      <c r="AD318" s="3">
        <f t="shared" ca="1" si="34"/>
        <v>0</v>
      </c>
    </row>
    <row r="319" spans="8:30">
      <c r="H319" t="b">
        <f t="shared" ca="1" si="31"/>
        <v>0</v>
      </c>
      <c r="I319" t="b">
        <f t="shared" ca="1" si="28"/>
        <v>0</v>
      </c>
      <c r="J319" s="2">
        <f ca="1"/>
        <v>45827</v>
      </c>
      <c r="K319">
        <f ca="1"/>
        <v>-151.63917110353574</v>
      </c>
      <c r="L319">
        <f ca="1"/>
        <v>4.6355076903568317</v>
      </c>
      <c r="M319">
        <f ca="1"/>
        <v>0.18160492716591392</v>
      </c>
      <c r="N319">
        <f ca="1"/>
        <v>0.66420184251832326</v>
      </c>
      <c r="O319">
        <f ca="1"/>
        <v>0</v>
      </c>
      <c r="P319">
        <f ca="1"/>
        <v>171.45562715842948</v>
      </c>
      <c r="Q319">
        <f ca="1"/>
        <v>146.34706251179756</v>
      </c>
      <c r="R319">
        <f ca="1"/>
        <v>0</v>
      </c>
      <c r="S319">
        <f ca="1"/>
        <v>1</v>
      </c>
      <c r="T319">
        <f ca="1"/>
        <v>2.9399999999999977</v>
      </c>
      <c r="U319">
        <f ca="1"/>
        <v>0</v>
      </c>
      <c r="V319">
        <f ca="1"/>
        <v>0.99987469032269882</v>
      </c>
      <c r="Y319" s="2">
        <f t="shared" ca="1" si="29"/>
        <v>45827</v>
      </c>
      <c r="Z319">
        <f t="shared" ca="1" si="30"/>
        <v>0</v>
      </c>
      <c r="AB319" s="63">
        <f t="shared" ca="1" si="32"/>
        <v>-147.00366341317891</v>
      </c>
      <c r="AC319" s="63">
        <f t="shared" ca="1" si="33"/>
        <v>-147.00366341317891</v>
      </c>
      <c r="AD319" s="3">
        <f t="shared" ca="1" si="34"/>
        <v>0</v>
      </c>
    </row>
    <row r="320" spans="8:30">
      <c r="H320" t="b">
        <f t="shared" ca="1" si="31"/>
        <v>0</v>
      </c>
      <c r="I320" t="b">
        <f t="shared" ca="1" si="28"/>
        <v>0</v>
      </c>
      <c r="J320" s="2">
        <f ca="1"/>
        <v>45828</v>
      </c>
      <c r="K320">
        <f ca="1"/>
        <v>-155.57876091405876</v>
      </c>
      <c r="L320">
        <f ca="1"/>
        <v>4.7987136899177472</v>
      </c>
      <c r="M320">
        <f ca="1"/>
        <v>0.18475577941096333</v>
      </c>
      <c r="N320">
        <f ca="1"/>
        <v>0.67436809998377101</v>
      </c>
      <c r="O320">
        <f ca="1"/>
        <v>0</v>
      </c>
      <c r="P320">
        <f ca="1"/>
        <v>176.25434084834723</v>
      </c>
      <c r="Q320">
        <f ca="1"/>
        <v>150.44303570319178</v>
      </c>
      <c r="R320">
        <f ca="1"/>
        <v>0</v>
      </c>
      <c r="S320">
        <f ca="1"/>
        <v>1</v>
      </c>
      <c r="T320">
        <f ca="1"/>
        <v>4.6300000000000097</v>
      </c>
      <c r="U320">
        <f ca="1"/>
        <v>0</v>
      </c>
      <c r="V320">
        <f ca="1"/>
        <v>0.99989141491729205</v>
      </c>
      <c r="Y320" s="2">
        <f t="shared" ca="1" si="29"/>
        <v>45828</v>
      </c>
      <c r="Z320">
        <f t="shared" ca="1" si="30"/>
        <v>0</v>
      </c>
      <c r="AB320" s="63">
        <f t="shared" ca="1" si="32"/>
        <v>-150.78004722414101</v>
      </c>
      <c r="AC320" s="63">
        <f t="shared" ca="1" si="33"/>
        <v>-150.78004722414101</v>
      </c>
      <c r="AD320" s="3">
        <f t="shared" ca="1" si="34"/>
        <v>0</v>
      </c>
    </row>
    <row r="321" spans="8:30">
      <c r="H321" t="b">
        <f t="shared" ca="1" si="31"/>
        <v>0</v>
      </c>
      <c r="I321" t="b">
        <f t="shared" ca="1" si="28"/>
        <v>0</v>
      </c>
      <c r="J321" s="2">
        <f ca="1"/>
        <v>45829</v>
      </c>
      <c r="K321">
        <f ca="1"/>
        <v>-159.62988830290755</v>
      </c>
      <c r="L321">
        <f ca="1"/>
        <v>4.9197377295269007</v>
      </c>
      <c r="M321">
        <f ca="1"/>
        <v>0.18719640993343489</v>
      </c>
      <c r="N321">
        <f ca="1"/>
        <v>0.68141393074466883</v>
      </c>
      <c r="O321">
        <f ca="1"/>
        <v>0</v>
      </c>
      <c r="P321">
        <f ca="1"/>
        <v>181.17407857787413</v>
      </c>
      <c r="Q321">
        <f ca="1"/>
        <v>154.64230974847831</v>
      </c>
      <c r="R321">
        <f ca="1"/>
        <v>0</v>
      </c>
      <c r="S321">
        <f ca="1"/>
        <v>1</v>
      </c>
      <c r="T321">
        <f ca="1"/>
        <v>0.90999999999999659</v>
      </c>
      <c r="U321">
        <f ca="1"/>
        <v>0</v>
      </c>
      <c r="V321">
        <f ca="1"/>
        <v>0.99990615151168627</v>
      </c>
      <c r="Y321" s="2">
        <f t="shared" ca="1" si="29"/>
        <v>45829</v>
      </c>
      <c r="Z321">
        <f t="shared" ca="1" si="30"/>
        <v>0</v>
      </c>
      <c r="AB321" s="63">
        <f t="shared" ca="1" si="32"/>
        <v>-154.71015057338064</v>
      </c>
      <c r="AC321" s="63">
        <f t="shared" ca="1" si="33"/>
        <v>-154.71015057338064</v>
      </c>
      <c r="AD321" s="3">
        <f t="shared" ca="1" si="34"/>
        <v>0</v>
      </c>
    </row>
    <row r="322" spans="8:30">
      <c r="H322" t="b">
        <f t="shared" ca="1" si="31"/>
        <v>0</v>
      </c>
      <c r="I322" t="b">
        <f t="shared" ca="1" si="28"/>
        <v>0</v>
      </c>
      <c r="J322" s="2">
        <f ca="1"/>
        <v>45830</v>
      </c>
      <c r="K322">
        <f ca="1"/>
        <v>-163.46210214277443</v>
      </c>
      <c r="L322">
        <f ca="1"/>
        <v>4.675719632217465</v>
      </c>
      <c r="M322">
        <f ca="1"/>
        <v>0.18372109416112892</v>
      </c>
      <c r="N322">
        <f ca="1"/>
        <v>0.65978469818948204</v>
      </c>
      <c r="O322">
        <f ca="1"/>
        <v>0</v>
      </c>
      <c r="P322">
        <f ca="1"/>
        <v>185.84979821009159</v>
      </c>
      <c r="Q322">
        <f ca="1"/>
        <v>158.63330056426227</v>
      </c>
      <c r="R322">
        <f ca="1"/>
        <v>0</v>
      </c>
      <c r="S322">
        <f ca="1"/>
        <v>1</v>
      </c>
      <c r="T322">
        <f ca="1"/>
        <v>0.87999999999999545</v>
      </c>
      <c r="U322">
        <f ca="1"/>
        <v>0</v>
      </c>
      <c r="V322">
        <f ca="1"/>
        <v>0.99991823480443487</v>
      </c>
      <c r="Y322" s="2">
        <f t="shared" ca="1" si="29"/>
        <v>45830</v>
      </c>
      <c r="Z322">
        <f t="shared" ca="1" si="30"/>
        <v>0</v>
      </c>
      <c r="AB322" s="63">
        <f t="shared" ca="1" si="32"/>
        <v>-158.78638251055696</v>
      </c>
      <c r="AC322" s="63">
        <f t="shared" ca="1" si="33"/>
        <v>-158.78638251055696</v>
      </c>
      <c r="AD322" s="3">
        <f t="shared" ca="1" si="34"/>
        <v>0</v>
      </c>
    </row>
    <row r="323" spans="8:30">
      <c r="H323" t="b">
        <f t="shared" ca="1" si="31"/>
        <v>0</v>
      </c>
      <c r="I323" t="b">
        <f t="shared" ca="1" si="28"/>
        <v>0</v>
      </c>
      <c r="J323" s="2">
        <f ca="1"/>
        <v>45831</v>
      </c>
      <c r="K323">
        <f ca="1"/>
        <v>-167.12465283394982</v>
      </c>
      <c r="L323">
        <f ca="1"/>
        <v>4.4872817853855338</v>
      </c>
      <c r="M323">
        <f ca="1"/>
        <v>0.18119028814492566</v>
      </c>
      <c r="N323">
        <f ca="1"/>
        <v>0.64354080606520736</v>
      </c>
      <c r="O323">
        <f ca="1"/>
        <v>0</v>
      </c>
      <c r="P323">
        <f ca="1"/>
        <v>190.33707999547713</v>
      </c>
      <c r="Q323">
        <f ca="1"/>
        <v>162.46344903379637</v>
      </c>
      <c r="R323">
        <f ca="1"/>
        <v>0</v>
      </c>
      <c r="S323">
        <f ca="1"/>
        <v>1</v>
      </c>
      <c r="T323">
        <f ca="1"/>
        <v>3.7000000000000028</v>
      </c>
      <c r="U323">
        <f ca="1"/>
        <v>0</v>
      </c>
      <c r="V323">
        <f ca="1"/>
        <v>0.99992832396179676</v>
      </c>
      <c r="Y323" s="2">
        <f t="shared" ca="1" si="29"/>
        <v>45831</v>
      </c>
      <c r="Z323">
        <f t="shared" ca="1" si="30"/>
        <v>0</v>
      </c>
      <c r="AB323" s="63">
        <f t="shared" ca="1" si="32"/>
        <v>-162.63737104856429</v>
      </c>
      <c r="AC323" s="63">
        <f t="shared" ca="1" si="33"/>
        <v>-162.63737104856429</v>
      </c>
      <c r="AD323" s="3">
        <f t="shared" ca="1" si="34"/>
        <v>0</v>
      </c>
    </row>
    <row r="324" spans="8:30">
      <c r="H324" t="b">
        <f t="shared" ca="1" si="31"/>
        <v>0</v>
      </c>
      <c r="I324" t="b">
        <f t="shared" ca="1" si="28"/>
        <v>0</v>
      </c>
      <c r="J324" s="2">
        <f ca="1"/>
        <v>45832</v>
      </c>
      <c r="K324">
        <f ca="1"/>
        <v>-170.88218440331599</v>
      </c>
      <c r="L324">
        <f ca="1"/>
        <v>4.5911472140791716</v>
      </c>
      <c r="M324">
        <f ca="1"/>
        <v>0.18323366600231594</v>
      </c>
      <c r="N324">
        <f ca="1"/>
        <v>0.65038197871069869</v>
      </c>
      <c r="O324">
        <f ca="1"/>
        <v>0</v>
      </c>
      <c r="P324">
        <f ca="1"/>
        <v>194.9282272095563</v>
      </c>
      <c r="Q324">
        <f ca="1"/>
        <v>166.38225251359617</v>
      </c>
      <c r="R324">
        <f ca="1"/>
        <v>0</v>
      </c>
      <c r="S324">
        <f ca="1"/>
        <v>1</v>
      </c>
      <c r="T324">
        <f ca="1"/>
        <v>5.2800000000000011</v>
      </c>
      <c r="U324">
        <f ca="1"/>
        <v>0</v>
      </c>
      <c r="V324">
        <f ca="1"/>
        <v>0.99993733118849903</v>
      </c>
      <c r="Y324" s="2">
        <f t="shared" ca="1" si="29"/>
        <v>45832</v>
      </c>
      <c r="Z324">
        <f t="shared" ca="1" si="30"/>
        <v>0</v>
      </c>
      <c r="AB324" s="63">
        <f t="shared" ca="1" si="32"/>
        <v>-166.29103718923682</v>
      </c>
      <c r="AC324" s="63">
        <f t="shared" ca="1" si="33"/>
        <v>-166.29103718923682</v>
      </c>
      <c r="AD324" s="3">
        <f t="shared" ca="1" si="34"/>
        <v>0</v>
      </c>
    </row>
    <row r="325" spans="8:30">
      <c r="H325" t="b">
        <f t="shared" ca="1" si="31"/>
        <v>0</v>
      </c>
      <c r="I325" t="b">
        <f t="shared" ca="1" si="28"/>
        <v>0</v>
      </c>
      <c r="J325" s="2">
        <f ca="1"/>
        <v>45833</v>
      </c>
      <c r="K325">
        <f ca="1"/>
        <v>-174.77497159665771</v>
      </c>
      <c r="L325">
        <f ca="1"/>
        <v>4.7398144263910069</v>
      </c>
      <c r="M325">
        <f ca="1"/>
        <v>0.18598239188086296</v>
      </c>
      <c r="N325">
        <f ca="1"/>
        <v>0.66104484116844398</v>
      </c>
      <c r="O325">
        <f ca="1"/>
        <v>0</v>
      </c>
      <c r="P325">
        <f ca="1"/>
        <v>199.6680416359473</v>
      </c>
      <c r="Q325">
        <f ca="1"/>
        <v>170.42795185662447</v>
      </c>
      <c r="R325">
        <f ca="1"/>
        <v>0</v>
      </c>
      <c r="S325">
        <f ca="1"/>
        <v>1</v>
      </c>
      <c r="T325">
        <f ca="1"/>
        <v>7.4300000000000068</v>
      </c>
      <c r="U325">
        <f ca="1"/>
        <v>0</v>
      </c>
      <c r="V325">
        <f ca="1"/>
        <v>0.9999454259844256</v>
      </c>
      <c r="Y325" s="2">
        <f t="shared" ca="1" si="29"/>
        <v>45833</v>
      </c>
      <c r="Z325">
        <f t="shared" ca="1" si="30"/>
        <v>0</v>
      </c>
      <c r="AB325" s="63">
        <f t="shared" ca="1" si="32"/>
        <v>-170.0351571702667</v>
      </c>
      <c r="AC325" s="63">
        <f t="shared" ca="1" si="33"/>
        <v>-170.0351571702667</v>
      </c>
      <c r="AD325" s="3">
        <f t="shared" ca="1" si="34"/>
        <v>0</v>
      </c>
    </row>
    <row r="326" spans="8:30">
      <c r="H326" t="b">
        <f t="shared" ca="1" si="31"/>
        <v>0</v>
      </c>
      <c r="I326" t="b">
        <f t="shared" ca="1" si="28"/>
        <v>0</v>
      </c>
      <c r="J326" s="2">
        <f ca="1"/>
        <v>45834</v>
      </c>
      <c r="K326">
        <f ca="1"/>
        <v>-178.40197358976317</v>
      </c>
      <c r="L326">
        <f ca="1"/>
        <v>4.4467238229448753</v>
      </c>
      <c r="M326">
        <f ca="1"/>
        <v>0.18174432389481154</v>
      </c>
      <c r="N326">
        <f ca="1"/>
        <v>0.63797750594459768</v>
      </c>
      <c r="O326">
        <f ca="1"/>
        <v>0</v>
      </c>
      <c r="P326">
        <f ca="1"/>
        <v>204.11476545889218</v>
      </c>
      <c r="Q326">
        <f ca="1"/>
        <v>174.22348181428453</v>
      </c>
      <c r="R326">
        <f ca="1"/>
        <v>0</v>
      </c>
      <c r="S326">
        <f ca="1"/>
        <v>1</v>
      </c>
      <c r="T326">
        <f ca="1"/>
        <v>2.460000000000008</v>
      </c>
      <c r="U326">
        <f ca="1"/>
        <v>0</v>
      </c>
      <c r="V326">
        <f ca="1"/>
        <v>0.99995205840443047</v>
      </c>
      <c r="Y326" s="2">
        <f t="shared" ca="1" si="29"/>
        <v>45834</v>
      </c>
      <c r="Z326">
        <f t="shared" ca="1" si="30"/>
        <v>0</v>
      </c>
      <c r="AB326" s="63">
        <f t="shared" ca="1" si="32"/>
        <v>-173.9552497668183</v>
      </c>
      <c r="AC326" s="63">
        <f t="shared" ca="1" si="33"/>
        <v>-173.9552497668183</v>
      </c>
      <c r="AD326" s="3">
        <f t="shared" ca="1" si="34"/>
        <v>0</v>
      </c>
    </row>
    <row r="327" spans="8:30">
      <c r="H327" t="b">
        <f t="shared" ca="1" si="31"/>
        <v>0</v>
      </c>
      <c r="I327" t="b">
        <f t="shared" ca="1" si="28"/>
        <v>0</v>
      </c>
      <c r="J327" s="2">
        <f ca="1"/>
        <v>45835</v>
      </c>
      <c r="K327">
        <f ca="1"/>
        <v>-182.10390589153326</v>
      </c>
      <c r="L327">
        <f ca="1"/>
        <v>4.5294880391515164</v>
      </c>
      <c r="M327">
        <f ca="1"/>
        <v>0.18339489766413664</v>
      </c>
      <c r="N327">
        <f ca="1"/>
        <v>0.64416083971731009</v>
      </c>
      <c r="O327">
        <f ca="1"/>
        <v>0</v>
      </c>
      <c r="P327">
        <f ca="1"/>
        <v>208.6442534980437</v>
      </c>
      <c r="Q327">
        <f ca="1"/>
        <v>178.08965570544316</v>
      </c>
      <c r="R327">
        <f ca="1"/>
        <v>0</v>
      </c>
      <c r="S327">
        <f ca="1"/>
        <v>1</v>
      </c>
      <c r="T327">
        <f ca="1"/>
        <v>1.3399999999999892</v>
      </c>
      <c r="U327">
        <f ca="1"/>
        <v>0</v>
      </c>
      <c r="V327">
        <f ca="1"/>
        <v>0.99995798409900571</v>
      </c>
      <c r="Y327" s="2">
        <f t="shared" ca="1" si="29"/>
        <v>45835</v>
      </c>
      <c r="Z327">
        <f t="shared" ca="1" si="30"/>
        <v>0</v>
      </c>
      <c r="AB327" s="63">
        <f t="shared" ca="1" si="32"/>
        <v>-177.57441785238174</v>
      </c>
      <c r="AC327" s="63">
        <f t="shared" ca="1" si="33"/>
        <v>-177.57441785238174</v>
      </c>
      <c r="AD327" s="3">
        <f t="shared" ca="1" si="34"/>
        <v>0</v>
      </c>
    </row>
    <row r="328" spans="8:30">
      <c r="H328" t="b">
        <f t="shared" ca="1" si="31"/>
        <v>0</v>
      </c>
      <c r="I328" t="b">
        <f t="shared" ca="1" si="28"/>
        <v>0</v>
      </c>
      <c r="J328" s="2">
        <f ca="1"/>
        <v>45836</v>
      </c>
      <c r="K328">
        <f ca="1"/>
        <v>-185.71477767809171</v>
      </c>
      <c r="L328">
        <f ca="1"/>
        <v>4.429797196970469</v>
      </c>
      <c r="M328">
        <f ca="1"/>
        <v>0.18218003973450436</v>
      </c>
      <c r="N328">
        <f ca="1"/>
        <v>0.63674537067750991</v>
      </c>
      <c r="O328">
        <f ca="1"/>
        <v>0</v>
      </c>
      <c r="P328">
        <f ca="1"/>
        <v>213.07405069501417</v>
      </c>
      <c r="Q328">
        <f ca="1"/>
        <v>181.87073783172758</v>
      </c>
      <c r="R328">
        <f ca="1"/>
        <v>0</v>
      </c>
      <c r="S328">
        <f ca="1"/>
        <v>1</v>
      </c>
      <c r="T328">
        <f ca="1"/>
        <v>4.3499999999999943</v>
      </c>
      <c r="U328">
        <f ca="1"/>
        <v>0</v>
      </c>
      <c r="V328">
        <f ca="1"/>
        <v>0.99996307295140563</v>
      </c>
      <c r="Y328" s="2">
        <f t="shared" ca="1" si="29"/>
        <v>45836</v>
      </c>
      <c r="Z328">
        <f t="shared" ca="1" si="30"/>
        <v>0</v>
      </c>
      <c r="AB328" s="63">
        <f t="shared" ca="1" si="32"/>
        <v>-181.28498048112124</v>
      </c>
      <c r="AC328" s="63">
        <f t="shared" ca="1" si="33"/>
        <v>-181.28498048112124</v>
      </c>
      <c r="AD328" s="3">
        <f t="shared" ca="1" si="34"/>
        <v>0</v>
      </c>
    </row>
    <row r="329" spans="8:30">
      <c r="H329" t="b">
        <f t="shared" ca="1" si="31"/>
        <v>0</v>
      </c>
      <c r="I329" t="b">
        <f t="shared" ca="1" si="28"/>
        <v>0</v>
      </c>
      <c r="J329" s="2">
        <f ca="1"/>
        <v>45837</v>
      </c>
      <c r="K329">
        <f ca="1"/>
        <v>-189.39219999631015</v>
      </c>
      <c r="L329">
        <f ca="1"/>
        <v>4.5040206010733357</v>
      </c>
      <c r="M329">
        <f ca="1"/>
        <v>0.18367713244714423</v>
      </c>
      <c r="N329">
        <f ca="1"/>
        <v>0.6429211504077349</v>
      </c>
      <c r="O329">
        <f ca="1"/>
        <v>0</v>
      </c>
      <c r="P329">
        <f ca="1"/>
        <v>217.5780712960875</v>
      </c>
      <c r="Q329">
        <f ca="1"/>
        <v>185.71517382594917</v>
      </c>
      <c r="R329">
        <f ca="1"/>
        <v>0</v>
      </c>
      <c r="S329">
        <f ca="1"/>
        <v>1</v>
      </c>
      <c r="T329">
        <f ca="1"/>
        <v>3.9699999999999989</v>
      </c>
      <c r="U329">
        <f ca="1"/>
        <v>0</v>
      </c>
      <c r="V329">
        <f ca="1"/>
        <v>0.99996762198566647</v>
      </c>
      <c r="Y329" s="2">
        <f t="shared" ca="1" si="29"/>
        <v>45837</v>
      </c>
      <c r="Z329">
        <f t="shared" ca="1" si="30"/>
        <v>0</v>
      </c>
      <c r="AB329" s="63">
        <f t="shared" ca="1" si="32"/>
        <v>-184.88817939523682</v>
      </c>
      <c r="AC329" s="63">
        <f t="shared" ca="1" si="33"/>
        <v>-184.88817939523682</v>
      </c>
      <c r="AD329" s="3">
        <f t="shared" ca="1" si="34"/>
        <v>0</v>
      </c>
    </row>
    <row r="330" spans="8:30">
      <c r="H330" t="b">
        <f t="shared" ca="1" si="31"/>
        <v>0</v>
      </c>
      <c r="I330" t="b">
        <f t="shared" ca="1" si="28"/>
        <v>0</v>
      </c>
      <c r="J330" s="2">
        <f ca="1"/>
        <v>45838</v>
      </c>
      <c r="K330">
        <f ca="1"/>
        <v>-193.12411399188321</v>
      </c>
      <c r="L330">
        <f ca="1"/>
        <v>4.5654108662203896</v>
      </c>
      <c r="M330">
        <f ca="1"/>
        <v>0.18498520663589346</v>
      </c>
      <c r="N330">
        <f ca="1"/>
        <v>0.6485116640114339</v>
      </c>
      <c r="O330">
        <f ca="1"/>
        <v>0</v>
      </c>
      <c r="P330">
        <f ca="1"/>
        <v>222.14348216230789</v>
      </c>
      <c r="Q330">
        <f ca="1"/>
        <v>189.61200987912471</v>
      </c>
      <c r="R330">
        <f ca="1"/>
        <v>0</v>
      </c>
      <c r="S330">
        <f ca="1"/>
        <v>1</v>
      </c>
      <c r="T330">
        <f ca="1"/>
        <v>6.1599999999999966</v>
      </c>
      <c r="U330">
        <f ca="1"/>
        <v>0</v>
      </c>
      <c r="V330">
        <f ca="1"/>
        <v>0.99997167088258487</v>
      </c>
      <c r="Y330" s="2">
        <f t="shared" ca="1" si="29"/>
        <v>45838</v>
      </c>
      <c r="Z330">
        <f t="shared" ca="1" si="30"/>
        <v>0</v>
      </c>
      <c r="AB330" s="63">
        <f t="shared" ca="1" si="32"/>
        <v>-188.55870312566282</v>
      </c>
      <c r="AC330" s="63">
        <f t="shared" ca="1" si="33"/>
        <v>-188.55870312566282</v>
      </c>
      <c r="AD330" s="3">
        <f t="shared" ca="1" si="34"/>
        <v>0</v>
      </c>
    </row>
    <row r="331" spans="8:30">
      <c r="H331" t="b">
        <f t="shared" ca="1" si="31"/>
        <v>0</v>
      </c>
      <c r="I331" t="b">
        <f t="shared" ref="I331:I394" ca="1" si="35">AND(IF(J331&gt;($J$7-1),TRUE,FALSE),IF(J331&lt;($J$8+1),TRUE,FALSE))</f>
        <v>0</v>
      </c>
      <c r="J331" s="2">
        <f ca="1"/>
        <v>45839</v>
      </c>
      <c r="K331">
        <f ca="1"/>
        <v>-196.39556337832744</v>
      </c>
      <c r="L331">
        <f ca="1"/>
        <v>4.0600774829726731</v>
      </c>
      <c r="M331">
        <f ca="1"/>
        <v>0.17740963358297535</v>
      </c>
      <c r="N331">
        <f ca="1"/>
        <v>0.61121846294545279</v>
      </c>
      <c r="O331">
        <f ca="1"/>
        <v>0</v>
      </c>
      <c r="P331">
        <f ca="1"/>
        <v>226.20355964528056</v>
      </c>
      <c r="Q331">
        <f ca="1"/>
        <v>193.07751534576246</v>
      </c>
      <c r="R331">
        <f ca="1"/>
        <v>0</v>
      </c>
      <c r="S331">
        <f ca="1"/>
        <v>1</v>
      </c>
      <c r="T331">
        <f ca="1"/>
        <v>2.0900000000000034</v>
      </c>
      <c r="U331">
        <f ca="1"/>
        <v>0</v>
      </c>
      <c r="V331">
        <f ca="1"/>
        <v>0.99997485402816022</v>
      </c>
      <c r="Y331" s="2">
        <f t="shared" ref="Y331:Y394" ca="1" si="36">IFERROR(J331,$Y$9)</f>
        <v>45839</v>
      </c>
      <c r="Z331">
        <f t="shared" ref="Z331:Z394" ca="1" si="37">IFERROR(O331,0)</f>
        <v>0</v>
      </c>
      <c r="AB331" s="63">
        <f t="shared" ca="1" si="32"/>
        <v>-192.33548589535476</v>
      </c>
      <c r="AC331" s="63">
        <f t="shared" ca="1" si="33"/>
        <v>-192.33548589535476</v>
      </c>
      <c r="AD331" s="3">
        <f t="shared" ca="1" si="34"/>
        <v>0</v>
      </c>
    </row>
    <row r="332" spans="8:30">
      <c r="H332" t="b">
        <f t="shared" ref="H332:H395" ca="1" si="38">IF(J332&lt;$J$8,TRUE,FALSE)</f>
        <v>0</v>
      </c>
      <c r="I332" t="b">
        <f t="shared" ca="1" si="35"/>
        <v>0</v>
      </c>
      <c r="J332" s="2">
        <f ca="1"/>
        <v>45840</v>
      </c>
      <c r="K332">
        <f ca="1"/>
        <v>-199.30172116543284</v>
      </c>
      <c r="L332">
        <f ca="1"/>
        <v>3.6606351505655823</v>
      </c>
      <c r="M332">
        <f ca="1"/>
        <v>0.17162323902986287</v>
      </c>
      <c r="N332">
        <f ca="1"/>
        <v>0.58285412443032059</v>
      </c>
      <c r="O332">
        <f ca="1"/>
        <v>0</v>
      </c>
      <c r="P332">
        <f ca="1"/>
        <v>229.86419479584615</v>
      </c>
      <c r="Q332">
        <f ca="1"/>
        <v>196.2020742190486</v>
      </c>
      <c r="R332">
        <f ca="1"/>
        <v>0</v>
      </c>
      <c r="S332">
        <f ca="1"/>
        <v>1</v>
      </c>
      <c r="T332">
        <f ca="1"/>
        <v>2.9399999999999977</v>
      </c>
      <c r="U332">
        <f ca="1"/>
        <v>0</v>
      </c>
      <c r="V332">
        <f ca="1"/>
        <v>0.99997742520202793</v>
      </c>
      <c r="Y332" s="2">
        <f t="shared" ca="1" si="36"/>
        <v>45840</v>
      </c>
      <c r="Z332">
        <f t="shared" ca="1" si="37"/>
        <v>0</v>
      </c>
      <c r="AB332" s="63">
        <f t="shared" ca="1" si="32"/>
        <v>-195.64108601486726</v>
      </c>
      <c r="AC332" s="63">
        <f t="shared" ca="1" si="33"/>
        <v>-195.64108601486726</v>
      </c>
      <c r="AD332" s="3">
        <f t="shared" ca="1" si="34"/>
        <v>0</v>
      </c>
    </row>
    <row r="333" spans="8:30">
      <c r="H333" t="b">
        <f t="shared" ca="1" si="38"/>
        <v>0</v>
      </c>
      <c r="I333" t="b">
        <f t="shared" ca="1" si="35"/>
        <v>0</v>
      </c>
      <c r="J333" s="2">
        <f ca="1"/>
        <v>45841</v>
      </c>
      <c r="K333">
        <f ca="1"/>
        <v>-202.28699368437714</v>
      </c>
      <c r="L333">
        <f ca="1"/>
        <v>3.7488651172579921</v>
      </c>
      <c r="M333">
        <f ca="1"/>
        <v>0.17314133270451038</v>
      </c>
      <c r="N333">
        <f ca="1"/>
        <v>0.59045126560917227</v>
      </c>
      <c r="O333">
        <f ca="1"/>
        <v>0</v>
      </c>
      <c r="P333">
        <f ca="1"/>
        <v>233.61305991310414</v>
      </c>
      <c r="Q333">
        <f ca="1"/>
        <v>199.40194235260773</v>
      </c>
      <c r="R333">
        <f ca="1"/>
        <v>0</v>
      </c>
      <c r="S333">
        <f ca="1"/>
        <v>1</v>
      </c>
      <c r="T333">
        <f ca="1"/>
        <v>2</v>
      </c>
      <c r="U333">
        <f ca="1"/>
        <v>0</v>
      </c>
      <c r="V333">
        <f ca="1"/>
        <v>0.99997979556815075</v>
      </c>
      <c r="Y333" s="2">
        <f t="shared" ca="1" si="36"/>
        <v>45841</v>
      </c>
      <c r="Z333">
        <f t="shared" ca="1" si="37"/>
        <v>0</v>
      </c>
      <c r="AB333" s="63">
        <f t="shared" ca="1" si="32"/>
        <v>-198.53812856711914</v>
      </c>
      <c r="AC333" s="63">
        <f t="shared" ca="1" si="33"/>
        <v>-198.53812856711914</v>
      </c>
      <c r="AD333" s="3">
        <f t="shared" ca="1" si="34"/>
        <v>0</v>
      </c>
    </row>
    <row r="334" spans="8:30">
      <c r="H334" t="b">
        <f t="shared" ca="1" si="38"/>
        <v>0</v>
      </c>
      <c r="I334" t="b">
        <f t="shared" ca="1" si="35"/>
        <v>0</v>
      </c>
      <c r="J334" s="2">
        <f ca="1"/>
        <v>45842</v>
      </c>
      <c r="K334">
        <f ca="1"/>
        <v>-205.59919014590156</v>
      </c>
      <c r="L334">
        <f ca="1"/>
        <v>4.1101513447837874</v>
      </c>
      <c r="M334">
        <f ca="1"/>
        <v>0.1789060967323195</v>
      </c>
      <c r="N334">
        <f ca="1"/>
        <v>0.61904878652703665</v>
      </c>
      <c r="O334">
        <f ca="1"/>
        <v>0</v>
      </c>
      <c r="P334">
        <f ca="1"/>
        <v>237.72321125788793</v>
      </c>
      <c r="Q334">
        <f ca="1"/>
        <v>202.91018868874116</v>
      </c>
      <c r="R334">
        <f ca="1"/>
        <v>0</v>
      </c>
      <c r="S334">
        <f ca="1"/>
        <v>1</v>
      </c>
      <c r="T334">
        <f ca="1"/>
        <v>3.9700000000000131</v>
      </c>
      <c r="U334">
        <f ca="1"/>
        <v>0</v>
      </c>
      <c r="V334">
        <f ca="1"/>
        <v>0.99998212075974924</v>
      </c>
      <c r="Y334" s="2">
        <f t="shared" ca="1" si="36"/>
        <v>45842</v>
      </c>
      <c r="Z334">
        <f t="shared" ca="1" si="37"/>
        <v>0</v>
      </c>
      <c r="AB334" s="63">
        <f t="shared" ca="1" si="32"/>
        <v>-201.4890388011178</v>
      </c>
      <c r="AC334" s="63">
        <f t="shared" ca="1" si="33"/>
        <v>-201.48903880111777</v>
      </c>
      <c r="AD334" s="3">
        <f t="shared" ca="1" si="34"/>
        <v>0</v>
      </c>
    </row>
    <row r="335" spans="8:30">
      <c r="H335" t="b">
        <f t="shared" ca="1" si="38"/>
        <v>0</v>
      </c>
      <c r="I335" t="b">
        <f t="shared" ca="1" si="35"/>
        <v>0</v>
      </c>
      <c r="J335" s="2">
        <f ca="1"/>
        <v>45843</v>
      </c>
      <c r="K335">
        <f ca="1"/>
        <v>-209.24157431247403</v>
      </c>
      <c r="L335">
        <f ca="1"/>
        <v>4.4771997896607161</v>
      </c>
      <c r="M335">
        <f ca="1"/>
        <v>0.18505746116471045</v>
      </c>
      <c r="N335">
        <f ca="1"/>
        <v>0.64975816192352276</v>
      </c>
      <c r="O335">
        <f ca="1"/>
        <v>0</v>
      </c>
      <c r="P335">
        <f ca="1"/>
        <v>242.20041104754864</v>
      </c>
      <c r="Q335">
        <f ca="1"/>
        <v>206.73173160543899</v>
      </c>
      <c r="R335">
        <f ca="1"/>
        <v>0</v>
      </c>
      <c r="S335">
        <f ca="1"/>
        <v>1</v>
      </c>
      <c r="T335">
        <f ca="1"/>
        <v>1.519999999999996</v>
      </c>
      <c r="U335">
        <f ca="1"/>
        <v>0</v>
      </c>
      <c r="V335">
        <f ca="1"/>
        <v>0.99998436398438229</v>
      </c>
      <c r="Y335" s="2">
        <f t="shared" ca="1" si="36"/>
        <v>45843</v>
      </c>
      <c r="Z335">
        <f t="shared" ca="1" si="37"/>
        <v>0</v>
      </c>
      <c r="AB335" s="63">
        <f t="shared" ca="1" si="32"/>
        <v>-204.76437452281331</v>
      </c>
      <c r="AC335" s="63">
        <f t="shared" ca="1" si="33"/>
        <v>-204.76437452281331</v>
      </c>
      <c r="AD335" s="3">
        <f t="shared" ca="1" si="34"/>
        <v>0</v>
      </c>
    </row>
    <row r="336" spans="8:30">
      <c r="H336" t="b">
        <f t="shared" ca="1" si="38"/>
        <v>0</v>
      </c>
      <c r="I336" t="b">
        <f t="shared" ca="1" si="35"/>
        <v>0</v>
      </c>
      <c r="J336" s="2">
        <f ca="1"/>
        <v>45844</v>
      </c>
      <c r="K336">
        <f ca="1"/>
        <v>-212.81395854255391</v>
      </c>
      <c r="L336">
        <f ca="1"/>
        <v>4.4032286413853683</v>
      </c>
      <c r="M336">
        <f ca="1"/>
        <v>0.18419965587045084</v>
      </c>
      <c r="N336">
        <f ca="1"/>
        <v>0.64664475543501998</v>
      </c>
      <c r="O336">
        <f ca="1"/>
        <v>0</v>
      </c>
      <c r="P336">
        <f ca="1"/>
        <v>246.60363968893401</v>
      </c>
      <c r="Q336">
        <f ca="1"/>
        <v>210.49013596879723</v>
      </c>
      <c r="R336">
        <f ca="1"/>
        <v>0</v>
      </c>
      <c r="S336">
        <f ca="1"/>
        <v>1</v>
      </c>
      <c r="T336">
        <f ca="1"/>
        <v>3.1299999999999955</v>
      </c>
      <c r="U336">
        <f ca="1"/>
        <v>0</v>
      </c>
      <c r="V336">
        <f ca="1"/>
        <v>0.99998630961894641</v>
      </c>
      <c r="Y336" s="2">
        <f t="shared" ca="1" si="36"/>
        <v>45844</v>
      </c>
      <c r="Z336">
        <f t="shared" ca="1" si="37"/>
        <v>0</v>
      </c>
      <c r="AB336" s="63">
        <f t="shared" ref="AB336:AB399" ca="1" si="39">K335+M336+N336+O336</f>
        <v>-208.41072990116854</v>
      </c>
      <c r="AC336" s="63">
        <f t="shared" ref="AC336:AC399" ca="1" si="40">K336+L336+R336</f>
        <v>-208.41072990116854</v>
      </c>
      <c r="AD336" s="3">
        <f t="shared" ref="AD336:AD399" ca="1" si="41">AC336-AB336</f>
        <v>0</v>
      </c>
    </row>
    <row r="337" spans="8:30">
      <c r="H337" t="b">
        <f t="shared" ca="1" si="38"/>
        <v>0</v>
      </c>
      <c r="I337" t="b">
        <f t="shared" ca="1" si="35"/>
        <v>0</v>
      </c>
      <c r="J337" s="2">
        <f ca="1"/>
        <v>45845</v>
      </c>
      <c r="K337">
        <f ca="1"/>
        <v>-216.30651358357716</v>
      </c>
      <c r="L337">
        <f ca="1"/>
        <v>4.3186400273263814</v>
      </c>
      <c r="M337">
        <f ca="1"/>
        <v>0.18316383589537821</v>
      </c>
      <c r="N337">
        <f ca="1"/>
        <v>0.6429211504077349</v>
      </c>
      <c r="O337">
        <f ca="1"/>
        <v>0</v>
      </c>
      <c r="P337">
        <f ca="1"/>
        <v>250.92227971626039</v>
      </c>
      <c r="Q337">
        <f ca="1"/>
        <v>214.17633917203818</v>
      </c>
      <c r="R337">
        <f ca="1"/>
        <v>0</v>
      </c>
      <c r="S337">
        <f ca="1"/>
        <v>1</v>
      </c>
      <c r="T337">
        <f ca="1"/>
        <v>1.4599999999999937</v>
      </c>
      <c r="U337">
        <f ca="1"/>
        <v>0</v>
      </c>
      <c r="V337">
        <f ca="1"/>
        <v>0.99998799616806788</v>
      </c>
      <c r="Y337" s="2">
        <f t="shared" ca="1" si="36"/>
        <v>45845</v>
      </c>
      <c r="Z337">
        <f t="shared" ca="1" si="37"/>
        <v>0</v>
      </c>
      <c r="AB337" s="63">
        <f t="shared" ca="1" si="39"/>
        <v>-211.98787355625078</v>
      </c>
      <c r="AC337" s="63">
        <f t="shared" ca="1" si="40"/>
        <v>-211.98787355625078</v>
      </c>
      <c r="AD337" s="3">
        <f t="shared" ca="1" si="41"/>
        <v>0</v>
      </c>
    </row>
    <row r="338" spans="8:30">
      <c r="H338" t="b">
        <f t="shared" ca="1" si="38"/>
        <v>0</v>
      </c>
      <c r="I338" t="b">
        <f t="shared" ca="1" si="35"/>
        <v>0</v>
      </c>
      <c r="J338" s="2">
        <f ca="1"/>
        <v>45846</v>
      </c>
      <c r="K338">
        <f ca="1"/>
        <v>-219.55119817070857</v>
      </c>
      <c r="L338">
        <f ca="1"/>
        <v>4.0482725098110279</v>
      </c>
      <c r="M338">
        <f ca="1"/>
        <v>0.17908096632955761</v>
      </c>
      <c r="N338">
        <f ca="1"/>
        <v>0.62450695635005082</v>
      </c>
      <c r="O338">
        <f ca="1"/>
        <v>0</v>
      </c>
      <c r="P338">
        <f ca="1"/>
        <v>254.97055222607142</v>
      </c>
      <c r="Q338">
        <f ca="1"/>
        <v>217.63176842727435</v>
      </c>
      <c r="R338">
        <f ca="1"/>
        <v>0</v>
      </c>
      <c r="S338">
        <f ca="1"/>
        <v>1</v>
      </c>
      <c r="T338">
        <f ca="1"/>
        <v>2.4500000000000028</v>
      </c>
      <c r="U338">
        <f ca="1"/>
        <v>0</v>
      </c>
      <c r="V338">
        <f ca="1"/>
        <v>0.99998940015874294</v>
      </c>
      <c r="Y338" s="2">
        <f t="shared" ca="1" si="36"/>
        <v>45846</v>
      </c>
      <c r="Z338">
        <f t="shared" ca="1" si="37"/>
        <v>0</v>
      </c>
      <c r="AB338" s="63">
        <f t="shared" ca="1" si="39"/>
        <v>-215.50292566089755</v>
      </c>
      <c r="AC338" s="63">
        <f t="shared" ca="1" si="40"/>
        <v>-215.50292566089755</v>
      </c>
      <c r="AD338" s="3">
        <f t="shared" ca="1" si="41"/>
        <v>0</v>
      </c>
    </row>
    <row r="339" spans="8:30">
      <c r="H339" t="b">
        <f t="shared" ca="1" si="38"/>
        <v>0</v>
      </c>
      <c r="I339" t="b">
        <f t="shared" ca="1" si="35"/>
        <v>0</v>
      </c>
      <c r="J339" s="2">
        <f ca="1"/>
        <v>45847</v>
      </c>
      <c r="K339">
        <f ca="1"/>
        <v>-222.85898212378436</v>
      </c>
      <c r="L339">
        <f ca="1"/>
        <v>4.1220444139352992</v>
      </c>
      <c r="M339">
        <f ca="1"/>
        <v>0.1805888257728725</v>
      </c>
      <c r="N339">
        <f ca="1"/>
        <v>0.63367163508664515</v>
      </c>
      <c r="O339">
        <f ca="1"/>
        <v>0</v>
      </c>
      <c r="P339">
        <f ca="1"/>
        <v>259.09259664000672</v>
      </c>
      <c r="Q339">
        <f ca="1"/>
        <v>221.15016616971286</v>
      </c>
      <c r="R339">
        <f ca="1"/>
        <v>0</v>
      </c>
      <c r="S339">
        <f ca="1"/>
        <v>1</v>
      </c>
      <c r="T339">
        <f ca="1"/>
        <v>3.1499999999999915</v>
      </c>
      <c r="U339">
        <f ca="1"/>
        <v>0</v>
      </c>
      <c r="V339">
        <f ca="1"/>
        <v>0.999990673017637</v>
      </c>
      <c r="Y339" s="2">
        <f t="shared" ca="1" si="36"/>
        <v>45847</v>
      </c>
      <c r="Z339">
        <f t="shared" ca="1" si="37"/>
        <v>0</v>
      </c>
      <c r="AB339" s="63">
        <f t="shared" ca="1" si="39"/>
        <v>-218.73693770984906</v>
      </c>
      <c r="AC339" s="63">
        <f t="shared" ca="1" si="40"/>
        <v>-218.73693770984906</v>
      </c>
      <c r="AD339" s="3">
        <f t="shared" ca="1" si="41"/>
        <v>0</v>
      </c>
    </row>
    <row r="340" spans="8:30">
      <c r="H340" t="b">
        <f t="shared" ca="1" si="38"/>
        <v>0</v>
      </c>
      <c r="I340" t="b">
        <f t="shared" ca="1" si="35"/>
        <v>0</v>
      </c>
      <c r="J340" s="2">
        <f ca="1"/>
        <v>45848</v>
      </c>
      <c r="K340">
        <f ca="1"/>
        <v>-225.68268618942767</v>
      </c>
      <c r="L340">
        <f ca="1"/>
        <v>3.5905202650407091</v>
      </c>
      <c r="M340">
        <f ca="1"/>
        <v>0.17224809459695223</v>
      </c>
      <c r="N340">
        <f ca="1"/>
        <v>0.59456810480044098</v>
      </c>
      <c r="O340">
        <f ca="1"/>
        <v>0</v>
      </c>
      <c r="P340">
        <f ca="1"/>
        <v>262.68311690504743</v>
      </c>
      <c r="Q340">
        <f ca="1"/>
        <v>224.21487802773925</v>
      </c>
      <c r="R340">
        <f ca="1"/>
        <v>0</v>
      </c>
      <c r="S340">
        <f ca="1"/>
        <v>1</v>
      </c>
      <c r="T340">
        <f ca="1"/>
        <v>0.85000000000000853</v>
      </c>
      <c r="U340">
        <f ca="1"/>
        <v>0</v>
      </c>
      <c r="V340">
        <f ca="1"/>
        <v>0.99999166614808821</v>
      </c>
      <c r="Y340" s="2">
        <f t="shared" ca="1" si="36"/>
        <v>45848</v>
      </c>
      <c r="Z340">
        <f t="shared" ca="1" si="37"/>
        <v>0</v>
      </c>
      <c r="AB340" s="63">
        <f t="shared" ca="1" si="39"/>
        <v>-222.09216592438696</v>
      </c>
      <c r="AC340" s="63">
        <f t="shared" ca="1" si="40"/>
        <v>-222.09216592438696</v>
      </c>
      <c r="AD340" s="3">
        <f t="shared" ca="1" si="41"/>
        <v>0</v>
      </c>
    </row>
    <row r="341" spans="8:30">
      <c r="H341" t="b">
        <f t="shared" ca="1" si="38"/>
        <v>0</v>
      </c>
      <c r="I341" t="b">
        <f t="shared" ca="1" si="35"/>
        <v>0</v>
      </c>
      <c r="J341" s="2">
        <f ca="1"/>
        <v>45849</v>
      </c>
      <c r="K341">
        <f ca="1"/>
        <v>-228.22825197630345</v>
      </c>
      <c r="L341">
        <f ca="1"/>
        <v>3.2867583580809878</v>
      </c>
      <c r="M341">
        <f ca="1"/>
        <v>0.16760255097821641</v>
      </c>
      <c r="N341">
        <f ca="1"/>
        <v>0.57359002022699113</v>
      </c>
      <c r="O341">
        <f ca="1"/>
        <v>0</v>
      </c>
      <c r="P341">
        <f ca="1"/>
        <v>265.96987526312842</v>
      </c>
      <c r="Q341">
        <f ca="1"/>
        <v>227.02031194007617</v>
      </c>
      <c r="R341">
        <f ca="1"/>
        <v>0</v>
      </c>
      <c r="S341">
        <f ca="1"/>
        <v>1</v>
      </c>
      <c r="T341">
        <f ca="1"/>
        <v>2.710000000000008</v>
      </c>
      <c r="U341">
        <f ca="1"/>
        <v>0</v>
      </c>
      <c r="V341">
        <f ca="1"/>
        <v>0.99999248998890522</v>
      </c>
      <c r="Y341" s="2">
        <f t="shared" ca="1" si="36"/>
        <v>45849</v>
      </c>
      <c r="Z341">
        <f t="shared" ca="1" si="37"/>
        <v>0</v>
      </c>
      <c r="AB341" s="63">
        <f t="shared" ca="1" si="39"/>
        <v>-224.94149361822247</v>
      </c>
      <c r="AC341" s="63">
        <f t="shared" ca="1" si="40"/>
        <v>-224.94149361822247</v>
      </c>
      <c r="AD341" s="3">
        <f t="shared" ca="1" si="41"/>
        <v>0</v>
      </c>
    </row>
    <row r="342" spans="8:30">
      <c r="H342" t="b">
        <f t="shared" ca="1" si="38"/>
        <v>0</v>
      </c>
      <c r="I342" t="b">
        <f t="shared" ca="1" si="35"/>
        <v>0</v>
      </c>
      <c r="J342" s="2">
        <f ca="1"/>
        <v>45850</v>
      </c>
      <c r="K342">
        <f ca="1"/>
        <v>-230.93373031923181</v>
      </c>
      <c r="L342">
        <f ca="1"/>
        <v>3.466491073175348</v>
      </c>
      <c r="M342">
        <f ca="1"/>
        <v>0.17056146463780664</v>
      </c>
      <c r="N342">
        <f ca="1"/>
        <v>0.59045126560917227</v>
      </c>
      <c r="O342">
        <f ca="1"/>
        <v>0</v>
      </c>
      <c r="P342">
        <f ca="1"/>
        <v>269.43636633630376</v>
      </c>
      <c r="Q342">
        <f ca="1"/>
        <v>229.97915787701243</v>
      </c>
      <c r="R342">
        <f ca="1"/>
        <v>0</v>
      </c>
      <c r="S342">
        <f ca="1"/>
        <v>1</v>
      </c>
      <c r="T342">
        <f ca="1"/>
        <v>5.8000000000000114</v>
      </c>
      <c r="U342">
        <f ca="1"/>
        <v>0</v>
      </c>
      <c r="V342">
        <f ca="1"/>
        <v>0.99999327855480624</v>
      </c>
      <c r="Y342" s="2">
        <f t="shared" ca="1" si="36"/>
        <v>45850</v>
      </c>
      <c r="Z342">
        <f t="shared" ca="1" si="37"/>
        <v>0</v>
      </c>
      <c r="AB342" s="63">
        <f t="shared" ca="1" si="39"/>
        <v>-227.46723924605647</v>
      </c>
      <c r="AC342" s="63">
        <f t="shared" ca="1" si="40"/>
        <v>-227.46723924605647</v>
      </c>
      <c r="AD342" s="3">
        <f t="shared" ca="1" si="41"/>
        <v>0</v>
      </c>
    </row>
    <row r="343" spans="8:30">
      <c r="H343" t="b">
        <f t="shared" ca="1" si="38"/>
        <v>0</v>
      </c>
      <c r="I343" t="b">
        <f t="shared" ca="1" si="35"/>
        <v>0</v>
      </c>
      <c r="J343" s="2">
        <f ca="1"/>
        <v>45851</v>
      </c>
      <c r="K343">
        <f ca="1"/>
        <v>-233.71813368252896</v>
      </c>
      <c r="L343">
        <f ca="1"/>
        <v>3.5576873448645756</v>
      </c>
      <c r="M343">
        <f ca="1"/>
        <v>0.17220962011305829</v>
      </c>
      <c r="N343">
        <f ca="1"/>
        <v>0.60107436145438642</v>
      </c>
      <c r="O343">
        <f ca="1"/>
        <v>0</v>
      </c>
      <c r="P343">
        <f ca="1"/>
        <v>272.99405368116834</v>
      </c>
      <c r="Q343">
        <f ca="1"/>
        <v>233.01584498308929</v>
      </c>
      <c r="R343">
        <f ca="1"/>
        <v>0</v>
      </c>
      <c r="S343">
        <f ca="1"/>
        <v>1</v>
      </c>
      <c r="T343">
        <f ca="1"/>
        <v>1.2199999999999989</v>
      </c>
      <c r="U343">
        <f ca="1"/>
        <v>0</v>
      </c>
      <c r="V343">
        <f ca="1"/>
        <v>0.99999400982382824</v>
      </c>
      <c r="Y343" s="2">
        <f t="shared" ca="1" si="36"/>
        <v>45851</v>
      </c>
      <c r="Z343">
        <f t="shared" ca="1" si="37"/>
        <v>0</v>
      </c>
      <c r="AB343" s="63">
        <f t="shared" ca="1" si="39"/>
        <v>-230.16044633766438</v>
      </c>
      <c r="AC343" s="63">
        <f t="shared" ca="1" si="40"/>
        <v>-230.16044633766438</v>
      </c>
      <c r="AD343" s="3">
        <f t="shared" ca="1" si="41"/>
        <v>0</v>
      </c>
    </row>
    <row r="344" spans="8:30">
      <c r="H344" t="b">
        <f t="shared" ca="1" si="38"/>
        <v>0</v>
      </c>
      <c r="I344" t="b">
        <f t="shared" ca="1" si="35"/>
        <v>0</v>
      </c>
      <c r="J344" s="2">
        <f ca="1"/>
        <v>45852</v>
      </c>
      <c r="K344">
        <f ca="1"/>
        <v>-236.19428683337296</v>
      </c>
      <c r="L344">
        <f ca="1"/>
        <v>3.2200815889543151</v>
      </c>
      <c r="M344">
        <f ca="1"/>
        <v>0.16687551314161198</v>
      </c>
      <c r="N344">
        <f ca="1"/>
        <v>0.5770529249687133</v>
      </c>
      <c r="O344">
        <f ca="1"/>
        <v>0</v>
      </c>
      <c r="P344">
        <f ca="1"/>
        <v>276.21413527012265</v>
      </c>
      <c r="Q344">
        <f ca="1"/>
        <v>235.76436650671556</v>
      </c>
      <c r="R344">
        <f ca="1"/>
        <v>0</v>
      </c>
      <c r="S344">
        <f ca="1"/>
        <v>1</v>
      </c>
      <c r="T344">
        <f ca="1"/>
        <v>3.2799999999999869</v>
      </c>
      <c r="U344">
        <f ca="1"/>
        <v>0</v>
      </c>
      <c r="V344">
        <f ca="1"/>
        <v>0.99999460962156839</v>
      </c>
      <c r="Y344" s="2">
        <f t="shared" ca="1" si="36"/>
        <v>45852</v>
      </c>
      <c r="Z344">
        <f t="shared" ca="1" si="37"/>
        <v>0</v>
      </c>
      <c r="AB344" s="63">
        <f t="shared" ca="1" si="39"/>
        <v>-232.97420524441864</v>
      </c>
      <c r="AC344" s="63">
        <f t="shared" ca="1" si="40"/>
        <v>-232.97420524441864</v>
      </c>
      <c r="AD344" s="3">
        <f t="shared" ca="1" si="41"/>
        <v>0</v>
      </c>
    </row>
    <row r="345" spans="8:30">
      <c r="H345" t="b">
        <f t="shared" ca="1" si="38"/>
        <v>0</v>
      </c>
      <c r="I345" t="b">
        <f t="shared" ca="1" si="35"/>
        <v>0</v>
      </c>
      <c r="J345" s="2">
        <f ca="1"/>
        <v>45853</v>
      </c>
      <c r="K345">
        <f ca="1"/>
        <v>-239.2042133880968</v>
      </c>
      <c r="L345">
        <f ca="1"/>
        <v>3.8175649133298748</v>
      </c>
      <c r="M345">
        <f ca="1"/>
        <v>0.17703103279114174</v>
      </c>
      <c r="N345">
        <f ca="1"/>
        <v>0.63060732581487744</v>
      </c>
      <c r="O345">
        <f ca="1"/>
        <v>0</v>
      </c>
      <c r="P345">
        <f ca="1"/>
        <v>280.03170018345253</v>
      </c>
      <c r="Q345">
        <f ca="1"/>
        <v>239.02287379675445</v>
      </c>
      <c r="R345">
        <f ca="1"/>
        <v>0</v>
      </c>
      <c r="S345">
        <f ca="1"/>
        <v>1</v>
      </c>
      <c r="T345">
        <f ca="1"/>
        <v>5.0799999999999983</v>
      </c>
      <c r="U345">
        <f ca="1"/>
        <v>0</v>
      </c>
      <c r="V345">
        <f ca="1"/>
        <v>0.99999525131556088</v>
      </c>
      <c r="Y345" s="2">
        <f t="shared" ca="1" si="36"/>
        <v>45853</v>
      </c>
      <c r="Z345">
        <f t="shared" ca="1" si="37"/>
        <v>0</v>
      </c>
      <c r="AB345" s="63">
        <f t="shared" ca="1" si="39"/>
        <v>-235.38664847476693</v>
      </c>
      <c r="AC345" s="63">
        <f t="shared" ca="1" si="40"/>
        <v>-235.38664847476693</v>
      </c>
      <c r="AD345" s="3">
        <f t="shared" ca="1" si="41"/>
        <v>0</v>
      </c>
    </row>
    <row r="346" spans="8:30">
      <c r="H346" t="b">
        <f t="shared" ca="1" si="38"/>
        <v>0</v>
      </c>
      <c r="I346" t="b">
        <f t="shared" ca="1" si="35"/>
        <v>0</v>
      </c>
      <c r="J346" s="2">
        <f ca="1"/>
        <v>45854</v>
      </c>
      <c r="K346">
        <f ca="1"/>
        <v>-242.51030695760909</v>
      </c>
      <c r="L346">
        <f ca="1"/>
        <v>4.1556804261948059</v>
      </c>
      <c r="M346">
        <f ca="1"/>
        <v>0.18348625529942808</v>
      </c>
      <c r="N346">
        <f ca="1"/>
        <v>0.66610060138311977</v>
      </c>
      <c r="O346">
        <f ca="1"/>
        <v>0</v>
      </c>
      <c r="P346">
        <f ca="1"/>
        <v>284.18738060964733</v>
      </c>
      <c r="Q346">
        <f ca="1"/>
        <v>242.56998177559859</v>
      </c>
      <c r="R346">
        <f ca="1"/>
        <v>0</v>
      </c>
      <c r="S346">
        <f ca="1"/>
        <v>1</v>
      </c>
      <c r="T346">
        <f ca="1"/>
        <v>3.9099999999999966</v>
      </c>
      <c r="U346">
        <f ca="1"/>
        <v>0</v>
      </c>
      <c r="V346">
        <f ca="1"/>
        <v>0.99999587252490674</v>
      </c>
      <c r="Y346" s="2">
        <f t="shared" ca="1" si="36"/>
        <v>45854</v>
      </c>
      <c r="Z346">
        <f t="shared" ca="1" si="37"/>
        <v>0</v>
      </c>
      <c r="AB346" s="63">
        <f t="shared" ca="1" si="39"/>
        <v>-238.35462653141428</v>
      </c>
      <c r="AC346" s="63">
        <f t="shared" ca="1" si="40"/>
        <v>-238.35462653141428</v>
      </c>
      <c r="AD346" s="3">
        <f t="shared" ca="1" si="41"/>
        <v>0</v>
      </c>
    </row>
    <row r="347" spans="8:30">
      <c r="H347" t="b">
        <f t="shared" ca="1" si="38"/>
        <v>0</v>
      </c>
      <c r="I347" t="b">
        <f t="shared" ca="1" si="35"/>
        <v>0</v>
      </c>
      <c r="J347" s="2">
        <f ca="1"/>
        <v>45855</v>
      </c>
      <c r="K347">
        <f ca="1"/>
        <v>-245.59259207479076</v>
      </c>
      <c r="L347">
        <f ca="1"/>
        <v>3.9122897409280313</v>
      </c>
      <c r="M347">
        <f ca="1"/>
        <v>0.17962264503567127</v>
      </c>
      <c r="N347">
        <f ca="1"/>
        <v>0.65038197871069869</v>
      </c>
      <c r="O347">
        <f ca="1"/>
        <v>0</v>
      </c>
      <c r="P347">
        <f ca="1"/>
        <v>288.09967035057537</v>
      </c>
      <c r="Q347">
        <f ca="1"/>
        <v>245.90934205655805</v>
      </c>
      <c r="R347">
        <f ca="1"/>
        <v>0</v>
      </c>
      <c r="S347">
        <f ca="1"/>
        <v>1</v>
      </c>
      <c r="T347">
        <f ca="1"/>
        <v>6.4200000000000017</v>
      </c>
      <c r="U347">
        <f ca="1"/>
        <v>0</v>
      </c>
      <c r="V347">
        <f ca="1"/>
        <v>0.99999639123800266</v>
      </c>
      <c r="Y347" s="2">
        <f t="shared" ca="1" si="36"/>
        <v>45855</v>
      </c>
      <c r="Z347">
        <f t="shared" ca="1" si="37"/>
        <v>0</v>
      </c>
      <c r="AB347" s="63">
        <f t="shared" ca="1" si="39"/>
        <v>-241.68030233386273</v>
      </c>
      <c r="AC347" s="63">
        <f t="shared" ca="1" si="40"/>
        <v>-241.68030233386273</v>
      </c>
      <c r="AD347" s="3">
        <f t="shared" ca="1" si="41"/>
        <v>0</v>
      </c>
    </row>
    <row r="348" spans="8:30">
      <c r="H348" t="b">
        <f t="shared" ca="1" si="38"/>
        <v>0</v>
      </c>
      <c r="I348" t="b">
        <f t="shared" ca="1" si="35"/>
        <v>0</v>
      </c>
      <c r="J348" s="2">
        <f ca="1"/>
        <v>45856</v>
      </c>
      <c r="K348">
        <f ca="1"/>
        <v>-248.38601729866042</v>
      </c>
      <c r="L348">
        <f ca="1"/>
        <v>3.5953403008984992</v>
      </c>
      <c r="M348">
        <f ca="1"/>
        <v>0.17436264162428472</v>
      </c>
      <c r="N348">
        <f ca="1"/>
        <v>0.62755243540454564</v>
      </c>
      <c r="O348">
        <f ca="1"/>
        <v>0</v>
      </c>
      <c r="P348">
        <f ca="1"/>
        <v>291.69501065147386</v>
      </c>
      <c r="Q348">
        <f ca="1"/>
        <v>248.97816808745048</v>
      </c>
      <c r="R348">
        <f ca="1"/>
        <v>0</v>
      </c>
      <c r="S348">
        <f ca="1"/>
        <v>1</v>
      </c>
      <c r="T348">
        <f ca="1"/>
        <v>6.5100000000000051</v>
      </c>
      <c r="U348">
        <f ca="1"/>
        <v>0</v>
      </c>
      <c r="V348">
        <f ca="1"/>
        <v>0.99999681708723176</v>
      </c>
      <c r="Y348" s="2">
        <f t="shared" ca="1" si="36"/>
        <v>45856</v>
      </c>
      <c r="Z348">
        <f t="shared" ca="1" si="37"/>
        <v>0</v>
      </c>
      <c r="AB348" s="63">
        <f t="shared" ca="1" si="39"/>
        <v>-244.79067699776192</v>
      </c>
      <c r="AC348" s="63">
        <f t="shared" ca="1" si="40"/>
        <v>-244.79067699776192</v>
      </c>
      <c r="AD348" s="3">
        <f t="shared" ca="1" si="41"/>
        <v>0</v>
      </c>
    </row>
    <row r="349" spans="8:30">
      <c r="H349" t="b">
        <f t="shared" ca="1" si="38"/>
        <v>0</v>
      </c>
      <c r="I349" t="b">
        <f t="shared" ca="1" si="35"/>
        <v>0</v>
      </c>
      <c r="J349" s="2">
        <f ca="1"/>
        <v>45857</v>
      </c>
      <c r="K349">
        <f ca="1"/>
        <v>-251.04197437738486</v>
      </c>
      <c r="L349">
        <f ca="1"/>
        <v>3.4476857935811722</v>
      </c>
      <c r="M349">
        <f ca="1"/>
        <v>0.17207496824538993</v>
      </c>
      <c r="N349">
        <f ca="1"/>
        <v>0.61965374661132389</v>
      </c>
      <c r="O349">
        <f ca="1"/>
        <v>0</v>
      </c>
      <c r="P349">
        <f ca="1"/>
        <v>295.14269644505504</v>
      </c>
      <c r="Q349">
        <f ca="1"/>
        <v>251.92096265603024</v>
      </c>
      <c r="R349">
        <f ca="1"/>
        <v>0</v>
      </c>
      <c r="S349">
        <f ca="1"/>
        <v>1</v>
      </c>
      <c r="T349">
        <f ca="1"/>
        <v>2.9599999999999937</v>
      </c>
      <c r="U349">
        <f ca="1"/>
        <v>0</v>
      </c>
      <c r="V349">
        <f ca="1"/>
        <v>0.99999718405740812</v>
      </c>
      <c r="Y349" s="2">
        <f t="shared" ca="1" si="36"/>
        <v>45857</v>
      </c>
      <c r="Z349">
        <f t="shared" ca="1" si="37"/>
        <v>0</v>
      </c>
      <c r="AB349" s="63">
        <f t="shared" ca="1" si="39"/>
        <v>-247.59428858380369</v>
      </c>
      <c r="AC349" s="63">
        <f t="shared" ca="1" si="40"/>
        <v>-247.59428858380369</v>
      </c>
      <c r="AD349" s="3">
        <f t="shared" ca="1" si="41"/>
        <v>0</v>
      </c>
    </row>
    <row r="350" spans="8:30">
      <c r="H350" t="b">
        <f t="shared" ca="1" si="38"/>
        <v>0</v>
      </c>
      <c r="I350" t="b">
        <f t="shared" ca="1" si="35"/>
        <v>0</v>
      </c>
      <c r="J350" s="2">
        <f ca="1"/>
        <v>45858</v>
      </c>
      <c r="K350">
        <f ca="1"/>
        <v>-253.91320727819317</v>
      </c>
      <c r="L350">
        <f ca="1"/>
        <v>3.6974766719544618</v>
      </c>
      <c r="M350">
        <f ca="1"/>
        <v>0.1771090474365522</v>
      </c>
      <c r="N350">
        <f ca="1"/>
        <v>0.64913472370960779</v>
      </c>
      <c r="O350">
        <f ca="1"/>
        <v>0</v>
      </c>
      <c r="P350">
        <f ca="1"/>
        <v>298.8401731170095</v>
      </c>
      <c r="Q350">
        <f ca="1"/>
        <v>255.07696784882819</v>
      </c>
      <c r="R350">
        <f ca="1"/>
        <v>0</v>
      </c>
      <c r="S350">
        <f ca="1"/>
        <v>1</v>
      </c>
      <c r="T350">
        <f ca="1"/>
        <v>1.4499999999999886</v>
      </c>
      <c r="U350">
        <f ca="1"/>
        <v>0</v>
      </c>
      <c r="V350">
        <f ca="1"/>
        <v>0.99999753678388104</v>
      </c>
      <c r="Y350" s="2">
        <f t="shared" ca="1" si="36"/>
        <v>45858</v>
      </c>
      <c r="Z350">
        <f t="shared" ca="1" si="37"/>
        <v>0</v>
      </c>
      <c r="AB350" s="63">
        <f t="shared" ca="1" si="39"/>
        <v>-250.21573060623871</v>
      </c>
      <c r="AC350" s="63">
        <f t="shared" ca="1" si="40"/>
        <v>-250.21573060623871</v>
      </c>
      <c r="AD350" s="3">
        <f t="shared" ca="1" si="41"/>
        <v>0</v>
      </c>
    </row>
    <row r="351" spans="8:30">
      <c r="H351" t="b">
        <f t="shared" ca="1" si="38"/>
        <v>0</v>
      </c>
      <c r="I351" t="b">
        <f t="shared" ca="1" si="35"/>
        <v>0</v>
      </c>
      <c r="J351" s="2">
        <f ca="1"/>
        <v>45859</v>
      </c>
      <c r="K351">
        <f ca="1"/>
        <v>-256.43739393082751</v>
      </c>
      <c r="L351">
        <f ca="1"/>
        <v>3.313641792378462</v>
      </c>
      <c r="M351">
        <f ca="1"/>
        <v>0.17040635321711051</v>
      </c>
      <c r="N351">
        <f ca="1"/>
        <v>0.61904878652703665</v>
      </c>
      <c r="O351">
        <f ca="1"/>
        <v>0</v>
      </c>
      <c r="P351">
        <f ca="1"/>
        <v>302.15381490938796</v>
      </c>
      <c r="Q351">
        <f ca="1"/>
        <v>257.90534829085834</v>
      </c>
      <c r="R351">
        <f ca="1"/>
        <v>0</v>
      </c>
      <c r="S351">
        <f ca="1"/>
        <v>1</v>
      </c>
      <c r="T351">
        <f ca="1"/>
        <v>3.4100000000000108</v>
      </c>
      <c r="U351">
        <f ca="1"/>
        <v>0</v>
      </c>
      <c r="V351">
        <f ca="1"/>
        <v>0.9999978202632378</v>
      </c>
      <c r="Y351" s="2">
        <f t="shared" ca="1" si="36"/>
        <v>45859</v>
      </c>
      <c r="Z351">
        <f t="shared" ca="1" si="37"/>
        <v>0</v>
      </c>
      <c r="AB351" s="63">
        <f t="shared" ca="1" si="39"/>
        <v>-253.12375213844902</v>
      </c>
      <c r="AC351" s="63">
        <f t="shared" ca="1" si="40"/>
        <v>-253.12375213844905</v>
      </c>
      <c r="AD351" s="3">
        <f t="shared" ca="1" si="41"/>
        <v>0</v>
      </c>
    </row>
    <row r="352" spans="8:30">
      <c r="H352" t="b">
        <f t="shared" ca="1" si="38"/>
        <v>0</v>
      </c>
      <c r="I352" t="b">
        <f t="shared" ca="1" si="35"/>
        <v>0</v>
      </c>
      <c r="J352" s="2">
        <f ca="1"/>
        <v>45860</v>
      </c>
      <c r="K352">
        <f ca="1"/>
        <v>-259.21739180498332</v>
      </c>
      <c r="L352">
        <f ca="1"/>
        <v>3.6113029144963775</v>
      </c>
      <c r="M352">
        <f ca="1"/>
        <v>0.17654573925270256</v>
      </c>
      <c r="N352">
        <f ca="1"/>
        <v>0.65475930108785163</v>
      </c>
      <c r="O352">
        <f ca="1"/>
        <v>0</v>
      </c>
      <c r="P352">
        <f ca="1"/>
        <v>305.76511782388434</v>
      </c>
      <c r="Q352">
        <f ca="1"/>
        <v>260.98779931411048</v>
      </c>
      <c r="R352">
        <f ca="1"/>
        <v>0</v>
      </c>
      <c r="S352">
        <f ca="1"/>
        <v>1</v>
      </c>
      <c r="T352">
        <f ca="1"/>
        <v>4.1700000000000017</v>
      </c>
      <c r="U352">
        <f ca="1"/>
        <v>0</v>
      </c>
      <c r="V352">
        <f ca="1"/>
        <v>0.99999809734443901</v>
      </c>
      <c r="Y352" s="2">
        <f t="shared" ca="1" si="36"/>
        <v>45860</v>
      </c>
      <c r="Z352">
        <f t="shared" ca="1" si="37"/>
        <v>0</v>
      </c>
      <c r="AB352" s="63">
        <f t="shared" ca="1" si="39"/>
        <v>-255.60608889048697</v>
      </c>
      <c r="AC352" s="63">
        <f t="shared" ca="1" si="40"/>
        <v>-255.60608889048694</v>
      </c>
      <c r="AD352" s="3">
        <f t="shared" ca="1" si="41"/>
        <v>0</v>
      </c>
    </row>
    <row r="353" spans="8:30">
      <c r="H353" t="b">
        <f t="shared" ca="1" si="38"/>
        <v>0</v>
      </c>
      <c r="I353" t="b">
        <f t="shared" ca="1" si="35"/>
        <v>0</v>
      </c>
      <c r="J353" s="2">
        <f ca="1"/>
        <v>45861</v>
      </c>
      <c r="K353">
        <f ca="1"/>
        <v>-261.84538065918213</v>
      </c>
      <c r="L353">
        <f ca="1"/>
        <v>3.4479710011722773</v>
      </c>
      <c r="M353">
        <f ca="1"/>
        <v>0.17395893775037763</v>
      </c>
      <c r="N353">
        <f ca="1"/>
        <v>0.6460232092230912</v>
      </c>
      <c r="O353">
        <f ca="1"/>
        <v>0</v>
      </c>
      <c r="P353">
        <f ca="1"/>
        <v>309.21308882505662</v>
      </c>
      <c r="Q353">
        <f ca="1"/>
        <v>263.9308373234793</v>
      </c>
      <c r="R353">
        <f ca="1"/>
        <v>0</v>
      </c>
      <c r="S353">
        <f ca="1"/>
        <v>1</v>
      </c>
      <c r="T353">
        <f ca="1"/>
        <v>6.7199999999999989</v>
      </c>
      <c r="U353">
        <f ca="1"/>
        <v>0</v>
      </c>
      <c r="V353">
        <f ca="1"/>
        <v>0.99999833370696056</v>
      </c>
      <c r="Y353" s="2">
        <f t="shared" ca="1" si="36"/>
        <v>45861</v>
      </c>
      <c r="Z353">
        <f t="shared" ca="1" si="37"/>
        <v>0</v>
      </c>
      <c r="AB353" s="63">
        <f t="shared" ca="1" si="39"/>
        <v>-258.39740965800985</v>
      </c>
      <c r="AC353" s="63">
        <f t="shared" ca="1" si="40"/>
        <v>-258.39740965800985</v>
      </c>
      <c r="AD353" s="3">
        <f t="shared" ca="1" si="41"/>
        <v>0</v>
      </c>
    </row>
    <row r="354" spans="8:30">
      <c r="H354" t="b">
        <f t="shared" ca="1" si="38"/>
        <v>0</v>
      </c>
      <c r="I354" t="b">
        <f t="shared" ca="1" si="35"/>
        <v>0</v>
      </c>
      <c r="J354" s="2">
        <f ca="1"/>
        <v>45862</v>
      </c>
      <c r="K354">
        <f ca="1"/>
        <v>-264.41948298358881</v>
      </c>
      <c r="L354">
        <f ca="1"/>
        <v>3.396149432177765</v>
      </c>
      <c r="M354">
        <f ca="1"/>
        <v>0.17353544375963992</v>
      </c>
      <c r="N354">
        <f ca="1"/>
        <v>0.6485116640114339</v>
      </c>
      <c r="O354">
        <f ca="1"/>
        <v>0</v>
      </c>
      <c r="P354">
        <f ca="1"/>
        <v>312.60923825723438</v>
      </c>
      <c r="Q354">
        <f ca="1"/>
        <v>266.8296426965515</v>
      </c>
      <c r="R354">
        <f ca="1"/>
        <v>0</v>
      </c>
      <c r="S354">
        <f ca="1"/>
        <v>1</v>
      </c>
      <c r="T354">
        <f ca="1"/>
        <v>2.8700000000000045</v>
      </c>
      <c r="U354">
        <f ca="1"/>
        <v>0</v>
      </c>
      <c r="V354">
        <f ca="1"/>
        <v>0.9999985420838543</v>
      </c>
      <c r="Y354" s="2">
        <f t="shared" ca="1" si="36"/>
        <v>45862</v>
      </c>
      <c r="Z354">
        <f t="shared" ca="1" si="37"/>
        <v>0</v>
      </c>
      <c r="AB354" s="63">
        <f t="shared" ca="1" si="39"/>
        <v>-261.02333355141104</v>
      </c>
      <c r="AC354" s="63">
        <f t="shared" ca="1" si="40"/>
        <v>-261.02333355141104</v>
      </c>
      <c r="AD354" s="3">
        <f t="shared" ca="1" si="41"/>
        <v>0</v>
      </c>
    </row>
    <row r="355" spans="8:30">
      <c r="H355" t="b">
        <f t="shared" ca="1" si="38"/>
        <v>0</v>
      </c>
      <c r="I355" t="b">
        <f t="shared" ca="1" si="35"/>
        <v>0</v>
      </c>
      <c r="J355" s="2">
        <f ca="1"/>
        <v>45863</v>
      </c>
      <c r="K355">
        <f ca="1"/>
        <v>-266.62799770879184</v>
      </c>
      <c r="L355">
        <f ca="1"/>
        <v>2.9880707446355359</v>
      </c>
      <c r="M355">
        <f ca="1"/>
        <v>0.16593497888266029</v>
      </c>
      <c r="N355">
        <f ca="1"/>
        <v>0.61362104054984845</v>
      </c>
      <c r="O355">
        <f ca="1"/>
        <v>0</v>
      </c>
      <c r="P355">
        <f ca="1"/>
        <v>315.59730900186992</v>
      </c>
      <c r="Q355">
        <f ca="1"/>
        <v>269.38012985933665</v>
      </c>
      <c r="R355">
        <f ca="1"/>
        <v>0</v>
      </c>
      <c r="S355">
        <f ca="1"/>
        <v>1</v>
      </c>
      <c r="T355">
        <f ca="1"/>
        <v>3.519999999999996</v>
      </c>
      <c r="U355">
        <f ca="1"/>
        <v>0</v>
      </c>
      <c r="V355">
        <f ca="1"/>
        <v>0.99999870712485173</v>
      </c>
      <c r="Y355" s="2">
        <f t="shared" ca="1" si="36"/>
        <v>45863</v>
      </c>
      <c r="Z355">
        <f t="shared" ca="1" si="37"/>
        <v>0</v>
      </c>
      <c r="AB355" s="63">
        <f t="shared" ca="1" si="39"/>
        <v>-263.6399269641563</v>
      </c>
      <c r="AC355" s="63">
        <f t="shared" ca="1" si="40"/>
        <v>-263.6399269641563</v>
      </c>
      <c r="AD355" s="3">
        <f t="shared" ca="1" si="41"/>
        <v>0</v>
      </c>
    </row>
    <row r="356" spans="8:30">
      <c r="H356" t="b">
        <f t="shared" ca="1" si="38"/>
        <v>0</v>
      </c>
      <c r="I356" t="b">
        <f t="shared" ca="1" si="35"/>
        <v>0</v>
      </c>
      <c r="J356" s="2">
        <f ca="1"/>
        <v>45864</v>
      </c>
      <c r="K356">
        <f ca="1"/>
        <v>-268.72467150853595</v>
      </c>
      <c r="L356">
        <f ca="1"/>
        <v>2.8682167177272504</v>
      </c>
      <c r="M356">
        <f ca="1"/>
        <v>0.16391707869622962</v>
      </c>
      <c r="N356">
        <f ca="1"/>
        <v>0.60762583928695169</v>
      </c>
      <c r="O356">
        <f ca="1"/>
        <v>0</v>
      </c>
      <c r="P356">
        <f ca="1"/>
        <v>318.46552571959717</v>
      </c>
      <c r="Q356">
        <f ca="1"/>
        <v>271.82831484015827</v>
      </c>
      <c r="R356">
        <f ca="1"/>
        <v>0</v>
      </c>
      <c r="S356">
        <f ca="1"/>
        <v>1</v>
      </c>
      <c r="T356">
        <f ca="1"/>
        <v>2.1500000000000057</v>
      </c>
      <c r="U356">
        <f ca="1"/>
        <v>0</v>
      </c>
      <c r="V356">
        <f ca="1"/>
        <v>0.99999885077334727</v>
      </c>
      <c r="Y356" s="2">
        <f t="shared" ca="1" si="36"/>
        <v>45864</v>
      </c>
      <c r="Z356">
        <f t="shared" ca="1" si="37"/>
        <v>0</v>
      </c>
      <c r="AB356" s="63">
        <f t="shared" ca="1" si="39"/>
        <v>-265.8564547908087</v>
      </c>
      <c r="AC356" s="63">
        <f t="shared" ca="1" si="40"/>
        <v>-265.8564547908087</v>
      </c>
      <c r="AD356" s="3">
        <f t="shared" ca="1" si="41"/>
        <v>0</v>
      </c>
    </row>
    <row r="357" spans="8:30">
      <c r="H357" t="b">
        <f t="shared" ca="1" si="38"/>
        <v>0</v>
      </c>
      <c r="I357" t="b">
        <f t="shared" ca="1" si="35"/>
        <v>0</v>
      </c>
      <c r="J357" s="2">
        <f ca="1"/>
        <v>45865</v>
      </c>
      <c r="K357">
        <f ca="1"/>
        <v>-270.96468100859533</v>
      </c>
      <c r="L357">
        <f ca="1"/>
        <v>3.0408995293656744</v>
      </c>
      <c r="M357">
        <f ca="1"/>
        <v>0.16783200994153447</v>
      </c>
      <c r="N357">
        <f ca="1"/>
        <v>0.63305801936471973</v>
      </c>
      <c r="O357">
        <f ca="1"/>
        <v>0</v>
      </c>
      <c r="P357">
        <f ca="1"/>
        <v>321.50642524896284</v>
      </c>
      <c r="Q357">
        <f ca="1"/>
        <v>274.42389435476332</v>
      </c>
      <c r="R357">
        <f ca="1"/>
        <v>0</v>
      </c>
      <c r="S357">
        <f ca="1"/>
        <v>1</v>
      </c>
      <c r="T357">
        <f ca="1"/>
        <v>3.8499999999999943</v>
      </c>
      <c r="U357">
        <f ca="1"/>
        <v>0</v>
      </c>
      <c r="V357">
        <f ca="1"/>
        <v>0.99999898853817137</v>
      </c>
      <c r="Y357" s="2">
        <f t="shared" ca="1" si="36"/>
        <v>45865</v>
      </c>
      <c r="Z357">
        <f t="shared" ca="1" si="37"/>
        <v>0</v>
      </c>
      <c r="AB357" s="63">
        <f t="shared" ca="1" si="39"/>
        <v>-267.92378147922966</v>
      </c>
      <c r="AC357" s="63">
        <f t="shared" ca="1" si="40"/>
        <v>-267.92378147922966</v>
      </c>
      <c r="AD357" s="3">
        <f t="shared" ca="1" si="41"/>
        <v>0</v>
      </c>
    </row>
    <row r="358" spans="8:30">
      <c r="H358" t="b">
        <f t="shared" ca="1" si="38"/>
        <v>0</v>
      </c>
      <c r="I358" t="b">
        <f t="shared" ca="1" si="35"/>
        <v>0</v>
      </c>
      <c r="J358" s="2">
        <f ca="1"/>
        <v>45866</v>
      </c>
      <c r="K358">
        <f ca="1"/>
        <v>-273.17613925472409</v>
      </c>
      <c r="L358">
        <f ca="1"/>
        <v>3.0179659497219404</v>
      </c>
      <c r="M358">
        <f ca="1"/>
        <v>0.16791356384350564</v>
      </c>
      <c r="N358">
        <f ca="1"/>
        <v>0.63859413974964807</v>
      </c>
      <c r="O358">
        <f ca="1"/>
        <v>0</v>
      </c>
      <c r="P358">
        <f ca="1"/>
        <v>324.52439119868478</v>
      </c>
      <c r="Q358">
        <f ca="1"/>
        <v>276.99989876373098</v>
      </c>
      <c r="R358">
        <f ca="1"/>
        <v>0</v>
      </c>
      <c r="S358">
        <f ca="1"/>
        <v>1</v>
      </c>
      <c r="T358">
        <f ca="1"/>
        <v>2.019999999999996</v>
      </c>
      <c r="U358">
        <f ca="1"/>
        <v>0</v>
      </c>
      <c r="V358">
        <f ca="1"/>
        <v>0.99999911167734723</v>
      </c>
      <c r="Y358" s="2">
        <f t="shared" ca="1" si="36"/>
        <v>45866</v>
      </c>
      <c r="Z358">
        <f t="shared" ca="1" si="37"/>
        <v>0</v>
      </c>
      <c r="AB358" s="63">
        <f t="shared" ca="1" si="39"/>
        <v>-270.15817330500215</v>
      </c>
      <c r="AC358" s="63">
        <f t="shared" ca="1" si="40"/>
        <v>-270.15817330500215</v>
      </c>
      <c r="AD358" s="3">
        <f t="shared" ca="1" si="41"/>
        <v>0</v>
      </c>
    </row>
    <row r="359" spans="8:30">
      <c r="H359" t="b">
        <f t="shared" ca="1" si="38"/>
        <v>0</v>
      </c>
      <c r="I359" t="b">
        <f t="shared" ca="1" si="35"/>
        <v>0</v>
      </c>
      <c r="J359" s="2">
        <f ca="1"/>
        <v>45867</v>
      </c>
      <c r="K359">
        <f ca="1"/>
        <v>-275.40074389002723</v>
      </c>
      <c r="L359">
        <f ca="1"/>
        <v>3.044116266494143</v>
      </c>
      <c r="M359">
        <f ca="1"/>
        <v>0.16912965248033629</v>
      </c>
      <c r="N359">
        <f ca="1"/>
        <v>0.65038197871069869</v>
      </c>
      <c r="O359">
        <f ca="1"/>
        <v>0</v>
      </c>
      <c r="P359">
        <f ca="1"/>
        <v>327.56850746517893</v>
      </c>
      <c r="Q359">
        <f ca="1"/>
        <v>279.59822394517363</v>
      </c>
      <c r="R359">
        <f ca="1"/>
        <v>0</v>
      </c>
      <c r="S359">
        <f ca="1"/>
        <v>1</v>
      </c>
      <c r="T359">
        <f ca="1"/>
        <v>4.2299999999999898</v>
      </c>
      <c r="U359">
        <f ca="1"/>
        <v>0</v>
      </c>
      <c r="V359">
        <f ca="1"/>
        <v>0.99999922331603364</v>
      </c>
      <c r="Y359" s="2">
        <f t="shared" ca="1" si="36"/>
        <v>45867</v>
      </c>
      <c r="Z359">
        <f t="shared" ca="1" si="37"/>
        <v>0</v>
      </c>
      <c r="AB359" s="63">
        <f t="shared" ca="1" si="39"/>
        <v>-272.35662762353309</v>
      </c>
      <c r="AC359" s="63">
        <f t="shared" ca="1" si="40"/>
        <v>-272.35662762353309</v>
      </c>
      <c r="AD359" s="3">
        <f t="shared" ca="1" si="41"/>
        <v>0</v>
      </c>
    </row>
    <row r="360" spans="8:30">
      <c r="H360" t="b">
        <f t="shared" ca="1" si="38"/>
        <v>0</v>
      </c>
      <c r="I360" t="b">
        <f t="shared" ca="1" si="35"/>
        <v>0</v>
      </c>
      <c r="J360" s="2">
        <f ca="1"/>
        <v>45868</v>
      </c>
      <c r="K360">
        <f ca="1"/>
        <v>-277.54260767543531</v>
      </c>
      <c r="L360">
        <f ca="1"/>
        <v>2.9596010181226688</v>
      </c>
      <c r="M360">
        <f ca="1"/>
        <v>0.16797907079106977</v>
      </c>
      <c r="N360">
        <f ca="1"/>
        <v>0.64975816192352276</v>
      </c>
      <c r="O360">
        <f ca="1"/>
        <v>0</v>
      </c>
      <c r="P360">
        <f ca="1"/>
        <v>330.52810848330159</v>
      </c>
      <c r="Q360">
        <f ca="1"/>
        <v>282.12441058825743</v>
      </c>
      <c r="R360">
        <f ca="1"/>
        <v>0</v>
      </c>
      <c r="S360">
        <f ca="1"/>
        <v>1</v>
      </c>
      <c r="T360">
        <f ca="1"/>
        <v>1.3700000000000045</v>
      </c>
      <c r="U360">
        <f ca="1"/>
        <v>0</v>
      </c>
      <c r="V360">
        <f ca="1"/>
        <v>0.99999932076439513</v>
      </c>
      <c r="Y360" s="2">
        <f t="shared" ca="1" si="36"/>
        <v>45868</v>
      </c>
      <c r="Z360">
        <f t="shared" ca="1" si="37"/>
        <v>0</v>
      </c>
      <c r="AB360" s="63">
        <f t="shared" ca="1" si="39"/>
        <v>-274.58300665731264</v>
      </c>
      <c r="AC360" s="63">
        <f t="shared" ca="1" si="40"/>
        <v>-274.58300665731264</v>
      </c>
      <c r="AD360" s="3">
        <f t="shared" ca="1" si="41"/>
        <v>0</v>
      </c>
    </row>
    <row r="361" spans="8:30">
      <c r="H361" t="b">
        <f t="shared" ca="1" si="38"/>
        <v>0</v>
      </c>
      <c r="I361" t="b">
        <f t="shared" ca="1" si="35"/>
        <v>0</v>
      </c>
      <c r="J361" s="2">
        <f ca="1"/>
        <v>45869</v>
      </c>
      <c r="K361">
        <f ca="1"/>
        <v>-279.6449769312697</v>
      </c>
      <c r="L361">
        <f ca="1"/>
        <v>2.9257258812181703</v>
      </c>
      <c r="M361">
        <f ca="1"/>
        <v>0.16797047686108613</v>
      </c>
      <c r="N361">
        <f ca="1"/>
        <v>0.65538614852266086</v>
      </c>
      <c r="O361">
        <f ca="1"/>
        <v>0</v>
      </c>
      <c r="P361">
        <f ca="1"/>
        <v>333.45383436451976</v>
      </c>
      <c r="Q361">
        <f ca="1"/>
        <v>284.62168288854411</v>
      </c>
      <c r="R361">
        <f ca="1"/>
        <v>0</v>
      </c>
      <c r="S361">
        <f ca="1"/>
        <v>1</v>
      </c>
      <c r="T361">
        <f ca="1"/>
        <v>2.9500000000000028</v>
      </c>
      <c r="U361">
        <f ca="1"/>
        <v>0</v>
      </c>
      <c r="V361">
        <f ca="1"/>
        <v>0.99999940724670144</v>
      </c>
      <c r="Y361" s="2">
        <f t="shared" ca="1" si="36"/>
        <v>45869</v>
      </c>
      <c r="Z361">
        <f t="shared" ca="1" si="37"/>
        <v>0</v>
      </c>
      <c r="AB361" s="63">
        <f t="shared" ca="1" si="39"/>
        <v>-276.71925105005153</v>
      </c>
      <c r="AC361" s="63">
        <f t="shared" ca="1" si="40"/>
        <v>-276.71925105005153</v>
      </c>
      <c r="AD361" s="3">
        <f t="shared" ca="1" si="41"/>
        <v>0</v>
      </c>
    </row>
    <row r="362" spans="8:30">
      <c r="H362" t="b">
        <f t="shared" ca="1" si="38"/>
        <v>0</v>
      </c>
      <c r="I362" t="b">
        <f t="shared" ca="1" si="35"/>
        <v>0</v>
      </c>
      <c r="J362" s="2">
        <f ca="1"/>
        <v>45870</v>
      </c>
      <c r="K362">
        <f ca="1"/>
        <v>-281.68796824873817</v>
      </c>
      <c r="L362">
        <f ca="1"/>
        <v>2.8689862682580269</v>
      </c>
      <c r="M362">
        <f ca="1"/>
        <v>0.16746887764627871</v>
      </c>
      <c r="N362">
        <f ca="1"/>
        <v>0.65852607314325795</v>
      </c>
      <c r="O362">
        <f ca="1"/>
        <v>0</v>
      </c>
      <c r="P362">
        <f ca="1"/>
        <v>336.32282063277779</v>
      </c>
      <c r="Q362">
        <f ca="1"/>
        <v>287.07052472421202</v>
      </c>
      <c r="R362">
        <f ca="1"/>
        <v>0</v>
      </c>
      <c r="S362">
        <f ca="1"/>
        <v>1</v>
      </c>
      <c r="T362">
        <f ca="1"/>
        <v>2.4299999999999926</v>
      </c>
      <c r="U362">
        <f ca="1"/>
        <v>0</v>
      </c>
      <c r="V362">
        <f ca="1"/>
        <v>0.99999948332794042</v>
      </c>
      <c r="Y362" s="2">
        <f t="shared" ca="1" si="36"/>
        <v>45870</v>
      </c>
      <c r="Z362">
        <f t="shared" ca="1" si="37"/>
        <v>0</v>
      </c>
      <c r="AB362" s="63">
        <f t="shared" ca="1" si="39"/>
        <v>-278.81898198048015</v>
      </c>
      <c r="AC362" s="63">
        <f t="shared" ca="1" si="40"/>
        <v>-278.81898198048015</v>
      </c>
      <c r="AD362" s="3">
        <f t="shared" ca="1" si="41"/>
        <v>0</v>
      </c>
    </row>
    <row r="363" spans="8:30">
      <c r="H363" t="b">
        <f t="shared" ca="1" si="38"/>
        <v>0</v>
      </c>
      <c r="I363" t="b">
        <f t="shared" ca="1" si="35"/>
        <v>0</v>
      </c>
      <c r="J363" s="2">
        <f ca="1"/>
        <v>45871</v>
      </c>
      <c r="K363">
        <f ca="1"/>
        <v>-283.78488019333867</v>
      </c>
      <c r="L363">
        <f ca="1"/>
        <v>2.9473622632711454</v>
      </c>
      <c r="M363">
        <f ca="1"/>
        <v>0.1703208781323724</v>
      </c>
      <c r="N363">
        <f ca="1"/>
        <v>0.68012944053828672</v>
      </c>
      <c r="O363">
        <f ca="1"/>
        <v>0</v>
      </c>
      <c r="P363">
        <f ca="1"/>
        <v>339.27018289604894</v>
      </c>
      <c r="Q363">
        <f ca="1"/>
        <v>289.58626489871961</v>
      </c>
      <c r="R363">
        <f ca="1"/>
        <v>0</v>
      </c>
      <c r="S363">
        <f ca="1"/>
        <v>1</v>
      </c>
      <c r="T363">
        <f ca="1"/>
        <v>4.3500000000000085</v>
      </c>
      <c r="U363">
        <f ca="1"/>
        <v>0</v>
      </c>
      <c r="V363">
        <f ca="1"/>
        <v>0.99999955324364898</v>
      </c>
      <c r="Y363" s="2">
        <f t="shared" ca="1" si="36"/>
        <v>45871</v>
      </c>
      <c r="Z363">
        <f t="shared" ca="1" si="37"/>
        <v>0</v>
      </c>
      <c r="AB363" s="63">
        <f t="shared" ca="1" si="39"/>
        <v>-280.83751793006752</v>
      </c>
      <c r="AC363" s="63">
        <f t="shared" ca="1" si="40"/>
        <v>-280.83751793006752</v>
      </c>
      <c r="AD363" s="3">
        <f t="shared" ca="1" si="41"/>
        <v>0</v>
      </c>
    </row>
    <row r="364" spans="8:30">
      <c r="H364" t="b">
        <f t="shared" ca="1" si="38"/>
        <v>0</v>
      </c>
      <c r="I364" t="b">
        <f t="shared" ca="1" si="35"/>
        <v>0</v>
      </c>
      <c r="J364" s="2">
        <f ca="1"/>
        <v>45872</v>
      </c>
      <c r="K364">
        <f ca="1"/>
        <v>-285.76532775078516</v>
      </c>
      <c r="L364">
        <f ca="1"/>
        <v>2.8244281792777315</v>
      </c>
      <c r="M364">
        <f ca="1"/>
        <v>0.16833489064103446</v>
      </c>
      <c r="N364">
        <f ca="1"/>
        <v>0.67564573119015292</v>
      </c>
      <c r="O364">
        <f ca="1"/>
        <v>0</v>
      </c>
      <c r="P364">
        <f ca="1"/>
        <v>342.09461107532667</v>
      </c>
      <c r="Q364">
        <f ca="1"/>
        <v>291.99707388856331</v>
      </c>
      <c r="R364">
        <f ca="1"/>
        <v>0</v>
      </c>
      <c r="S364">
        <f ca="1"/>
        <v>1</v>
      </c>
      <c r="T364">
        <f ca="1"/>
        <v>1.8000000000000114</v>
      </c>
      <c r="U364">
        <f ca="1"/>
        <v>0</v>
      </c>
      <c r="V364">
        <f ca="1"/>
        <v>0.99999961305963436</v>
      </c>
      <c r="Y364" s="2">
        <f t="shared" ca="1" si="36"/>
        <v>45872</v>
      </c>
      <c r="Z364">
        <f t="shared" ca="1" si="37"/>
        <v>0</v>
      </c>
      <c r="AB364" s="63">
        <f t="shared" ca="1" si="39"/>
        <v>-282.94089957150749</v>
      </c>
      <c r="AC364" s="63">
        <f t="shared" ca="1" si="40"/>
        <v>-282.94089957150743</v>
      </c>
      <c r="AD364" s="3">
        <f t="shared" ca="1" si="41"/>
        <v>0</v>
      </c>
    </row>
    <row r="365" spans="8:30">
      <c r="H365" t="b">
        <f t="shared" ca="1" si="38"/>
        <v>0</v>
      </c>
      <c r="I365" t="b">
        <f t="shared" ca="1" si="35"/>
        <v>0</v>
      </c>
      <c r="J365" s="2">
        <f ca="1"/>
        <v>45873</v>
      </c>
      <c r="K365">
        <f ca="1"/>
        <v>-287.62590613489755</v>
      </c>
      <c r="L365">
        <f ca="1"/>
        <v>2.6966130870973188</v>
      </c>
      <c r="M365">
        <f ca="1"/>
        <v>0.16612632124358129</v>
      </c>
      <c r="N365">
        <f ca="1"/>
        <v>0.66990838174135825</v>
      </c>
      <c r="O365">
        <f ca="1"/>
        <v>0</v>
      </c>
      <c r="P365">
        <f ca="1"/>
        <v>344.79122416242399</v>
      </c>
      <c r="Q365">
        <f ca="1"/>
        <v>294.29878547755021</v>
      </c>
      <c r="R365">
        <f ca="1"/>
        <v>0</v>
      </c>
      <c r="S365">
        <f ca="1"/>
        <v>1</v>
      </c>
      <c r="T365">
        <f ca="1"/>
        <v>3.6200000000000045</v>
      </c>
      <c r="U365">
        <f ca="1"/>
        <v>0</v>
      </c>
      <c r="V365">
        <f ca="1"/>
        <v>0.99999966415421726</v>
      </c>
      <c r="Y365" s="2">
        <f t="shared" ca="1" si="36"/>
        <v>45873</v>
      </c>
      <c r="Z365">
        <f t="shared" ca="1" si="37"/>
        <v>0</v>
      </c>
      <c r="AB365" s="63">
        <f t="shared" ca="1" si="39"/>
        <v>-284.92929304780023</v>
      </c>
      <c r="AC365" s="63">
        <f t="shared" ca="1" si="40"/>
        <v>-284.92929304780023</v>
      </c>
      <c r="AD365" s="3">
        <f t="shared" ca="1" si="41"/>
        <v>0</v>
      </c>
    </row>
    <row r="366" spans="8:30">
      <c r="H366" t="b">
        <f t="shared" ca="1" si="38"/>
        <v>0</v>
      </c>
      <c r="I366" t="b">
        <f t="shared" ca="1" si="35"/>
        <v>0</v>
      </c>
      <c r="J366" s="2">
        <f ca="1"/>
        <v>45874</v>
      </c>
      <c r="K366">
        <f ca="1"/>
        <v>-289.30045222230569</v>
      </c>
      <c r="L366">
        <f ca="1"/>
        <v>2.4878612252318817</v>
      </c>
      <c r="M366">
        <f ca="1"/>
        <v>0.16168438958922593</v>
      </c>
      <c r="N366">
        <f ca="1"/>
        <v>0.65163074823452971</v>
      </c>
      <c r="O366">
        <f ca="1"/>
        <v>0</v>
      </c>
      <c r="P366">
        <f ca="1"/>
        <v>347.27908538765587</v>
      </c>
      <c r="Q366">
        <f ca="1"/>
        <v>296.42231556101171</v>
      </c>
      <c r="R366">
        <f ca="1"/>
        <v>0</v>
      </c>
      <c r="S366">
        <f ca="1"/>
        <v>1</v>
      </c>
      <c r="T366">
        <f ca="1"/>
        <v>3.5499999999999972</v>
      </c>
      <c r="U366">
        <f ca="1"/>
        <v>0</v>
      </c>
      <c r="V366">
        <f ca="1"/>
        <v>0.99999970649976189</v>
      </c>
      <c r="Y366" s="2">
        <f t="shared" ca="1" si="36"/>
        <v>45874</v>
      </c>
      <c r="Z366">
        <f t="shared" ca="1" si="37"/>
        <v>0</v>
      </c>
      <c r="AB366" s="63">
        <f t="shared" ca="1" si="39"/>
        <v>-286.81259099707381</v>
      </c>
      <c r="AC366" s="63">
        <f t="shared" ca="1" si="40"/>
        <v>-286.81259099707381</v>
      </c>
      <c r="AD366" s="3">
        <f t="shared" ca="1" si="41"/>
        <v>0</v>
      </c>
    </row>
    <row r="367" spans="8:30">
      <c r="H367" t="b">
        <f t="shared" ca="1" si="38"/>
        <v>0</v>
      </c>
      <c r="I367" t="b">
        <f t="shared" ca="1" si="35"/>
        <v>0</v>
      </c>
      <c r="J367" s="2">
        <f ca="1"/>
        <v>45875</v>
      </c>
      <c r="K367">
        <f ca="1"/>
        <v>-290.87323451887636</v>
      </c>
      <c r="L367">
        <f ca="1"/>
        <v>2.3790912316334243</v>
      </c>
      <c r="M367">
        <f ca="1"/>
        <v>0.15966417962771828</v>
      </c>
      <c r="N367">
        <f ca="1"/>
        <v>0.64664475543501998</v>
      </c>
      <c r="O367">
        <f ca="1"/>
        <v>0</v>
      </c>
      <c r="P367">
        <f ca="1"/>
        <v>349.65817661928929</v>
      </c>
      <c r="Q367">
        <f ca="1"/>
        <v>298.45300431102515</v>
      </c>
      <c r="R367">
        <f ca="1"/>
        <v>0</v>
      </c>
      <c r="S367">
        <f ca="1"/>
        <v>1</v>
      </c>
      <c r="T367">
        <f ca="1"/>
        <v>2.6899999999999977</v>
      </c>
      <c r="U367">
        <f ca="1"/>
        <v>0</v>
      </c>
      <c r="V367">
        <f ca="1"/>
        <v>0.99999974302133443</v>
      </c>
      <c r="Y367" s="2">
        <f t="shared" ca="1" si="36"/>
        <v>45875</v>
      </c>
      <c r="Z367">
        <f t="shared" ca="1" si="37"/>
        <v>0</v>
      </c>
      <c r="AB367" s="63">
        <f t="shared" ca="1" si="39"/>
        <v>-288.49414328724293</v>
      </c>
      <c r="AC367" s="63">
        <f t="shared" ca="1" si="40"/>
        <v>-288.49414328724293</v>
      </c>
      <c r="AD367" s="3">
        <f t="shared" ca="1" si="41"/>
        <v>0</v>
      </c>
    </row>
    <row r="368" spans="8:30">
      <c r="H368" t="b">
        <f t="shared" ca="1" si="38"/>
        <v>0</v>
      </c>
      <c r="I368" t="b">
        <f t="shared" ca="1" si="35"/>
        <v>0</v>
      </c>
      <c r="J368" s="2">
        <f ca="1"/>
        <v>45876</v>
      </c>
      <c r="K368">
        <f ca="1"/>
        <v>-292.41106202009371</v>
      </c>
      <c r="L368">
        <f ca="1"/>
        <v>2.3510744335109734</v>
      </c>
      <c r="M368">
        <f ca="1"/>
        <v>0.15974018904027787</v>
      </c>
      <c r="N368">
        <f ca="1"/>
        <v>0.65350674325333569</v>
      </c>
      <c r="O368">
        <f ca="1"/>
        <v>0</v>
      </c>
      <c r="P368">
        <f ca="1"/>
        <v>352.00925105280027</v>
      </c>
      <c r="Q368">
        <f ca="1"/>
        <v>300.45977914130225</v>
      </c>
      <c r="R368">
        <f ca="1"/>
        <v>0</v>
      </c>
      <c r="S368">
        <f ca="1"/>
        <v>1</v>
      </c>
      <c r="T368">
        <f ca="1"/>
        <v>1.7799999999999869</v>
      </c>
      <c r="U368">
        <f ca="1"/>
        <v>0</v>
      </c>
      <c r="V368">
        <f ca="1"/>
        <v>0.99999977558178532</v>
      </c>
      <c r="Y368" s="2">
        <f t="shared" ca="1" si="36"/>
        <v>45876</v>
      </c>
      <c r="Z368">
        <f t="shared" ca="1" si="37"/>
        <v>0</v>
      </c>
      <c r="AB368" s="63">
        <f t="shared" ca="1" si="39"/>
        <v>-290.05998758658274</v>
      </c>
      <c r="AC368" s="63">
        <f t="shared" ca="1" si="40"/>
        <v>-290.05998758658274</v>
      </c>
      <c r="AD368" s="3">
        <f t="shared" ca="1" si="41"/>
        <v>0</v>
      </c>
    </row>
    <row r="369" spans="8:30">
      <c r="H369" t="b">
        <f t="shared" ca="1" si="38"/>
        <v>0</v>
      </c>
      <c r="I369" t="b">
        <f t="shared" ca="1" si="35"/>
        <v>0</v>
      </c>
      <c r="J369" s="2">
        <f ca="1"/>
        <v>45877</v>
      </c>
      <c r="K369">
        <f ca="1"/>
        <v>-293.87281186844189</v>
      </c>
      <c r="L369">
        <f ca="1"/>
        <v>2.2731018883761749</v>
      </c>
      <c r="M369">
        <f ca="1"/>
        <v>0.15847100728827002</v>
      </c>
      <c r="N369">
        <f ca="1"/>
        <v>0.65288103273973341</v>
      </c>
      <c r="O369">
        <f ca="1"/>
        <v>0</v>
      </c>
      <c r="P369">
        <f ca="1"/>
        <v>354.28235294117644</v>
      </c>
      <c r="Q369">
        <f ca="1"/>
        <v>302.40000000000003</v>
      </c>
      <c r="R369">
        <f ca="1"/>
        <v>0</v>
      </c>
      <c r="S369">
        <f ca="1"/>
        <v>1</v>
      </c>
      <c r="T369">
        <f ca="1"/>
        <v>0.61999999999999034</v>
      </c>
      <c r="U369">
        <f ca="1"/>
        <v>0</v>
      </c>
      <c r="V369">
        <f ca="1"/>
        <v>1</v>
      </c>
      <c r="Y369" s="2">
        <f t="shared" ca="1" si="36"/>
        <v>45877</v>
      </c>
      <c r="Z369">
        <f t="shared" ca="1" si="37"/>
        <v>0</v>
      </c>
      <c r="AB369" s="63">
        <f t="shared" ca="1" si="39"/>
        <v>-291.59970998006571</v>
      </c>
      <c r="AC369" s="63">
        <f t="shared" ca="1" si="40"/>
        <v>-291.59970998006571</v>
      </c>
      <c r="AD369" s="3">
        <f t="shared" ca="1" si="41"/>
        <v>0</v>
      </c>
    </row>
    <row r="370" spans="8:30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Y370" s="2">
        <f t="shared" ca="1" si="36"/>
        <v>0</v>
      </c>
      <c r="Z370">
        <f t="shared" ca="1" si="37"/>
        <v>0</v>
      </c>
      <c r="AB370" s="63" t="e">
        <f t="shared" ca="1" si="39"/>
        <v>#N/A</v>
      </c>
      <c r="AC370" s="63" t="e">
        <f t="shared" ca="1" si="40"/>
        <v>#N/A</v>
      </c>
      <c r="AD370" s="3" t="e">
        <f t="shared" ca="1" si="41"/>
        <v>#N/A</v>
      </c>
    </row>
    <row r="371" spans="8:30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Y371" s="2">
        <f t="shared" ca="1" si="36"/>
        <v>0</v>
      </c>
      <c r="Z371">
        <f t="shared" ca="1" si="37"/>
        <v>0</v>
      </c>
      <c r="AB371" s="63" t="e">
        <f t="shared" ca="1" si="39"/>
        <v>#N/A</v>
      </c>
      <c r="AC371" s="63" t="e">
        <f t="shared" ca="1" si="40"/>
        <v>#N/A</v>
      </c>
      <c r="AD371" s="3" t="e">
        <f t="shared" ca="1" si="41"/>
        <v>#N/A</v>
      </c>
    </row>
    <row r="372" spans="8:30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Y372" s="2">
        <f t="shared" ca="1" si="36"/>
        <v>0</v>
      </c>
      <c r="Z372">
        <f t="shared" ca="1" si="37"/>
        <v>0</v>
      </c>
      <c r="AB372" s="63" t="e">
        <f t="shared" ca="1" si="39"/>
        <v>#N/A</v>
      </c>
      <c r="AC372" s="63" t="e">
        <f t="shared" ca="1" si="40"/>
        <v>#N/A</v>
      </c>
      <c r="AD372" s="3" t="e">
        <f t="shared" ca="1" si="41"/>
        <v>#N/A</v>
      </c>
    </row>
    <row r="373" spans="8:30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Y373" s="2">
        <f t="shared" ca="1" si="36"/>
        <v>0</v>
      </c>
      <c r="Z373">
        <f t="shared" ca="1" si="37"/>
        <v>0</v>
      </c>
      <c r="AB373" s="63" t="e">
        <f t="shared" ca="1" si="39"/>
        <v>#N/A</v>
      </c>
      <c r="AC373" s="63" t="e">
        <f t="shared" ca="1" si="40"/>
        <v>#N/A</v>
      </c>
      <c r="AD373" s="3" t="e">
        <f t="shared" ca="1" si="41"/>
        <v>#N/A</v>
      </c>
    </row>
    <row r="374" spans="8:30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Y374" s="2">
        <f t="shared" ca="1" si="36"/>
        <v>0</v>
      </c>
      <c r="Z374">
        <f t="shared" ca="1" si="37"/>
        <v>0</v>
      </c>
      <c r="AB374" s="63" t="e">
        <f t="shared" ca="1" si="39"/>
        <v>#N/A</v>
      </c>
      <c r="AC374" s="63" t="e">
        <f t="shared" ca="1" si="40"/>
        <v>#N/A</v>
      </c>
      <c r="AD374" s="3" t="e">
        <f t="shared" ca="1" si="41"/>
        <v>#N/A</v>
      </c>
    </row>
    <row r="375" spans="8:30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Y375" s="2">
        <f t="shared" ca="1" si="36"/>
        <v>0</v>
      </c>
      <c r="Z375">
        <f t="shared" ca="1" si="37"/>
        <v>0</v>
      </c>
      <c r="AB375" s="63" t="e">
        <f t="shared" ca="1" si="39"/>
        <v>#N/A</v>
      </c>
      <c r="AC375" s="63" t="e">
        <f t="shared" ca="1" si="40"/>
        <v>#N/A</v>
      </c>
      <c r="AD375" s="3" t="e">
        <f t="shared" ca="1" si="41"/>
        <v>#N/A</v>
      </c>
    </row>
    <row r="376" spans="8:30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Y376" s="2">
        <f t="shared" ca="1" si="36"/>
        <v>0</v>
      </c>
      <c r="Z376">
        <f t="shared" ca="1" si="37"/>
        <v>0</v>
      </c>
      <c r="AB376" s="63" t="e">
        <f t="shared" ca="1" si="39"/>
        <v>#N/A</v>
      </c>
      <c r="AC376" s="63" t="e">
        <f t="shared" ca="1" si="40"/>
        <v>#N/A</v>
      </c>
      <c r="AD376" s="3" t="e">
        <f t="shared" ca="1" si="41"/>
        <v>#N/A</v>
      </c>
    </row>
    <row r="377" spans="8:30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Y377" s="2">
        <f t="shared" ca="1" si="36"/>
        <v>0</v>
      </c>
      <c r="Z377">
        <f t="shared" ca="1" si="37"/>
        <v>0</v>
      </c>
      <c r="AB377" s="63" t="e">
        <f t="shared" ca="1" si="39"/>
        <v>#N/A</v>
      </c>
      <c r="AC377" s="63" t="e">
        <f t="shared" ca="1" si="40"/>
        <v>#N/A</v>
      </c>
      <c r="AD377" s="3" t="e">
        <f t="shared" ca="1" si="41"/>
        <v>#N/A</v>
      </c>
    </row>
    <row r="378" spans="8:30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Y378" s="2">
        <f t="shared" ca="1" si="36"/>
        <v>0</v>
      </c>
      <c r="Z378">
        <f t="shared" ca="1" si="37"/>
        <v>0</v>
      </c>
      <c r="AB378" s="63" t="e">
        <f t="shared" ca="1" si="39"/>
        <v>#N/A</v>
      </c>
      <c r="AC378" s="63" t="e">
        <f t="shared" ca="1" si="40"/>
        <v>#N/A</v>
      </c>
      <c r="AD378" s="3" t="e">
        <f t="shared" ca="1" si="41"/>
        <v>#N/A</v>
      </c>
    </row>
    <row r="379" spans="8:30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Y379" s="2">
        <f t="shared" ca="1" si="36"/>
        <v>0</v>
      </c>
      <c r="Z379">
        <f t="shared" ca="1" si="37"/>
        <v>0</v>
      </c>
      <c r="AB379" s="63" t="e">
        <f t="shared" ca="1" si="39"/>
        <v>#N/A</v>
      </c>
      <c r="AC379" s="63" t="e">
        <f t="shared" ca="1" si="40"/>
        <v>#N/A</v>
      </c>
      <c r="AD379" s="3" t="e">
        <f t="shared" ca="1" si="41"/>
        <v>#N/A</v>
      </c>
    </row>
    <row r="380" spans="8:30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Y380" s="2">
        <f t="shared" ca="1" si="36"/>
        <v>0</v>
      </c>
      <c r="Z380">
        <f t="shared" ca="1" si="37"/>
        <v>0</v>
      </c>
      <c r="AB380" s="63" t="e">
        <f t="shared" ca="1" si="39"/>
        <v>#N/A</v>
      </c>
      <c r="AC380" s="63" t="e">
        <f t="shared" ca="1" si="40"/>
        <v>#N/A</v>
      </c>
      <c r="AD380" s="3" t="e">
        <f t="shared" ca="1" si="41"/>
        <v>#N/A</v>
      </c>
    </row>
    <row r="381" spans="8:30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Y381" s="2">
        <f t="shared" ca="1" si="36"/>
        <v>0</v>
      </c>
      <c r="Z381">
        <f t="shared" ca="1" si="37"/>
        <v>0</v>
      </c>
      <c r="AB381" s="63" t="e">
        <f t="shared" ca="1" si="39"/>
        <v>#N/A</v>
      </c>
      <c r="AC381" s="63" t="e">
        <f t="shared" ca="1" si="40"/>
        <v>#N/A</v>
      </c>
      <c r="AD381" s="3" t="e">
        <f t="shared" ca="1" si="41"/>
        <v>#N/A</v>
      </c>
    </row>
    <row r="382" spans="8:30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Y382" s="2">
        <f t="shared" ca="1" si="36"/>
        <v>0</v>
      </c>
      <c r="Z382">
        <f t="shared" ca="1" si="37"/>
        <v>0</v>
      </c>
      <c r="AB382" s="63" t="e">
        <f t="shared" ca="1" si="39"/>
        <v>#N/A</v>
      </c>
      <c r="AC382" s="63" t="e">
        <f t="shared" ca="1" si="40"/>
        <v>#N/A</v>
      </c>
      <c r="AD382" s="3" t="e">
        <f t="shared" ca="1" si="41"/>
        <v>#N/A</v>
      </c>
    </row>
    <row r="383" spans="8:30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Y383" s="2">
        <f t="shared" ca="1" si="36"/>
        <v>0</v>
      </c>
      <c r="Z383">
        <f t="shared" ca="1" si="37"/>
        <v>0</v>
      </c>
      <c r="AB383" s="63" t="e">
        <f t="shared" ca="1" si="39"/>
        <v>#N/A</v>
      </c>
      <c r="AC383" s="63" t="e">
        <f t="shared" ca="1" si="40"/>
        <v>#N/A</v>
      </c>
      <c r="AD383" s="3" t="e">
        <f t="shared" ca="1" si="41"/>
        <v>#N/A</v>
      </c>
    </row>
    <row r="384" spans="8:30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Y384" s="2">
        <f t="shared" ca="1" si="36"/>
        <v>0</v>
      </c>
      <c r="Z384">
        <f t="shared" ca="1" si="37"/>
        <v>0</v>
      </c>
      <c r="AB384" s="63" t="e">
        <f t="shared" ca="1" si="39"/>
        <v>#N/A</v>
      </c>
      <c r="AC384" s="63" t="e">
        <f t="shared" ca="1" si="40"/>
        <v>#N/A</v>
      </c>
      <c r="AD384" s="3" t="e">
        <f t="shared" ca="1" si="41"/>
        <v>#N/A</v>
      </c>
    </row>
    <row r="385" spans="8:30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Y385" s="2">
        <f t="shared" ca="1" si="36"/>
        <v>0</v>
      </c>
      <c r="Z385">
        <f t="shared" ca="1" si="37"/>
        <v>0</v>
      </c>
      <c r="AB385" s="63" t="e">
        <f t="shared" ca="1" si="39"/>
        <v>#N/A</v>
      </c>
      <c r="AC385" s="63" t="e">
        <f t="shared" ca="1" si="40"/>
        <v>#N/A</v>
      </c>
      <c r="AD385" s="3" t="e">
        <f t="shared" ca="1" si="41"/>
        <v>#N/A</v>
      </c>
    </row>
    <row r="386" spans="8:30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Y386" s="2">
        <f t="shared" ca="1" si="36"/>
        <v>0</v>
      </c>
      <c r="Z386">
        <f t="shared" ca="1" si="37"/>
        <v>0</v>
      </c>
      <c r="AB386" s="63" t="e">
        <f t="shared" ca="1" si="39"/>
        <v>#N/A</v>
      </c>
      <c r="AC386" s="63" t="e">
        <f t="shared" ca="1" si="40"/>
        <v>#N/A</v>
      </c>
      <c r="AD386" s="3" t="e">
        <f t="shared" ca="1" si="41"/>
        <v>#N/A</v>
      </c>
    </row>
    <row r="387" spans="8:30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Y387" s="2">
        <f t="shared" ca="1" si="36"/>
        <v>0</v>
      </c>
      <c r="Z387">
        <f t="shared" ca="1" si="37"/>
        <v>0</v>
      </c>
      <c r="AB387" s="63" t="e">
        <f t="shared" ca="1" si="39"/>
        <v>#N/A</v>
      </c>
      <c r="AC387" s="63" t="e">
        <f t="shared" ca="1" si="40"/>
        <v>#N/A</v>
      </c>
      <c r="AD387" s="3" t="e">
        <f t="shared" ca="1" si="41"/>
        <v>#N/A</v>
      </c>
    </row>
    <row r="388" spans="8:30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Y388" s="2">
        <f t="shared" ca="1" si="36"/>
        <v>0</v>
      </c>
      <c r="Z388">
        <f t="shared" ca="1" si="37"/>
        <v>0</v>
      </c>
      <c r="AB388" s="63" t="e">
        <f t="shared" ca="1" si="39"/>
        <v>#N/A</v>
      </c>
      <c r="AC388" s="63" t="e">
        <f t="shared" ca="1" si="40"/>
        <v>#N/A</v>
      </c>
      <c r="AD388" s="3" t="e">
        <f t="shared" ca="1" si="41"/>
        <v>#N/A</v>
      </c>
    </row>
    <row r="389" spans="8:30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Y389" s="2">
        <f t="shared" ca="1" si="36"/>
        <v>0</v>
      </c>
      <c r="Z389">
        <f t="shared" ca="1" si="37"/>
        <v>0</v>
      </c>
      <c r="AB389" s="63" t="e">
        <f t="shared" ca="1" si="39"/>
        <v>#N/A</v>
      </c>
      <c r="AC389" s="63" t="e">
        <f t="shared" ca="1" si="40"/>
        <v>#N/A</v>
      </c>
      <c r="AD389" s="3" t="e">
        <f t="shared" ca="1" si="41"/>
        <v>#N/A</v>
      </c>
    </row>
    <row r="390" spans="8:30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Y390" s="2">
        <f t="shared" ca="1" si="36"/>
        <v>0</v>
      </c>
      <c r="Z390">
        <f t="shared" ca="1" si="37"/>
        <v>0</v>
      </c>
      <c r="AB390" s="63" t="e">
        <f t="shared" ca="1" si="39"/>
        <v>#N/A</v>
      </c>
      <c r="AC390" s="63" t="e">
        <f t="shared" ca="1" si="40"/>
        <v>#N/A</v>
      </c>
      <c r="AD390" s="3" t="e">
        <f t="shared" ca="1" si="41"/>
        <v>#N/A</v>
      </c>
    </row>
    <row r="391" spans="8:30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Y391" s="2">
        <f t="shared" ca="1" si="36"/>
        <v>0</v>
      </c>
      <c r="Z391">
        <f t="shared" ca="1" si="37"/>
        <v>0</v>
      </c>
      <c r="AB391" s="63" t="e">
        <f t="shared" ca="1" si="39"/>
        <v>#N/A</v>
      </c>
      <c r="AC391" s="63" t="e">
        <f t="shared" ca="1" si="40"/>
        <v>#N/A</v>
      </c>
      <c r="AD391" s="3" t="e">
        <f t="shared" ca="1" si="41"/>
        <v>#N/A</v>
      </c>
    </row>
    <row r="392" spans="8:30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Y392" s="2">
        <f t="shared" ca="1" si="36"/>
        <v>0</v>
      </c>
      <c r="Z392">
        <f t="shared" ca="1" si="37"/>
        <v>0</v>
      </c>
      <c r="AB392" s="63" t="e">
        <f t="shared" ca="1" si="39"/>
        <v>#N/A</v>
      </c>
      <c r="AC392" s="63" t="e">
        <f t="shared" ca="1" si="40"/>
        <v>#N/A</v>
      </c>
      <c r="AD392" s="3" t="e">
        <f t="shared" ca="1" si="41"/>
        <v>#N/A</v>
      </c>
    </row>
    <row r="393" spans="8:30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Y393" s="2">
        <f t="shared" ca="1" si="36"/>
        <v>0</v>
      </c>
      <c r="Z393">
        <f t="shared" ca="1" si="37"/>
        <v>0</v>
      </c>
      <c r="AB393" s="63" t="e">
        <f t="shared" ca="1" si="39"/>
        <v>#N/A</v>
      </c>
      <c r="AC393" s="63" t="e">
        <f t="shared" ca="1" si="40"/>
        <v>#N/A</v>
      </c>
      <c r="AD393" s="3" t="e">
        <f t="shared" ca="1" si="41"/>
        <v>#N/A</v>
      </c>
    </row>
    <row r="394" spans="8:30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Y394" s="2">
        <f t="shared" ca="1" si="36"/>
        <v>0</v>
      </c>
      <c r="Z394">
        <f t="shared" ca="1" si="37"/>
        <v>0</v>
      </c>
      <c r="AB394" s="63" t="e">
        <f t="shared" ca="1" si="39"/>
        <v>#N/A</v>
      </c>
      <c r="AC394" s="63" t="e">
        <f t="shared" ca="1" si="40"/>
        <v>#N/A</v>
      </c>
      <c r="AD394" s="3" t="e">
        <f t="shared" ca="1" si="41"/>
        <v>#N/A</v>
      </c>
    </row>
    <row r="395" spans="8:30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Y395" s="2">
        <f t="shared" ref="Y395:Y458" ca="1" si="43">IFERROR(J395,$Y$9)</f>
        <v>0</v>
      </c>
      <c r="Z395">
        <f t="shared" ref="Z395:Z458" ca="1" si="44">IFERROR(O395,0)</f>
        <v>0</v>
      </c>
      <c r="AB395" s="63" t="e">
        <f t="shared" ca="1" si="39"/>
        <v>#N/A</v>
      </c>
      <c r="AC395" s="63" t="e">
        <f t="shared" ca="1" si="40"/>
        <v>#N/A</v>
      </c>
      <c r="AD395" s="3" t="e">
        <f t="shared" ca="1" si="41"/>
        <v>#N/A</v>
      </c>
    </row>
    <row r="396" spans="8:30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Y396" s="2">
        <f t="shared" ca="1" si="43"/>
        <v>0</v>
      </c>
      <c r="Z396">
        <f t="shared" ca="1" si="44"/>
        <v>0</v>
      </c>
      <c r="AB396" s="63" t="e">
        <f t="shared" ca="1" si="39"/>
        <v>#N/A</v>
      </c>
      <c r="AC396" s="63" t="e">
        <f t="shared" ca="1" si="40"/>
        <v>#N/A</v>
      </c>
      <c r="AD396" s="3" t="e">
        <f t="shared" ca="1" si="41"/>
        <v>#N/A</v>
      </c>
    </row>
    <row r="397" spans="8:30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Y397" s="2">
        <f t="shared" ca="1" si="43"/>
        <v>0</v>
      </c>
      <c r="Z397">
        <f t="shared" ca="1" si="44"/>
        <v>0</v>
      </c>
      <c r="AB397" s="63" t="e">
        <f t="shared" ca="1" si="39"/>
        <v>#N/A</v>
      </c>
      <c r="AC397" s="63" t="e">
        <f t="shared" ca="1" si="40"/>
        <v>#N/A</v>
      </c>
      <c r="AD397" s="3" t="e">
        <f t="shared" ca="1" si="41"/>
        <v>#N/A</v>
      </c>
    </row>
    <row r="398" spans="8:30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Y398" s="2">
        <f t="shared" ca="1" si="43"/>
        <v>0</v>
      </c>
      <c r="Z398">
        <f t="shared" ca="1" si="44"/>
        <v>0</v>
      </c>
      <c r="AB398" s="63" t="e">
        <f t="shared" ca="1" si="39"/>
        <v>#N/A</v>
      </c>
      <c r="AC398" s="63" t="e">
        <f t="shared" ca="1" si="40"/>
        <v>#N/A</v>
      </c>
      <c r="AD398" s="3" t="e">
        <f t="shared" ca="1" si="41"/>
        <v>#N/A</v>
      </c>
    </row>
    <row r="399" spans="8:30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Y399" s="2">
        <f t="shared" ca="1" si="43"/>
        <v>0</v>
      </c>
      <c r="Z399">
        <f t="shared" ca="1" si="44"/>
        <v>0</v>
      </c>
      <c r="AB399" s="63" t="e">
        <f t="shared" ca="1" si="39"/>
        <v>#N/A</v>
      </c>
      <c r="AC399" s="63" t="e">
        <f t="shared" ca="1" si="40"/>
        <v>#N/A</v>
      </c>
      <c r="AD399" s="3" t="e">
        <f t="shared" ca="1" si="41"/>
        <v>#N/A</v>
      </c>
    </row>
    <row r="400" spans="8:30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Y400" s="2">
        <f t="shared" ca="1" si="43"/>
        <v>0</v>
      </c>
      <c r="Z400">
        <f t="shared" ca="1" si="44"/>
        <v>0</v>
      </c>
      <c r="AB400" s="63" t="e">
        <f t="shared" ref="AB400:AB463" ca="1" si="46">K399+M400+N400+O400</f>
        <v>#N/A</v>
      </c>
      <c r="AC400" s="63" t="e">
        <f t="shared" ref="AC400:AC463" ca="1" si="47">K400+L400+R400</f>
        <v>#N/A</v>
      </c>
      <c r="AD400" s="3" t="e">
        <f t="shared" ref="AD400:AD463" ca="1" si="48">AC400-AB400</f>
        <v>#N/A</v>
      </c>
    </row>
    <row r="401" spans="8:30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Y401" s="2">
        <f t="shared" ca="1" si="43"/>
        <v>0</v>
      </c>
      <c r="Z401">
        <f t="shared" ca="1" si="44"/>
        <v>0</v>
      </c>
      <c r="AB401" s="63" t="e">
        <f t="shared" ca="1" si="46"/>
        <v>#N/A</v>
      </c>
      <c r="AC401" s="63" t="e">
        <f t="shared" ca="1" si="47"/>
        <v>#N/A</v>
      </c>
      <c r="AD401" s="3" t="e">
        <f t="shared" ca="1" si="48"/>
        <v>#N/A</v>
      </c>
    </row>
    <row r="402" spans="8:30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Y402" s="2">
        <f t="shared" ca="1" si="43"/>
        <v>0</v>
      </c>
      <c r="Z402">
        <f t="shared" ca="1" si="44"/>
        <v>0</v>
      </c>
      <c r="AB402" s="63" t="e">
        <f t="shared" ca="1" si="46"/>
        <v>#N/A</v>
      </c>
      <c r="AC402" s="63" t="e">
        <f t="shared" ca="1" si="47"/>
        <v>#N/A</v>
      </c>
      <c r="AD402" s="3" t="e">
        <f t="shared" ca="1" si="48"/>
        <v>#N/A</v>
      </c>
    </row>
    <row r="403" spans="8:30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Y403" s="2">
        <f t="shared" ca="1" si="43"/>
        <v>0</v>
      </c>
      <c r="Z403">
        <f t="shared" ca="1" si="44"/>
        <v>0</v>
      </c>
      <c r="AB403" s="63" t="e">
        <f t="shared" ca="1" si="46"/>
        <v>#N/A</v>
      </c>
      <c r="AC403" s="63" t="e">
        <f t="shared" ca="1" si="47"/>
        <v>#N/A</v>
      </c>
      <c r="AD403" s="3" t="e">
        <f t="shared" ca="1" si="48"/>
        <v>#N/A</v>
      </c>
    </row>
    <row r="404" spans="8:30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Y404" s="2">
        <f t="shared" ca="1" si="43"/>
        <v>0</v>
      </c>
      <c r="Z404">
        <f t="shared" ca="1" si="44"/>
        <v>0</v>
      </c>
      <c r="AB404" s="63" t="e">
        <f t="shared" ca="1" si="46"/>
        <v>#N/A</v>
      </c>
      <c r="AC404" s="63" t="e">
        <f t="shared" ca="1" si="47"/>
        <v>#N/A</v>
      </c>
      <c r="AD404" s="3" t="e">
        <f t="shared" ca="1" si="48"/>
        <v>#N/A</v>
      </c>
    </row>
    <row r="405" spans="8:30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Y405" s="2">
        <f t="shared" ca="1" si="43"/>
        <v>0</v>
      </c>
      <c r="Z405">
        <f t="shared" ca="1" si="44"/>
        <v>0</v>
      </c>
      <c r="AB405" s="63" t="e">
        <f t="shared" ca="1" si="46"/>
        <v>#N/A</v>
      </c>
      <c r="AC405" s="63" t="e">
        <f t="shared" ca="1" si="47"/>
        <v>#N/A</v>
      </c>
      <c r="AD405" s="3" t="e">
        <f t="shared" ca="1" si="48"/>
        <v>#N/A</v>
      </c>
    </row>
    <row r="406" spans="8:30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Y406" s="2">
        <f t="shared" ca="1" si="43"/>
        <v>0</v>
      </c>
      <c r="Z406">
        <f t="shared" ca="1" si="44"/>
        <v>0</v>
      </c>
      <c r="AB406" s="63" t="e">
        <f t="shared" ca="1" si="46"/>
        <v>#N/A</v>
      </c>
      <c r="AC406" s="63" t="e">
        <f t="shared" ca="1" si="47"/>
        <v>#N/A</v>
      </c>
      <c r="AD406" s="3" t="e">
        <f t="shared" ca="1" si="48"/>
        <v>#N/A</v>
      </c>
    </row>
    <row r="407" spans="8:30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Y407" s="2">
        <f t="shared" ca="1" si="43"/>
        <v>0</v>
      </c>
      <c r="Z407">
        <f t="shared" ca="1" si="44"/>
        <v>0</v>
      </c>
      <c r="AB407" s="63" t="e">
        <f t="shared" ca="1" si="46"/>
        <v>#N/A</v>
      </c>
      <c r="AC407" s="63" t="e">
        <f t="shared" ca="1" si="47"/>
        <v>#N/A</v>
      </c>
      <c r="AD407" s="3" t="e">
        <f t="shared" ca="1" si="48"/>
        <v>#N/A</v>
      </c>
    </row>
    <row r="408" spans="8:30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Y408" s="2">
        <f t="shared" ca="1" si="43"/>
        <v>0</v>
      </c>
      <c r="Z408">
        <f t="shared" ca="1" si="44"/>
        <v>0</v>
      </c>
      <c r="AB408" s="63" t="e">
        <f t="shared" ca="1" si="46"/>
        <v>#N/A</v>
      </c>
      <c r="AC408" s="63" t="e">
        <f t="shared" ca="1" si="47"/>
        <v>#N/A</v>
      </c>
      <c r="AD408" s="3" t="e">
        <f t="shared" ca="1" si="48"/>
        <v>#N/A</v>
      </c>
    </row>
    <row r="409" spans="8:30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Y409" s="2">
        <f t="shared" ca="1" si="43"/>
        <v>0</v>
      </c>
      <c r="Z409">
        <f t="shared" ca="1" si="44"/>
        <v>0</v>
      </c>
      <c r="AB409" s="63" t="e">
        <f t="shared" ca="1" si="46"/>
        <v>#N/A</v>
      </c>
      <c r="AC409" s="63" t="e">
        <f t="shared" ca="1" si="47"/>
        <v>#N/A</v>
      </c>
      <c r="AD409" s="3" t="e">
        <f t="shared" ca="1" si="48"/>
        <v>#N/A</v>
      </c>
    </row>
    <row r="410" spans="8:30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Y410" s="2">
        <f t="shared" ca="1" si="43"/>
        <v>0</v>
      </c>
      <c r="Z410">
        <f t="shared" ca="1" si="44"/>
        <v>0</v>
      </c>
      <c r="AB410" s="63" t="e">
        <f t="shared" ca="1" si="46"/>
        <v>#N/A</v>
      </c>
      <c r="AC410" s="63" t="e">
        <f t="shared" ca="1" si="47"/>
        <v>#N/A</v>
      </c>
      <c r="AD410" s="3" t="e">
        <f t="shared" ca="1" si="48"/>
        <v>#N/A</v>
      </c>
    </row>
    <row r="411" spans="8:30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Y411" s="2">
        <f t="shared" ca="1" si="43"/>
        <v>0</v>
      </c>
      <c r="Z411">
        <f t="shared" ca="1" si="44"/>
        <v>0</v>
      </c>
      <c r="AB411" s="63" t="e">
        <f t="shared" ca="1" si="46"/>
        <v>#N/A</v>
      </c>
      <c r="AC411" s="63" t="e">
        <f t="shared" ca="1" si="47"/>
        <v>#N/A</v>
      </c>
      <c r="AD411" s="3" t="e">
        <f t="shared" ca="1" si="48"/>
        <v>#N/A</v>
      </c>
    </row>
    <row r="412" spans="8:30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Y412" s="2">
        <f t="shared" ca="1" si="43"/>
        <v>0</v>
      </c>
      <c r="Z412">
        <f t="shared" ca="1" si="44"/>
        <v>0</v>
      </c>
      <c r="AB412" s="63" t="e">
        <f t="shared" ca="1" si="46"/>
        <v>#N/A</v>
      </c>
      <c r="AC412" s="63" t="e">
        <f t="shared" ca="1" si="47"/>
        <v>#N/A</v>
      </c>
      <c r="AD412" s="3" t="e">
        <f t="shared" ca="1" si="48"/>
        <v>#N/A</v>
      </c>
    </row>
    <row r="413" spans="8:30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Y413" s="2">
        <f t="shared" ca="1" si="43"/>
        <v>0</v>
      </c>
      <c r="Z413">
        <f t="shared" ca="1" si="44"/>
        <v>0</v>
      </c>
      <c r="AB413" s="63" t="e">
        <f t="shared" ca="1" si="46"/>
        <v>#N/A</v>
      </c>
      <c r="AC413" s="63" t="e">
        <f t="shared" ca="1" si="47"/>
        <v>#N/A</v>
      </c>
      <c r="AD413" s="3" t="e">
        <f t="shared" ca="1" si="48"/>
        <v>#N/A</v>
      </c>
    </row>
    <row r="414" spans="8:30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Y414" s="2">
        <f t="shared" ca="1" si="43"/>
        <v>0</v>
      </c>
      <c r="Z414">
        <f t="shared" ca="1" si="44"/>
        <v>0</v>
      </c>
      <c r="AB414" s="63" t="e">
        <f t="shared" ca="1" si="46"/>
        <v>#N/A</v>
      </c>
      <c r="AC414" s="63" t="e">
        <f t="shared" ca="1" si="47"/>
        <v>#N/A</v>
      </c>
      <c r="AD414" s="3" t="e">
        <f t="shared" ca="1" si="48"/>
        <v>#N/A</v>
      </c>
    </row>
    <row r="415" spans="8:30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Y415" s="2">
        <f t="shared" ca="1" si="43"/>
        <v>0</v>
      </c>
      <c r="Z415">
        <f t="shared" ca="1" si="44"/>
        <v>0</v>
      </c>
      <c r="AB415" s="63" t="e">
        <f t="shared" ca="1" si="46"/>
        <v>#N/A</v>
      </c>
      <c r="AC415" s="63" t="e">
        <f t="shared" ca="1" si="47"/>
        <v>#N/A</v>
      </c>
      <c r="AD415" s="3" t="e">
        <f t="shared" ca="1" si="48"/>
        <v>#N/A</v>
      </c>
    </row>
    <row r="416" spans="8:30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Y416" s="2">
        <f t="shared" ca="1" si="43"/>
        <v>0</v>
      </c>
      <c r="Z416">
        <f t="shared" ca="1" si="44"/>
        <v>0</v>
      </c>
      <c r="AB416" s="63" t="e">
        <f t="shared" ca="1" si="46"/>
        <v>#N/A</v>
      </c>
      <c r="AC416" s="63" t="e">
        <f t="shared" ca="1" si="47"/>
        <v>#N/A</v>
      </c>
      <c r="AD416" s="3" t="e">
        <f t="shared" ca="1" si="48"/>
        <v>#N/A</v>
      </c>
    </row>
    <row r="417" spans="8:30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Y417" s="2">
        <f t="shared" ca="1" si="43"/>
        <v>0</v>
      </c>
      <c r="Z417">
        <f t="shared" ca="1" si="44"/>
        <v>0</v>
      </c>
      <c r="AB417" s="63" t="e">
        <f t="shared" ca="1" si="46"/>
        <v>#N/A</v>
      </c>
      <c r="AC417" s="63" t="e">
        <f t="shared" ca="1" si="47"/>
        <v>#N/A</v>
      </c>
      <c r="AD417" s="3" t="e">
        <f t="shared" ca="1" si="48"/>
        <v>#N/A</v>
      </c>
    </row>
    <row r="418" spans="8:30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Y418" s="2">
        <f t="shared" ca="1" si="43"/>
        <v>0</v>
      </c>
      <c r="Z418">
        <f t="shared" ca="1" si="44"/>
        <v>0</v>
      </c>
      <c r="AB418" s="63" t="e">
        <f t="shared" ca="1" si="46"/>
        <v>#N/A</v>
      </c>
      <c r="AC418" s="63" t="e">
        <f t="shared" ca="1" si="47"/>
        <v>#N/A</v>
      </c>
      <c r="AD418" s="3" t="e">
        <f t="shared" ca="1" si="48"/>
        <v>#N/A</v>
      </c>
    </row>
    <row r="419" spans="8:30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Y419" s="2">
        <f t="shared" ca="1" si="43"/>
        <v>0</v>
      </c>
      <c r="Z419">
        <f t="shared" ca="1" si="44"/>
        <v>0</v>
      </c>
      <c r="AB419" s="63" t="e">
        <f t="shared" ca="1" si="46"/>
        <v>#N/A</v>
      </c>
      <c r="AC419" s="63" t="e">
        <f t="shared" ca="1" si="47"/>
        <v>#N/A</v>
      </c>
      <c r="AD419" s="3" t="e">
        <f t="shared" ca="1" si="48"/>
        <v>#N/A</v>
      </c>
    </row>
    <row r="420" spans="8:30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Y420" s="2">
        <f t="shared" ca="1" si="43"/>
        <v>0</v>
      </c>
      <c r="Z420">
        <f t="shared" ca="1" si="44"/>
        <v>0</v>
      </c>
      <c r="AB420" s="63" t="e">
        <f t="shared" ca="1" si="46"/>
        <v>#N/A</v>
      </c>
      <c r="AC420" s="63" t="e">
        <f t="shared" ca="1" si="47"/>
        <v>#N/A</v>
      </c>
      <c r="AD420" s="3" t="e">
        <f t="shared" ca="1" si="48"/>
        <v>#N/A</v>
      </c>
    </row>
    <row r="421" spans="8:30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Y421" s="2">
        <f t="shared" ca="1" si="43"/>
        <v>0</v>
      </c>
      <c r="Z421">
        <f t="shared" ca="1" si="44"/>
        <v>0</v>
      </c>
      <c r="AB421" s="63" t="e">
        <f t="shared" ca="1" si="46"/>
        <v>#N/A</v>
      </c>
      <c r="AC421" s="63" t="e">
        <f t="shared" ca="1" si="47"/>
        <v>#N/A</v>
      </c>
      <c r="AD421" s="3" t="e">
        <f t="shared" ca="1" si="48"/>
        <v>#N/A</v>
      </c>
    </row>
    <row r="422" spans="8:30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Y422" s="2">
        <f t="shared" ca="1" si="43"/>
        <v>0</v>
      </c>
      <c r="Z422">
        <f t="shared" ca="1" si="44"/>
        <v>0</v>
      </c>
      <c r="AB422" s="63" t="e">
        <f t="shared" ca="1" si="46"/>
        <v>#N/A</v>
      </c>
      <c r="AC422" s="63" t="e">
        <f t="shared" ca="1" si="47"/>
        <v>#N/A</v>
      </c>
      <c r="AD422" s="3" t="e">
        <f t="shared" ca="1" si="48"/>
        <v>#N/A</v>
      </c>
    </row>
    <row r="423" spans="8:30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Y423" s="2">
        <f t="shared" ca="1" si="43"/>
        <v>0</v>
      </c>
      <c r="Z423">
        <f t="shared" ca="1" si="44"/>
        <v>0</v>
      </c>
      <c r="AB423" s="63" t="e">
        <f t="shared" ca="1" si="46"/>
        <v>#N/A</v>
      </c>
      <c r="AC423" s="63" t="e">
        <f t="shared" ca="1" si="47"/>
        <v>#N/A</v>
      </c>
      <c r="AD423" s="3" t="e">
        <f t="shared" ca="1" si="48"/>
        <v>#N/A</v>
      </c>
    </row>
    <row r="424" spans="8:30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Y424" s="2">
        <f t="shared" ca="1" si="43"/>
        <v>0</v>
      </c>
      <c r="Z424">
        <f t="shared" ca="1" si="44"/>
        <v>0</v>
      </c>
      <c r="AB424" s="63" t="e">
        <f t="shared" ca="1" si="46"/>
        <v>#N/A</v>
      </c>
      <c r="AC424" s="63" t="e">
        <f t="shared" ca="1" si="47"/>
        <v>#N/A</v>
      </c>
      <c r="AD424" s="3" t="e">
        <f t="shared" ca="1" si="48"/>
        <v>#N/A</v>
      </c>
    </row>
    <row r="425" spans="8:30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Y425" s="2">
        <f t="shared" ca="1" si="43"/>
        <v>0</v>
      </c>
      <c r="Z425">
        <f t="shared" ca="1" si="44"/>
        <v>0</v>
      </c>
      <c r="AB425" s="63" t="e">
        <f t="shared" ca="1" si="46"/>
        <v>#N/A</v>
      </c>
      <c r="AC425" s="63" t="e">
        <f t="shared" ca="1" si="47"/>
        <v>#N/A</v>
      </c>
      <c r="AD425" s="3" t="e">
        <f t="shared" ca="1" si="48"/>
        <v>#N/A</v>
      </c>
    </row>
    <row r="426" spans="8:30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Y426" s="2">
        <f t="shared" ca="1" si="43"/>
        <v>0</v>
      </c>
      <c r="Z426">
        <f t="shared" ca="1" si="44"/>
        <v>0</v>
      </c>
      <c r="AB426" s="63" t="e">
        <f t="shared" ca="1" si="46"/>
        <v>#N/A</v>
      </c>
      <c r="AC426" s="63" t="e">
        <f t="shared" ca="1" si="47"/>
        <v>#N/A</v>
      </c>
      <c r="AD426" s="3" t="e">
        <f t="shared" ca="1" si="48"/>
        <v>#N/A</v>
      </c>
    </row>
    <row r="427" spans="8:30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Y427" s="2">
        <f t="shared" ca="1" si="43"/>
        <v>0</v>
      </c>
      <c r="Z427">
        <f t="shared" ca="1" si="44"/>
        <v>0</v>
      </c>
      <c r="AB427" s="63" t="e">
        <f t="shared" ca="1" si="46"/>
        <v>#N/A</v>
      </c>
      <c r="AC427" s="63" t="e">
        <f t="shared" ca="1" si="47"/>
        <v>#N/A</v>
      </c>
      <c r="AD427" s="3" t="e">
        <f t="shared" ca="1" si="48"/>
        <v>#N/A</v>
      </c>
    </row>
    <row r="428" spans="8:30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Y428" s="2">
        <f t="shared" ca="1" si="43"/>
        <v>0</v>
      </c>
      <c r="Z428">
        <f t="shared" ca="1" si="44"/>
        <v>0</v>
      </c>
      <c r="AB428" s="63" t="e">
        <f t="shared" ca="1" si="46"/>
        <v>#N/A</v>
      </c>
      <c r="AC428" s="63" t="e">
        <f t="shared" ca="1" si="47"/>
        <v>#N/A</v>
      </c>
      <c r="AD428" s="3" t="e">
        <f t="shared" ca="1" si="48"/>
        <v>#N/A</v>
      </c>
    </row>
    <row r="429" spans="8:30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Y429" s="2">
        <f t="shared" ca="1" si="43"/>
        <v>0</v>
      </c>
      <c r="Z429">
        <f t="shared" ca="1" si="44"/>
        <v>0</v>
      </c>
      <c r="AB429" s="63" t="e">
        <f t="shared" ca="1" si="46"/>
        <v>#N/A</v>
      </c>
      <c r="AC429" s="63" t="e">
        <f t="shared" ca="1" si="47"/>
        <v>#N/A</v>
      </c>
      <c r="AD429" s="3" t="e">
        <f t="shared" ca="1" si="48"/>
        <v>#N/A</v>
      </c>
    </row>
    <row r="430" spans="8:30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Y430" s="2">
        <f t="shared" ca="1" si="43"/>
        <v>0</v>
      </c>
      <c r="Z430">
        <f t="shared" ca="1" si="44"/>
        <v>0</v>
      </c>
      <c r="AB430" s="63" t="e">
        <f t="shared" ca="1" si="46"/>
        <v>#N/A</v>
      </c>
      <c r="AC430" s="63" t="e">
        <f t="shared" ca="1" si="47"/>
        <v>#N/A</v>
      </c>
      <c r="AD430" s="3" t="e">
        <f t="shared" ca="1" si="48"/>
        <v>#N/A</v>
      </c>
    </row>
    <row r="431" spans="8:30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Y431" s="2">
        <f t="shared" ca="1" si="43"/>
        <v>0</v>
      </c>
      <c r="Z431">
        <f t="shared" ca="1" si="44"/>
        <v>0</v>
      </c>
      <c r="AB431" s="63" t="e">
        <f t="shared" ca="1" si="46"/>
        <v>#N/A</v>
      </c>
      <c r="AC431" s="63" t="e">
        <f t="shared" ca="1" si="47"/>
        <v>#N/A</v>
      </c>
      <c r="AD431" s="3" t="e">
        <f t="shared" ca="1" si="48"/>
        <v>#N/A</v>
      </c>
    </row>
    <row r="432" spans="8:30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Y432" s="2">
        <f t="shared" ca="1" si="43"/>
        <v>0</v>
      </c>
      <c r="Z432">
        <f t="shared" ca="1" si="44"/>
        <v>0</v>
      </c>
      <c r="AB432" s="63" t="e">
        <f t="shared" ca="1" si="46"/>
        <v>#N/A</v>
      </c>
      <c r="AC432" s="63" t="e">
        <f t="shared" ca="1" si="47"/>
        <v>#N/A</v>
      </c>
      <c r="AD432" s="3" t="e">
        <f t="shared" ca="1" si="48"/>
        <v>#N/A</v>
      </c>
    </row>
    <row r="433" spans="8:30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Y433" s="2">
        <f t="shared" ca="1" si="43"/>
        <v>0</v>
      </c>
      <c r="Z433">
        <f t="shared" ca="1" si="44"/>
        <v>0</v>
      </c>
      <c r="AB433" s="63" t="e">
        <f t="shared" ca="1" si="46"/>
        <v>#N/A</v>
      </c>
      <c r="AC433" s="63" t="e">
        <f t="shared" ca="1" si="47"/>
        <v>#N/A</v>
      </c>
      <c r="AD433" s="3" t="e">
        <f t="shared" ca="1" si="48"/>
        <v>#N/A</v>
      </c>
    </row>
    <row r="434" spans="8:30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Y434" s="2">
        <f t="shared" ca="1" si="43"/>
        <v>0</v>
      </c>
      <c r="Z434">
        <f t="shared" ca="1" si="44"/>
        <v>0</v>
      </c>
      <c r="AB434" s="63" t="e">
        <f t="shared" ca="1" si="46"/>
        <v>#N/A</v>
      </c>
      <c r="AC434" s="63" t="e">
        <f t="shared" ca="1" si="47"/>
        <v>#N/A</v>
      </c>
      <c r="AD434" s="3" t="e">
        <f t="shared" ca="1" si="48"/>
        <v>#N/A</v>
      </c>
    </row>
    <row r="435" spans="8:30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Y435" s="2">
        <f t="shared" ca="1" si="43"/>
        <v>0</v>
      </c>
      <c r="Z435">
        <f t="shared" ca="1" si="44"/>
        <v>0</v>
      </c>
      <c r="AB435" s="63" t="e">
        <f t="shared" ca="1" si="46"/>
        <v>#N/A</v>
      </c>
      <c r="AC435" s="63" t="e">
        <f t="shared" ca="1" si="47"/>
        <v>#N/A</v>
      </c>
      <c r="AD435" s="3" t="e">
        <f t="shared" ca="1" si="48"/>
        <v>#N/A</v>
      </c>
    </row>
    <row r="436" spans="8:30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Y436" s="2">
        <f t="shared" ca="1" si="43"/>
        <v>0</v>
      </c>
      <c r="Z436">
        <f t="shared" ca="1" si="44"/>
        <v>0</v>
      </c>
      <c r="AB436" s="63" t="e">
        <f t="shared" ca="1" si="46"/>
        <v>#N/A</v>
      </c>
      <c r="AC436" s="63" t="e">
        <f t="shared" ca="1" si="47"/>
        <v>#N/A</v>
      </c>
      <c r="AD436" s="3" t="e">
        <f t="shared" ca="1" si="48"/>
        <v>#N/A</v>
      </c>
    </row>
    <row r="437" spans="8:30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Y437" s="2">
        <f t="shared" ca="1" si="43"/>
        <v>0</v>
      </c>
      <c r="Z437">
        <f t="shared" ca="1" si="44"/>
        <v>0</v>
      </c>
      <c r="AB437" s="63" t="e">
        <f t="shared" ca="1" si="46"/>
        <v>#N/A</v>
      </c>
      <c r="AC437" s="63" t="e">
        <f t="shared" ca="1" si="47"/>
        <v>#N/A</v>
      </c>
      <c r="AD437" s="3" t="e">
        <f t="shared" ca="1" si="48"/>
        <v>#N/A</v>
      </c>
    </row>
    <row r="438" spans="8:30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Y438" s="2">
        <f t="shared" ca="1" si="43"/>
        <v>0</v>
      </c>
      <c r="Z438">
        <f t="shared" ca="1" si="44"/>
        <v>0</v>
      </c>
      <c r="AB438" s="63" t="e">
        <f t="shared" ca="1" si="46"/>
        <v>#N/A</v>
      </c>
      <c r="AC438" s="63" t="e">
        <f t="shared" ca="1" si="47"/>
        <v>#N/A</v>
      </c>
      <c r="AD438" s="3" t="e">
        <f t="shared" ca="1" si="48"/>
        <v>#N/A</v>
      </c>
    </row>
    <row r="439" spans="8:30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Y439" s="2">
        <f t="shared" ca="1" si="43"/>
        <v>0</v>
      </c>
      <c r="Z439">
        <f t="shared" ca="1" si="44"/>
        <v>0</v>
      </c>
      <c r="AB439" s="63" t="e">
        <f t="shared" ca="1" si="46"/>
        <v>#N/A</v>
      </c>
      <c r="AC439" s="63" t="e">
        <f t="shared" ca="1" si="47"/>
        <v>#N/A</v>
      </c>
      <c r="AD439" s="3" t="e">
        <f t="shared" ca="1" si="48"/>
        <v>#N/A</v>
      </c>
    </row>
    <row r="440" spans="8:30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Y440" s="2">
        <f t="shared" ca="1" si="43"/>
        <v>0</v>
      </c>
      <c r="Z440">
        <f t="shared" ca="1" si="44"/>
        <v>0</v>
      </c>
      <c r="AB440" s="63" t="e">
        <f t="shared" ca="1" si="46"/>
        <v>#N/A</v>
      </c>
      <c r="AC440" s="63" t="e">
        <f t="shared" ca="1" si="47"/>
        <v>#N/A</v>
      </c>
      <c r="AD440" s="3" t="e">
        <f t="shared" ca="1" si="48"/>
        <v>#N/A</v>
      </c>
    </row>
    <row r="441" spans="8:30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Y441" s="2">
        <f t="shared" ca="1" si="43"/>
        <v>0</v>
      </c>
      <c r="Z441">
        <f t="shared" ca="1" si="44"/>
        <v>0</v>
      </c>
      <c r="AB441" s="63" t="e">
        <f t="shared" ca="1" si="46"/>
        <v>#N/A</v>
      </c>
      <c r="AC441" s="63" t="e">
        <f t="shared" ca="1" si="47"/>
        <v>#N/A</v>
      </c>
      <c r="AD441" s="3" t="e">
        <f t="shared" ca="1" si="48"/>
        <v>#N/A</v>
      </c>
    </row>
    <row r="442" spans="8:30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Y442" s="2">
        <f t="shared" ca="1" si="43"/>
        <v>0</v>
      </c>
      <c r="Z442">
        <f t="shared" ca="1" si="44"/>
        <v>0</v>
      </c>
      <c r="AB442" s="63" t="e">
        <f t="shared" ca="1" si="46"/>
        <v>#N/A</v>
      </c>
      <c r="AC442" s="63" t="e">
        <f t="shared" ca="1" si="47"/>
        <v>#N/A</v>
      </c>
      <c r="AD442" s="3" t="e">
        <f t="shared" ca="1" si="48"/>
        <v>#N/A</v>
      </c>
    </row>
    <row r="443" spans="8:30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Y443" s="2">
        <f t="shared" ca="1" si="43"/>
        <v>0</v>
      </c>
      <c r="Z443">
        <f t="shared" ca="1" si="44"/>
        <v>0</v>
      </c>
      <c r="AB443" s="63" t="e">
        <f t="shared" ca="1" si="46"/>
        <v>#N/A</v>
      </c>
      <c r="AC443" s="63" t="e">
        <f t="shared" ca="1" si="47"/>
        <v>#N/A</v>
      </c>
      <c r="AD443" s="3" t="e">
        <f t="shared" ca="1" si="48"/>
        <v>#N/A</v>
      </c>
    </row>
    <row r="444" spans="8:30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Y444" s="2">
        <f t="shared" ca="1" si="43"/>
        <v>0</v>
      </c>
      <c r="Z444">
        <f t="shared" ca="1" si="44"/>
        <v>0</v>
      </c>
      <c r="AB444" s="63" t="e">
        <f t="shared" ca="1" si="46"/>
        <v>#N/A</v>
      </c>
      <c r="AC444" s="63" t="e">
        <f t="shared" ca="1" si="47"/>
        <v>#N/A</v>
      </c>
      <c r="AD444" s="3" t="e">
        <f t="shared" ca="1" si="48"/>
        <v>#N/A</v>
      </c>
    </row>
    <row r="445" spans="8:30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Y445" s="2">
        <f t="shared" ca="1" si="43"/>
        <v>0</v>
      </c>
      <c r="Z445">
        <f t="shared" ca="1" si="44"/>
        <v>0</v>
      </c>
      <c r="AB445" s="63" t="e">
        <f t="shared" ca="1" si="46"/>
        <v>#N/A</v>
      </c>
      <c r="AC445" s="63" t="e">
        <f t="shared" ca="1" si="47"/>
        <v>#N/A</v>
      </c>
      <c r="AD445" s="3" t="e">
        <f t="shared" ca="1" si="48"/>
        <v>#N/A</v>
      </c>
    </row>
    <row r="446" spans="8:30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Y446" s="2">
        <f t="shared" ca="1" si="43"/>
        <v>0</v>
      </c>
      <c r="Z446">
        <f t="shared" ca="1" si="44"/>
        <v>0</v>
      </c>
      <c r="AB446" s="63" t="e">
        <f t="shared" ca="1" si="46"/>
        <v>#N/A</v>
      </c>
      <c r="AC446" s="63" t="e">
        <f t="shared" ca="1" si="47"/>
        <v>#N/A</v>
      </c>
      <c r="AD446" s="3" t="e">
        <f t="shared" ca="1" si="48"/>
        <v>#N/A</v>
      </c>
    </row>
    <row r="447" spans="8:30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Y447" s="2">
        <f t="shared" ca="1" si="43"/>
        <v>0</v>
      </c>
      <c r="Z447">
        <f t="shared" ca="1" si="44"/>
        <v>0</v>
      </c>
      <c r="AB447" s="63" t="e">
        <f t="shared" ca="1" si="46"/>
        <v>#N/A</v>
      </c>
      <c r="AC447" s="63" t="e">
        <f t="shared" ca="1" si="47"/>
        <v>#N/A</v>
      </c>
      <c r="AD447" s="3" t="e">
        <f t="shared" ca="1" si="48"/>
        <v>#N/A</v>
      </c>
    </row>
    <row r="448" spans="8:30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Y448" s="2">
        <f t="shared" ca="1" si="43"/>
        <v>0</v>
      </c>
      <c r="Z448">
        <f t="shared" ca="1" si="44"/>
        <v>0</v>
      </c>
      <c r="AB448" s="63" t="e">
        <f t="shared" ca="1" si="46"/>
        <v>#N/A</v>
      </c>
      <c r="AC448" s="63" t="e">
        <f t="shared" ca="1" si="47"/>
        <v>#N/A</v>
      </c>
      <c r="AD448" s="3" t="e">
        <f t="shared" ca="1" si="48"/>
        <v>#N/A</v>
      </c>
    </row>
    <row r="449" spans="8:30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Y449" s="2">
        <f t="shared" ca="1" si="43"/>
        <v>0</v>
      </c>
      <c r="Z449">
        <f t="shared" ca="1" si="44"/>
        <v>0</v>
      </c>
      <c r="AB449" s="63" t="e">
        <f t="shared" ca="1" si="46"/>
        <v>#N/A</v>
      </c>
      <c r="AC449" s="63" t="e">
        <f t="shared" ca="1" si="47"/>
        <v>#N/A</v>
      </c>
      <c r="AD449" s="3" t="e">
        <f t="shared" ca="1" si="48"/>
        <v>#N/A</v>
      </c>
    </row>
    <row r="450" spans="8:30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Y450" s="2">
        <f t="shared" ca="1" si="43"/>
        <v>0</v>
      </c>
      <c r="Z450">
        <f t="shared" ca="1" si="44"/>
        <v>0</v>
      </c>
      <c r="AB450" s="63" t="e">
        <f t="shared" ca="1" si="46"/>
        <v>#N/A</v>
      </c>
      <c r="AC450" s="63" t="e">
        <f t="shared" ca="1" si="47"/>
        <v>#N/A</v>
      </c>
      <c r="AD450" s="3" t="e">
        <f t="shared" ca="1" si="48"/>
        <v>#N/A</v>
      </c>
    </row>
    <row r="451" spans="8:30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Y451" s="2">
        <f t="shared" ca="1" si="43"/>
        <v>0</v>
      </c>
      <c r="Z451">
        <f t="shared" ca="1" si="44"/>
        <v>0</v>
      </c>
      <c r="AB451" s="63" t="e">
        <f t="shared" ca="1" si="46"/>
        <v>#N/A</v>
      </c>
      <c r="AC451" s="63" t="e">
        <f t="shared" ca="1" si="47"/>
        <v>#N/A</v>
      </c>
      <c r="AD451" s="3" t="e">
        <f t="shared" ca="1" si="48"/>
        <v>#N/A</v>
      </c>
    </row>
    <row r="452" spans="8:30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Y452" s="2">
        <f t="shared" ca="1" si="43"/>
        <v>0</v>
      </c>
      <c r="Z452">
        <f t="shared" ca="1" si="44"/>
        <v>0</v>
      </c>
      <c r="AB452" s="63" t="e">
        <f t="shared" ca="1" si="46"/>
        <v>#N/A</v>
      </c>
      <c r="AC452" s="63" t="e">
        <f t="shared" ca="1" si="47"/>
        <v>#N/A</v>
      </c>
      <c r="AD452" s="3" t="e">
        <f t="shared" ca="1" si="48"/>
        <v>#N/A</v>
      </c>
    </row>
    <row r="453" spans="8:30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Y453" s="2">
        <f t="shared" ca="1" si="43"/>
        <v>0</v>
      </c>
      <c r="Z453">
        <f t="shared" ca="1" si="44"/>
        <v>0</v>
      </c>
      <c r="AB453" s="63" t="e">
        <f t="shared" ca="1" si="46"/>
        <v>#N/A</v>
      </c>
      <c r="AC453" s="63" t="e">
        <f t="shared" ca="1" si="47"/>
        <v>#N/A</v>
      </c>
      <c r="AD453" s="3" t="e">
        <f t="shared" ca="1" si="48"/>
        <v>#N/A</v>
      </c>
    </row>
    <row r="454" spans="8:30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Y454" s="2">
        <f t="shared" ca="1" si="43"/>
        <v>0</v>
      </c>
      <c r="Z454">
        <f t="shared" ca="1" si="44"/>
        <v>0</v>
      </c>
      <c r="AB454" s="63" t="e">
        <f t="shared" ca="1" si="46"/>
        <v>#N/A</v>
      </c>
      <c r="AC454" s="63" t="e">
        <f t="shared" ca="1" si="47"/>
        <v>#N/A</v>
      </c>
      <c r="AD454" s="3" t="e">
        <f t="shared" ca="1" si="48"/>
        <v>#N/A</v>
      </c>
    </row>
    <row r="455" spans="8:30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Y455" s="2">
        <f t="shared" ca="1" si="43"/>
        <v>0</v>
      </c>
      <c r="Z455">
        <f t="shared" ca="1" si="44"/>
        <v>0</v>
      </c>
      <c r="AB455" s="63" t="e">
        <f t="shared" ca="1" si="46"/>
        <v>#N/A</v>
      </c>
      <c r="AC455" s="63" t="e">
        <f t="shared" ca="1" si="47"/>
        <v>#N/A</v>
      </c>
      <c r="AD455" s="3" t="e">
        <f t="shared" ca="1" si="48"/>
        <v>#N/A</v>
      </c>
    </row>
    <row r="456" spans="8:30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Y456" s="2">
        <f t="shared" ca="1" si="43"/>
        <v>0</v>
      </c>
      <c r="Z456">
        <f t="shared" ca="1" si="44"/>
        <v>0</v>
      </c>
      <c r="AB456" s="63" t="e">
        <f t="shared" ca="1" si="46"/>
        <v>#N/A</v>
      </c>
      <c r="AC456" s="63" t="e">
        <f t="shared" ca="1" si="47"/>
        <v>#N/A</v>
      </c>
      <c r="AD456" s="3" t="e">
        <f t="shared" ca="1" si="48"/>
        <v>#N/A</v>
      </c>
    </row>
    <row r="457" spans="8:30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Y457" s="2">
        <f t="shared" ca="1" si="43"/>
        <v>0</v>
      </c>
      <c r="Z457">
        <f t="shared" ca="1" si="44"/>
        <v>0</v>
      </c>
      <c r="AB457" s="63" t="e">
        <f t="shared" ca="1" si="46"/>
        <v>#N/A</v>
      </c>
      <c r="AC457" s="63" t="e">
        <f t="shared" ca="1" si="47"/>
        <v>#N/A</v>
      </c>
      <c r="AD457" s="3" t="e">
        <f t="shared" ca="1" si="48"/>
        <v>#N/A</v>
      </c>
    </row>
    <row r="458" spans="8:30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Y458" s="2">
        <f t="shared" ca="1" si="43"/>
        <v>0</v>
      </c>
      <c r="Z458">
        <f t="shared" ca="1" si="44"/>
        <v>0</v>
      </c>
      <c r="AB458" s="63" t="e">
        <f t="shared" ca="1" si="46"/>
        <v>#N/A</v>
      </c>
      <c r="AC458" s="63" t="e">
        <f t="shared" ca="1" si="47"/>
        <v>#N/A</v>
      </c>
      <c r="AD458" s="3" t="e">
        <f t="shared" ca="1" si="48"/>
        <v>#N/A</v>
      </c>
    </row>
    <row r="459" spans="8:30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Y459" s="2">
        <f t="shared" ref="Y459:Y500" ca="1" si="50">IFERROR(J459,$Y$9)</f>
        <v>0</v>
      </c>
      <c r="Z459">
        <f t="shared" ref="Z459:Z500" ca="1" si="51">IFERROR(O459,0)</f>
        <v>0</v>
      </c>
      <c r="AB459" s="63" t="e">
        <f t="shared" ca="1" si="46"/>
        <v>#N/A</v>
      </c>
      <c r="AC459" s="63" t="e">
        <f t="shared" ca="1" si="47"/>
        <v>#N/A</v>
      </c>
      <c r="AD459" s="3" t="e">
        <f t="shared" ca="1" si="48"/>
        <v>#N/A</v>
      </c>
    </row>
    <row r="460" spans="8:30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Y460" s="2">
        <f t="shared" ca="1" si="50"/>
        <v>0</v>
      </c>
      <c r="Z460">
        <f t="shared" ca="1" si="51"/>
        <v>0</v>
      </c>
      <c r="AB460" s="63" t="e">
        <f t="shared" ca="1" si="46"/>
        <v>#N/A</v>
      </c>
      <c r="AC460" s="63" t="e">
        <f t="shared" ca="1" si="47"/>
        <v>#N/A</v>
      </c>
      <c r="AD460" s="3" t="e">
        <f t="shared" ca="1" si="48"/>
        <v>#N/A</v>
      </c>
    </row>
    <row r="461" spans="8:30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Y461" s="2">
        <f t="shared" ca="1" si="50"/>
        <v>0</v>
      </c>
      <c r="Z461">
        <f t="shared" ca="1" si="51"/>
        <v>0</v>
      </c>
      <c r="AB461" s="63" t="e">
        <f t="shared" ca="1" si="46"/>
        <v>#N/A</v>
      </c>
      <c r="AC461" s="63" t="e">
        <f t="shared" ca="1" si="47"/>
        <v>#N/A</v>
      </c>
      <c r="AD461" s="3" t="e">
        <f t="shared" ca="1" si="48"/>
        <v>#N/A</v>
      </c>
    </row>
    <row r="462" spans="8:30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Y462" s="2">
        <f t="shared" ca="1" si="50"/>
        <v>0</v>
      </c>
      <c r="Z462">
        <f t="shared" ca="1" si="51"/>
        <v>0</v>
      </c>
      <c r="AB462" s="63" t="e">
        <f t="shared" ca="1" si="46"/>
        <v>#N/A</v>
      </c>
      <c r="AC462" s="63" t="e">
        <f t="shared" ca="1" si="47"/>
        <v>#N/A</v>
      </c>
      <c r="AD462" s="3" t="e">
        <f t="shared" ca="1" si="48"/>
        <v>#N/A</v>
      </c>
    </row>
    <row r="463" spans="8:30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Y463" s="2">
        <f t="shared" ca="1" si="50"/>
        <v>0</v>
      </c>
      <c r="Z463">
        <f t="shared" ca="1" si="51"/>
        <v>0</v>
      </c>
      <c r="AB463" s="63" t="e">
        <f t="shared" ca="1" si="46"/>
        <v>#N/A</v>
      </c>
      <c r="AC463" s="63" t="e">
        <f t="shared" ca="1" si="47"/>
        <v>#N/A</v>
      </c>
      <c r="AD463" s="3" t="e">
        <f t="shared" ca="1" si="48"/>
        <v>#N/A</v>
      </c>
    </row>
    <row r="464" spans="8:30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Y464" s="2">
        <f t="shared" ca="1" si="50"/>
        <v>0</v>
      </c>
      <c r="Z464">
        <f t="shared" ca="1" si="51"/>
        <v>0</v>
      </c>
      <c r="AB464" s="63" t="e">
        <f t="shared" ref="AB464:AB500" ca="1" si="53">K463+M464+N464+O464</f>
        <v>#N/A</v>
      </c>
      <c r="AC464" s="63" t="e">
        <f t="shared" ref="AC464:AC500" ca="1" si="54">K464+L464+R464</f>
        <v>#N/A</v>
      </c>
      <c r="AD464" s="3" t="e">
        <f t="shared" ref="AD464:AD500" ca="1" si="55">AC464-AB464</f>
        <v>#N/A</v>
      </c>
    </row>
    <row r="465" spans="8:30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Y465" s="2">
        <f t="shared" ca="1" si="50"/>
        <v>0</v>
      </c>
      <c r="Z465">
        <f t="shared" ca="1" si="51"/>
        <v>0</v>
      </c>
      <c r="AB465" s="63" t="e">
        <f t="shared" ca="1" si="53"/>
        <v>#N/A</v>
      </c>
      <c r="AC465" s="63" t="e">
        <f t="shared" ca="1" si="54"/>
        <v>#N/A</v>
      </c>
      <c r="AD465" s="3" t="e">
        <f t="shared" ca="1" si="55"/>
        <v>#N/A</v>
      </c>
    </row>
    <row r="466" spans="8:30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Y466" s="2">
        <f t="shared" ca="1" si="50"/>
        <v>0</v>
      </c>
      <c r="Z466">
        <f t="shared" ca="1" si="51"/>
        <v>0</v>
      </c>
      <c r="AB466" s="63" t="e">
        <f t="shared" ca="1" si="53"/>
        <v>#N/A</v>
      </c>
      <c r="AC466" s="63" t="e">
        <f t="shared" ca="1" si="54"/>
        <v>#N/A</v>
      </c>
      <c r="AD466" s="3" t="e">
        <f t="shared" ca="1" si="55"/>
        <v>#N/A</v>
      </c>
    </row>
    <row r="467" spans="8:30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Y467" s="2">
        <f t="shared" ca="1" si="50"/>
        <v>0</v>
      </c>
      <c r="Z467">
        <f t="shared" ca="1" si="51"/>
        <v>0</v>
      </c>
      <c r="AB467" s="63" t="e">
        <f t="shared" ca="1" si="53"/>
        <v>#N/A</v>
      </c>
      <c r="AC467" s="63" t="e">
        <f t="shared" ca="1" si="54"/>
        <v>#N/A</v>
      </c>
      <c r="AD467" s="3" t="e">
        <f t="shared" ca="1" si="55"/>
        <v>#N/A</v>
      </c>
    </row>
    <row r="468" spans="8:30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Y468" s="2">
        <f t="shared" ca="1" si="50"/>
        <v>0</v>
      </c>
      <c r="Z468">
        <f t="shared" ca="1" si="51"/>
        <v>0</v>
      </c>
      <c r="AB468" s="63" t="e">
        <f t="shared" ca="1" si="53"/>
        <v>#N/A</v>
      </c>
      <c r="AC468" s="63" t="e">
        <f t="shared" ca="1" si="54"/>
        <v>#N/A</v>
      </c>
      <c r="AD468" s="3" t="e">
        <f t="shared" ca="1" si="55"/>
        <v>#N/A</v>
      </c>
    </row>
    <row r="469" spans="8:30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Y469" s="2">
        <f t="shared" ca="1" si="50"/>
        <v>0</v>
      </c>
      <c r="Z469">
        <f t="shared" ca="1" si="51"/>
        <v>0</v>
      </c>
      <c r="AB469" s="63" t="e">
        <f t="shared" ca="1" si="53"/>
        <v>#N/A</v>
      </c>
      <c r="AC469" s="63" t="e">
        <f t="shared" ca="1" si="54"/>
        <v>#N/A</v>
      </c>
      <c r="AD469" s="3" t="e">
        <f t="shared" ca="1" si="55"/>
        <v>#N/A</v>
      </c>
    </row>
    <row r="470" spans="8:30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Y470" s="2">
        <f t="shared" ca="1" si="50"/>
        <v>0</v>
      </c>
      <c r="Z470">
        <f t="shared" ca="1" si="51"/>
        <v>0</v>
      </c>
      <c r="AB470" s="63" t="e">
        <f t="shared" ca="1" si="53"/>
        <v>#N/A</v>
      </c>
      <c r="AC470" s="63" t="e">
        <f t="shared" ca="1" si="54"/>
        <v>#N/A</v>
      </c>
      <c r="AD470" s="3" t="e">
        <f t="shared" ca="1" si="55"/>
        <v>#N/A</v>
      </c>
    </row>
    <row r="471" spans="8:30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Y471" s="2">
        <f t="shared" ca="1" si="50"/>
        <v>0</v>
      </c>
      <c r="Z471">
        <f t="shared" ca="1" si="51"/>
        <v>0</v>
      </c>
      <c r="AB471" s="63" t="e">
        <f t="shared" ca="1" si="53"/>
        <v>#N/A</v>
      </c>
      <c r="AC471" s="63" t="e">
        <f t="shared" ca="1" si="54"/>
        <v>#N/A</v>
      </c>
      <c r="AD471" s="3" t="e">
        <f t="shared" ca="1" si="55"/>
        <v>#N/A</v>
      </c>
    </row>
    <row r="472" spans="8:30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Y472" s="2">
        <f t="shared" ca="1" si="50"/>
        <v>0</v>
      </c>
      <c r="Z472">
        <f t="shared" ca="1" si="51"/>
        <v>0</v>
      </c>
      <c r="AB472" s="63" t="e">
        <f t="shared" ca="1" si="53"/>
        <v>#N/A</v>
      </c>
      <c r="AC472" s="63" t="e">
        <f t="shared" ca="1" si="54"/>
        <v>#N/A</v>
      </c>
      <c r="AD472" s="3" t="e">
        <f t="shared" ca="1" si="55"/>
        <v>#N/A</v>
      </c>
    </row>
    <row r="473" spans="8:30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Y473" s="2">
        <f t="shared" ca="1" si="50"/>
        <v>0</v>
      </c>
      <c r="Z473">
        <f t="shared" ca="1" si="51"/>
        <v>0</v>
      </c>
      <c r="AB473" s="63" t="e">
        <f t="shared" ca="1" si="53"/>
        <v>#N/A</v>
      </c>
      <c r="AC473" s="63" t="e">
        <f t="shared" ca="1" si="54"/>
        <v>#N/A</v>
      </c>
      <c r="AD473" s="3" t="e">
        <f t="shared" ca="1" si="55"/>
        <v>#N/A</v>
      </c>
    </row>
    <row r="474" spans="8:30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Y474" s="2">
        <f t="shared" ca="1" si="50"/>
        <v>0</v>
      </c>
      <c r="Z474">
        <f t="shared" ca="1" si="51"/>
        <v>0</v>
      </c>
      <c r="AB474" s="63" t="e">
        <f t="shared" ca="1" si="53"/>
        <v>#N/A</v>
      </c>
      <c r="AC474" s="63" t="e">
        <f t="shared" ca="1" si="54"/>
        <v>#N/A</v>
      </c>
      <c r="AD474" s="3" t="e">
        <f t="shared" ca="1" si="55"/>
        <v>#N/A</v>
      </c>
    </row>
    <row r="475" spans="8:30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Y475" s="2">
        <f t="shared" ca="1" si="50"/>
        <v>0</v>
      </c>
      <c r="Z475">
        <f t="shared" ca="1" si="51"/>
        <v>0</v>
      </c>
      <c r="AB475" s="63" t="e">
        <f t="shared" ca="1" si="53"/>
        <v>#N/A</v>
      </c>
      <c r="AC475" s="63" t="e">
        <f t="shared" ca="1" si="54"/>
        <v>#N/A</v>
      </c>
      <c r="AD475" s="3" t="e">
        <f t="shared" ca="1" si="55"/>
        <v>#N/A</v>
      </c>
    </row>
    <row r="476" spans="8:30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Y476" s="2">
        <f t="shared" ca="1" si="50"/>
        <v>0</v>
      </c>
      <c r="Z476">
        <f t="shared" ca="1" si="51"/>
        <v>0</v>
      </c>
      <c r="AB476" s="63" t="e">
        <f t="shared" ca="1" si="53"/>
        <v>#N/A</v>
      </c>
      <c r="AC476" s="63" t="e">
        <f t="shared" ca="1" si="54"/>
        <v>#N/A</v>
      </c>
      <c r="AD476" s="3" t="e">
        <f t="shared" ca="1" si="55"/>
        <v>#N/A</v>
      </c>
    </row>
    <row r="477" spans="8:30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Y477" s="2">
        <f t="shared" ca="1" si="50"/>
        <v>0</v>
      </c>
      <c r="Z477">
        <f t="shared" ca="1" si="51"/>
        <v>0</v>
      </c>
      <c r="AB477" s="63" t="e">
        <f t="shared" ca="1" si="53"/>
        <v>#N/A</v>
      </c>
      <c r="AC477" s="63" t="e">
        <f t="shared" ca="1" si="54"/>
        <v>#N/A</v>
      </c>
      <c r="AD477" s="3" t="e">
        <f t="shared" ca="1" si="55"/>
        <v>#N/A</v>
      </c>
    </row>
    <row r="478" spans="8:30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Y478" s="2">
        <f t="shared" ca="1" si="50"/>
        <v>0</v>
      </c>
      <c r="Z478">
        <f t="shared" ca="1" si="51"/>
        <v>0</v>
      </c>
      <c r="AB478" s="63" t="e">
        <f t="shared" ca="1" si="53"/>
        <v>#N/A</v>
      </c>
      <c r="AC478" s="63" t="e">
        <f t="shared" ca="1" si="54"/>
        <v>#N/A</v>
      </c>
      <c r="AD478" s="3" t="e">
        <f t="shared" ca="1" si="55"/>
        <v>#N/A</v>
      </c>
    </row>
    <row r="479" spans="8:30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Y479" s="2">
        <f t="shared" ca="1" si="50"/>
        <v>0</v>
      </c>
      <c r="Z479">
        <f t="shared" ca="1" si="51"/>
        <v>0</v>
      </c>
      <c r="AB479" s="63" t="e">
        <f t="shared" ca="1" si="53"/>
        <v>#N/A</v>
      </c>
      <c r="AC479" s="63" t="e">
        <f t="shared" ca="1" si="54"/>
        <v>#N/A</v>
      </c>
      <c r="AD479" s="3" t="e">
        <f t="shared" ca="1" si="55"/>
        <v>#N/A</v>
      </c>
    </row>
    <row r="480" spans="8:30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Y480" s="2">
        <f t="shared" ca="1" si="50"/>
        <v>0</v>
      </c>
      <c r="Z480">
        <f t="shared" ca="1" si="51"/>
        <v>0</v>
      </c>
      <c r="AB480" s="63" t="e">
        <f t="shared" ca="1" si="53"/>
        <v>#N/A</v>
      </c>
      <c r="AC480" s="63" t="e">
        <f t="shared" ca="1" si="54"/>
        <v>#N/A</v>
      </c>
      <c r="AD480" s="3" t="e">
        <f t="shared" ca="1" si="55"/>
        <v>#N/A</v>
      </c>
    </row>
    <row r="481" spans="8:30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Y481" s="2">
        <f t="shared" ca="1" si="50"/>
        <v>0</v>
      </c>
      <c r="Z481">
        <f t="shared" ca="1" si="51"/>
        <v>0</v>
      </c>
      <c r="AB481" s="63" t="e">
        <f t="shared" ca="1" si="53"/>
        <v>#N/A</v>
      </c>
      <c r="AC481" s="63" t="e">
        <f t="shared" ca="1" si="54"/>
        <v>#N/A</v>
      </c>
      <c r="AD481" s="3" t="e">
        <f t="shared" ca="1" si="55"/>
        <v>#N/A</v>
      </c>
    </row>
    <row r="482" spans="8:30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Y482" s="2">
        <f t="shared" ca="1" si="50"/>
        <v>0</v>
      </c>
      <c r="Z482">
        <f t="shared" ca="1" si="51"/>
        <v>0</v>
      </c>
      <c r="AB482" s="63" t="e">
        <f t="shared" ca="1" si="53"/>
        <v>#N/A</v>
      </c>
      <c r="AC482" s="63" t="e">
        <f t="shared" ca="1" si="54"/>
        <v>#N/A</v>
      </c>
      <c r="AD482" s="3" t="e">
        <f t="shared" ca="1" si="55"/>
        <v>#N/A</v>
      </c>
    </row>
    <row r="483" spans="8:30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Y483" s="2">
        <f t="shared" ca="1" si="50"/>
        <v>0</v>
      </c>
      <c r="Z483">
        <f t="shared" ca="1" si="51"/>
        <v>0</v>
      </c>
      <c r="AB483" s="63" t="e">
        <f t="shared" ca="1" si="53"/>
        <v>#N/A</v>
      </c>
      <c r="AC483" s="63" t="e">
        <f t="shared" ca="1" si="54"/>
        <v>#N/A</v>
      </c>
      <c r="AD483" s="3" t="e">
        <f t="shared" ca="1" si="55"/>
        <v>#N/A</v>
      </c>
    </row>
    <row r="484" spans="8:30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Y484" s="2">
        <f t="shared" ca="1" si="50"/>
        <v>0</v>
      </c>
      <c r="Z484">
        <f t="shared" ca="1" si="51"/>
        <v>0</v>
      </c>
      <c r="AB484" s="63" t="e">
        <f t="shared" ca="1" si="53"/>
        <v>#N/A</v>
      </c>
      <c r="AC484" s="63" t="e">
        <f t="shared" ca="1" si="54"/>
        <v>#N/A</v>
      </c>
      <c r="AD484" s="3" t="e">
        <f t="shared" ca="1" si="55"/>
        <v>#N/A</v>
      </c>
    </row>
    <row r="485" spans="8:30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Y485" s="2">
        <f t="shared" ca="1" si="50"/>
        <v>0</v>
      </c>
      <c r="Z485">
        <f t="shared" ca="1" si="51"/>
        <v>0</v>
      </c>
      <c r="AB485" s="63" t="e">
        <f t="shared" ca="1" si="53"/>
        <v>#N/A</v>
      </c>
      <c r="AC485" s="63" t="e">
        <f t="shared" ca="1" si="54"/>
        <v>#N/A</v>
      </c>
      <c r="AD485" s="3" t="e">
        <f t="shared" ca="1" si="55"/>
        <v>#N/A</v>
      </c>
    </row>
    <row r="486" spans="8:30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Y486" s="2">
        <f t="shared" ca="1" si="50"/>
        <v>0</v>
      </c>
      <c r="Z486">
        <f t="shared" ca="1" si="51"/>
        <v>0</v>
      </c>
      <c r="AB486" s="63" t="e">
        <f t="shared" ca="1" si="53"/>
        <v>#N/A</v>
      </c>
      <c r="AC486" s="63" t="e">
        <f t="shared" ca="1" si="54"/>
        <v>#N/A</v>
      </c>
      <c r="AD486" s="3" t="e">
        <f t="shared" ca="1" si="55"/>
        <v>#N/A</v>
      </c>
    </row>
    <row r="487" spans="8:30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Y487" s="2">
        <f t="shared" ca="1" si="50"/>
        <v>0</v>
      </c>
      <c r="Z487">
        <f t="shared" ca="1" si="51"/>
        <v>0</v>
      </c>
      <c r="AB487" s="63" t="e">
        <f t="shared" ca="1" si="53"/>
        <v>#N/A</v>
      </c>
      <c r="AC487" s="63" t="e">
        <f t="shared" ca="1" si="54"/>
        <v>#N/A</v>
      </c>
      <c r="AD487" s="3" t="e">
        <f t="shared" ca="1" si="55"/>
        <v>#N/A</v>
      </c>
    </row>
    <row r="488" spans="8:30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Y488" s="2">
        <f t="shared" ca="1" si="50"/>
        <v>0</v>
      </c>
      <c r="Z488">
        <f t="shared" ca="1" si="51"/>
        <v>0</v>
      </c>
      <c r="AB488" s="63" t="e">
        <f t="shared" ca="1" si="53"/>
        <v>#N/A</v>
      </c>
      <c r="AC488" s="63" t="e">
        <f t="shared" ca="1" si="54"/>
        <v>#N/A</v>
      </c>
      <c r="AD488" s="3" t="e">
        <f t="shared" ca="1" si="55"/>
        <v>#N/A</v>
      </c>
    </row>
    <row r="489" spans="8:30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Y489" s="2">
        <f t="shared" ca="1" si="50"/>
        <v>0</v>
      </c>
      <c r="Z489">
        <f t="shared" ca="1" si="51"/>
        <v>0</v>
      </c>
      <c r="AB489" s="63" t="e">
        <f t="shared" ca="1" si="53"/>
        <v>#N/A</v>
      </c>
      <c r="AC489" s="63" t="e">
        <f t="shared" ca="1" si="54"/>
        <v>#N/A</v>
      </c>
      <c r="AD489" s="3" t="e">
        <f t="shared" ca="1" si="55"/>
        <v>#N/A</v>
      </c>
    </row>
    <row r="490" spans="8:30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Y490" s="2">
        <f t="shared" ca="1" si="50"/>
        <v>0</v>
      </c>
      <c r="Z490">
        <f t="shared" ca="1" si="51"/>
        <v>0</v>
      </c>
      <c r="AB490" s="63" t="e">
        <f t="shared" ca="1" si="53"/>
        <v>#N/A</v>
      </c>
      <c r="AC490" s="63" t="e">
        <f t="shared" ca="1" si="54"/>
        <v>#N/A</v>
      </c>
      <c r="AD490" s="3" t="e">
        <f t="shared" ca="1" si="55"/>
        <v>#N/A</v>
      </c>
    </row>
    <row r="491" spans="8:30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Y491" s="2">
        <f t="shared" ca="1" si="50"/>
        <v>0</v>
      </c>
      <c r="Z491">
        <f t="shared" ca="1" si="51"/>
        <v>0</v>
      </c>
      <c r="AB491" s="63" t="e">
        <f t="shared" ca="1" si="53"/>
        <v>#N/A</v>
      </c>
      <c r="AC491" s="63" t="e">
        <f t="shared" ca="1" si="54"/>
        <v>#N/A</v>
      </c>
      <c r="AD491" s="3" t="e">
        <f t="shared" ca="1" si="55"/>
        <v>#N/A</v>
      </c>
    </row>
    <row r="492" spans="8:30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Y492" s="2">
        <f t="shared" ca="1" si="50"/>
        <v>0</v>
      </c>
      <c r="Z492">
        <f t="shared" ca="1" si="51"/>
        <v>0</v>
      </c>
      <c r="AB492" s="63" t="e">
        <f t="shared" ca="1" si="53"/>
        <v>#N/A</v>
      </c>
      <c r="AC492" s="63" t="e">
        <f t="shared" ca="1" si="54"/>
        <v>#N/A</v>
      </c>
      <c r="AD492" s="3" t="e">
        <f t="shared" ca="1" si="55"/>
        <v>#N/A</v>
      </c>
    </row>
    <row r="493" spans="8:30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Y493" s="2">
        <f t="shared" ca="1" si="50"/>
        <v>0</v>
      </c>
      <c r="Z493">
        <f t="shared" ca="1" si="51"/>
        <v>0</v>
      </c>
      <c r="AB493" s="63" t="e">
        <f t="shared" ca="1" si="53"/>
        <v>#N/A</v>
      </c>
      <c r="AC493" s="63" t="e">
        <f t="shared" ca="1" si="54"/>
        <v>#N/A</v>
      </c>
      <c r="AD493" s="3" t="e">
        <f t="shared" ca="1" si="55"/>
        <v>#N/A</v>
      </c>
    </row>
    <row r="494" spans="8:30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Y494" s="2">
        <f t="shared" ca="1" si="50"/>
        <v>0</v>
      </c>
      <c r="Z494">
        <f t="shared" ca="1" si="51"/>
        <v>0</v>
      </c>
      <c r="AB494" s="63" t="e">
        <f t="shared" ca="1" si="53"/>
        <v>#N/A</v>
      </c>
      <c r="AC494" s="63" t="e">
        <f t="shared" ca="1" si="54"/>
        <v>#N/A</v>
      </c>
      <c r="AD494" s="3" t="e">
        <f t="shared" ca="1" si="55"/>
        <v>#N/A</v>
      </c>
    </row>
    <row r="495" spans="8:30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Y495" s="2">
        <f t="shared" ca="1" si="50"/>
        <v>0</v>
      </c>
      <c r="Z495">
        <f t="shared" ca="1" si="51"/>
        <v>0</v>
      </c>
      <c r="AB495" s="63" t="e">
        <f t="shared" ca="1" si="53"/>
        <v>#N/A</v>
      </c>
      <c r="AC495" s="63" t="e">
        <f t="shared" ca="1" si="54"/>
        <v>#N/A</v>
      </c>
      <c r="AD495" s="3" t="e">
        <f t="shared" ca="1" si="55"/>
        <v>#N/A</v>
      </c>
    </row>
    <row r="496" spans="8:30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Y496" s="2">
        <f t="shared" ca="1" si="50"/>
        <v>0</v>
      </c>
      <c r="Z496">
        <f t="shared" ca="1" si="51"/>
        <v>0</v>
      </c>
      <c r="AB496" s="63" t="e">
        <f t="shared" ca="1" si="53"/>
        <v>#N/A</v>
      </c>
      <c r="AC496" s="63" t="e">
        <f t="shared" ca="1" si="54"/>
        <v>#N/A</v>
      </c>
      <c r="AD496" s="3" t="e">
        <f t="shared" ca="1" si="55"/>
        <v>#N/A</v>
      </c>
    </row>
    <row r="497" spans="8:30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Y497" s="2">
        <f t="shared" ca="1" si="50"/>
        <v>0</v>
      </c>
      <c r="Z497">
        <f t="shared" ca="1" si="51"/>
        <v>0</v>
      </c>
      <c r="AB497" s="63" t="e">
        <f t="shared" ca="1" si="53"/>
        <v>#N/A</v>
      </c>
      <c r="AC497" s="63" t="e">
        <f t="shared" ca="1" si="54"/>
        <v>#N/A</v>
      </c>
      <c r="AD497" s="3" t="e">
        <f t="shared" ca="1" si="55"/>
        <v>#N/A</v>
      </c>
    </row>
    <row r="498" spans="8:30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Y498" s="2">
        <f t="shared" ca="1" si="50"/>
        <v>0</v>
      </c>
      <c r="Z498">
        <f t="shared" ca="1" si="51"/>
        <v>0</v>
      </c>
      <c r="AB498" s="63" t="e">
        <f t="shared" ca="1" si="53"/>
        <v>#N/A</v>
      </c>
      <c r="AC498" s="63" t="e">
        <f t="shared" ca="1" si="54"/>
        <v>#N/A</v>
      </c>
      <c r="AD498" s="3" t="e">
        <f t="shared" ca="1" si="55"/>
        <v>#N/A</v>
      </c>
    </row>
    <row r="499" spans="8:30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Y499" s="2">
        <f t="shared" ca="1" si="50"/>
        <v>0</v>
      </c>
      <c r="Z499">
        <f t="shared" ca="1" si="51"/>
        <v>0</v>
      </c>
      <c r="AB499" s="63" t="e">
        <f t="shared" ca="1" si="53"/>
        <v>#N/A</v>
      </c>
      <c r="AC499" s="63" t="e">
        <f t="shared" ca="1" si="54"/>
        <v>#N/A</v>
      </c>
      <c r="AD499" s="3" t="e">
        <f t="shared" ca="1" si="55"/>
        <v>#N/A</v>
      </c>
    </row>
    <row r="500" spans="8:30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Y500" s="2">
        <f t="shared" ca="1" si="50"/>
        <v>0</v>
      </c>
      <c r="Z500">
        <f t="shared" ca="1" si="51"/>
        <v>0</v>
      </c>
      <c r="AB500" s="63" t="e">
        <f t="shared" ca="1" si="53"/>
        <v>#N/A</v>
      </c>
      <c r="AC500" s="63" t="e">
        <f t="shared" ca="1" si="54"/>
        <v>#N/A</v>
      </c>
      <c r="AD500" s="3" t="e">
        <f t="shared" ca="1" si="55"/>
        <v>#N/A</v>
      </c>
    </row>
    <row r="501" spans="8:30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Y501" s="2">
        <f t="shared" ref="Y501:Y564" ca="1" si="58">IFERROR(J501,$Y$9)</f>
        <v>0</v>
      </c>
      <c r="Z501">
        <f t="shared" ref="Z501:Z564" ca="1" si="59">IFERROR(O501,0)</f>
        <v>0</v>
      </c>
      <c r="AB501" s="63" t="e">
        <f t="shared" ref="AB501:AB564" ca="1" si="60">K500+M501+N501+O501</f>
        <v>#N/A</v>
      </c>
      <c r="AC501" s="63" t="e">
        <f t="shared" ref="AC501:AC564" ca="1" si="61">K501+L501+R501</f>
        <v>#N/A</v>
      </c>
      <c r="AD501" s="3" t="e">
        <f t="shared" ref="AD501:AD564" ca="1" si="62">AC501-AB501</f>
        <v>#N/A</v>
      </c>
    </row>
    <row r="502" spans="8:30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Y502" s="2">
        <f t="shared" ca="1" si="58"/>
        <v>0</v>
      </c>
      <c r="Z502">
        <f t="shared" ca="1" si="59"/>
        <v>0</v>
      </c>
      <c r="AB502" s="63" t="e">
        <f t="shared" ca="1" si="60"/>
        <v>#N/A</v>
      </c>
      <c r="AC502" s="63" t="e">
        <f t="shared" ca="1" si="61"/>
        <v>#N/A</v>
      </c>
      <c r="AD502" s="3" t="e">
        <f t="shared" ca="1" si="62"/>
        <v>#N/A</v>
      </c>
    </row>
    <row r="503" spans="8:30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Y503" s="2">
        <f t="shared" ca="1" si="58"/>
        <v>0</v>
      </c>
      <c r="Z503">
        <f t="shared" ca="1" si="59"/>
        <v>0</v>
      </c>
      <c r="AB503" s="63" t="e">
        <f t="shared" ca="1" si="60"/>
        <v>#N/A</v>
      </c>
      <c r="AC503" s="63" t="e">
        <f t="shared" ca="1" si="61"/>
        <v>#N/A</v>
      </c>
      <c r="AD503" s="3" t="e">
        <f t="shared" ca="1" si="62"/>
        <v>#N/A</v>
      </c>
    </row>
    <row r="504" spans="8:30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Y504" s="2">
        <f t="shared" ca="1" si="58"/>
        <v>0</v>
      </c>
      <c r="Z504">
        <f t="shared" ca="1" si="59"/>
        <v>0</v>
      </c>
      <c r="AB504" s="63" t="e">
        <f t="shared" ca="1" si="60"/>
        <v>#N/A</v>
      </c>
      <c r="AC504" s="63" t="e">
        <f t="shared" ca="1" si="61"/>
        <v>#N/A</v>
      </c>
      <c r="AD504" s="3" t="e">
        <f t="shared" ca="1" si="62"/>
        <v>#N/A</v>
      </c>
    </row>
    <row r="505" spans="8:30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Y505" s="2">
        <f t="shared" ca="1" si="58"/>
        <v>0</v>
      </c>
      <c r="Z505">
        <f t="shared" ca="1" si="59"/>
        <v>0</v>
      </c>
      <c r="AB505" s="63" t="e">
        <f t="shared" ca="1" si="60"/>
        <v>#N/A</v>
      </c>
      <c r="AC505" s="63" t="e">
        <f t="shared" ca="1" si="61"/>
        <v>#N/A</v>
      </c>
      <c r="AD505" s="3" t="e">
        <f t="shared" ca="1" si="62"/>
        <v>#N/A</v>
      </c>
    </row>
    <row r="506" spans="8:30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Y506" s="2">
        <f t="shared" ca="1" si="58"/>
        <v>0</v>
      </c>
      <c r="Z506">
        <f t="shared" ca="1" si="59"/>
        <v>0</v>
      </c>
      <c r="AB506" s="63" t="e">
        <f t="shared" ca="1" si="60"/>
        <v>#N/A</v>
      </c>
      <c r="AC506" s="63" t="e">
        <f t="shared" ca="1" si="61"/>
        <v>#N/A</v>
      </c>
      <c r="AD506" s="3" t="e">
        <f t="shared" ca="1" si="62"/>
        <v>#N/A</v>
      </c>
    </row>
    <row r="507" spans="8:30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Y507" s="2">
        <f t="shared" ca="1" si="58"/>
        <v>0</v>
      </c>
      <c r="Z507">
        <f t="shared" ca="1" si="59"/>
        <v>0</v>
      </c>
      <c r="AB507" s="63" t="e">
        <f t="shared" ca="1" si="60"/>
        <v>#N/A</v>
      </c>
      <c r="AC507" s="63" t="e">
        <f t="shared" ca="1" si="61"/>
        <v>#N/A</v>
      </c>
      <c r="AD507" s="3" t="e">
        <f t="shared" ca="1" si="62"/>
        <v>#N/A</v>
      </c>
    </row>
    <row r="508" spans="8:30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Y508" s="2">
        <f t="shared" ca="1" si="58"/>
        <v>0</v>
      </c>
      <c r="Z508">
        <f t="shared" ca="1" si="59"/>
        <v>0</v>
      </c>
      <c r="AB508" s="63" t="e">
        <f t="shared" ca="1" si="60"/>
        <v>#N/A</v>
      </c>
      <c r="AC508" s="63" t="e">
        <f t="shared" ca="1" si="61"/>
        <v>#N/A</v>
      </c>
      <c r="AD508" s="3" t="e">
        <f t="shared" ca="1" si="62"/>
        <v>#N/A</v>
      </c>
    </row>
    <row r="509" spans="8:30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Y509" s="2">
        <f t="shared" ca="1" si="58"/>
        <v>0</v>
      </c>
      <c r="Z509">
        <f t="shared" ca="1" si="59"/>
        <v>0</v>
      </c>
      <c r="AB509" s="63" t="e">
        <f t="shared" ca="1" si="60"/>
        <v>#N/A</v>
      </c>
      <c r="AC509" s="63" t="e">
        <f t="shared" ca="1" si="61"/>
        <v>#N/A</v>
      </c>
      <c r="AD509" s="3" t="e">
        <f t="shared" ca="1" si="62"/>
        <v>#N/A</v>
      </c>
    </row>
    <row r="510" spans="8:30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Y510" s="2">
        <f t="shared" ca="1" si="58"/>
        <v>0</v>
      </c>
      <c r="Z510">
        <f t="shared" ca="1" si="59"/>
        <v>0</v>
      </c>
      <c r="AB510" s="63" t="e">
        <f t="shared" ca="1" si="60"/>
        <v>#N/A</v>
      </c>
      <c r="AC510" s="63" t="e">
        <f t="shared" ca="1" si="61"/>
        <v>#N/A</v>
      </c>
      <c r="AD510" s="3" t="e">
        <f t="shared" ca="1" si="62"/>
        <v>#N/A</v>
      </c>
    </row>
    <row r="511" spans="8:30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Y511" s="2">
        <f t="shared" ca="1" si="58"/>
        <v>0</v>
      </c>
      <c r="Z511">
        <f t="shared" ca="1" si="59"/>
        <v>0</v>
      </c>
      <c r="AB511" s="63" t="e">
        <f t="shared" ca="1" si="60"/>
        <v>#N/A</v>
      </c>
      <c r="AC511" s="63" t="e">
        <f t="shared" ca="1" si="61"/>
        <v>#N/A</v>
      </c>
      <c r="AD511" s="3" t="e">
        <f t="shared" ca="1" si="62"/>
        <v>#N/A</v>
      </c>
    </row>
    <row r="512" spans="8:30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Y512" s="2">
        <f t="shared" ca="1" si="58"/>
        <v>0</v>
      </c>
      <c r="Z512">
        <f t="shared" ca="1" si="59"/>
        <v>0</v>
      </c>
      <c r="AB512" s="63" t="e">
        <f t="shared" ca="1" si="60"/>
        <v>#N/A</v>
      </c>
      <c r="AC512" s="63" t="e">
        <f t="shared" ca="1" si="61"/>
        <v>#N/A</v>
      </c>
      <c r="AD512" s="3" t="e">
        <f t="shared" ca="1" si="62"/>
        <v>#N/A</v>
      </c>
    </row>
    <row r="513" spans="8:30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Y513" s="2">
        <f t="shared" ca="1" si="58"/>
        <v>0</v>
      </c>
      <c r="Z513">
        <f t="shared" ca="1" si="59"/>
        <v>0</v>
      </c>
      <c r="AB513" s="63" t="e">
        <f t="shared" ca="1" si="60"/>
        <v>#N/A</v>
      </c>
      <c r="AC513" s="63" t="e">
        <f t="shared" ca="1" si="61"/>
        <v>#N/A</v>
      </c>
      <c r="AD513" s="3" t="e">
        <f t="shared" ca="1" si="62"/>
        <v>#N/A</v>
      </c>
    </row>
    <row r="514" spans="8:30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Y514" s="2">
        <f t="shared" ca="1" si="58"/>
        <v>0</v>
      </c>
      <c r="Z514">
        <f t="shared" ca="1" si="59"/>
        <v>0</v>
      </c>
      <c r="AB514" s="63" t="e">
        <f t="shared" ca="1" si="60"/>
        <v>#N/A</v>
      </c>
      <c r="AC514" s="63" t="e">
        <f t="shared" ca="1" si="61"/>
        <v>#N/A</v>
      </c>
      <c r="AD514" s="3" t="e">
        <f t="shared" ca="1" si="62"/>
        <v>#N/A</v>
      </c>
    </row>
    <row r="515" spans="8:30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Y515" s="2">
        <f t="shared" ca="1" si="58"/>
        <v>0</v>
      </c>
      <c r="Z515">
        <f t="shared" ca="1" si="59"/>
        <v>0</v>
      </c>
      <c r="AB515" s="63" t="e">
        <f t="shared" ca="1" si="60"/>
        <v>#N/A</v>
      </c>
      <c r="AC515" s="63" t="e">
        <f t="shared" ca="1" si="61"/>
        <v>#N/A</v>
      </c>
      <c r="AD515" s="3" t="e">
        <f t="shared" ca="1" si="62"/>
        <v>#N/A</v>
      </c>
    </row>
    <row r="516" spans="8:30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Y516" s="2">
        <f t="shared" ca="1" si="58"/>
        <v>0</v>
      </c>
      <c r="Z516">
        <f t="shared" ca="1" si="59"/>
        <v>0</v>
      </c>
      <c r="AB516" s="63" t="e">
        <f t="shared" ca="1" si="60"/>
        <v>#N/A</v>
      </c>
      <c r="AC516" s="63" t="e">
        <f t="shared" ca="1" si="61"/>
        <v>#N/A</v>
      </c>
      <c r="AD516" s="3" t="e">
        <f t="shared" ca="1" si="62"/>
        <v>#N/A</v>
      </c>
    </row>
    <row r="517" spans="8:30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Y517" s="2">
        <f t="shared" ca="1" si="58"/>
        <v>0</v>
      </c>
      <c r="Z517">
        <f t="shared" ca="1" si="59"/>
        <v>0</v>
      </c>
      <c r="AB517" s="63" t="e">
        <f t="shared" ca="1" si="60"/>
        <v>#N/A</v>
      </c>
      <c r="AC517" s="63" t="e">
        <f t="shared" ca="1" si="61"/>
        <v>#N/A</v>
      </c>
      <c r="AD517" s="3" t="e">
        <f t="shared" ca="1" si="62"/>
        <v>#N/A</v>
      </c>
    </row>
    <row r="518" spans="8:30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Y518" s="2">
        <f t="shared" ca="1" si="58"/>
        <v>0</v>
      </c>
      <c r="Z518">
        <f t="shared" ca="1" si="59"/>
        <v>0</v>
      </c>
      <c r="AB518" s="63" t="e">
        <f t="shared" ca="1" si="60"/>
        <v>#N/A</v>
      </c>
      <c r="AC518" s="63" t="e">
        <f t="shared" ca="1" si="61"/>
        <v>#N/A</v>
      </c>
      <c r="AD518" s="3" t="e">
        <f t="shared" ca="1" si="62"/>
        <v>#N/A</v>
      </c>
    </row>
    <row r="519" spans="8:30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Y519" s="2">
        <f t="shared" ca="1" si="58"/>
        <v>0</v>
      </c>
      <c r="Z519">
        <f t="shared" ca="1" si="59"/>
        <v>0</v>
      </c>
      <c r="AB519" s="63" t="e">
        <f t="shared" ca="1" si="60"/>
        <v>#N/A</v>
      </c>
      <c r="AC519" s="63" t="e">
        <f t="shared" ca="1" si="61"/>
        <v>#N/A</v>
      </c>
      <c r="AD519" s="3" t="e">
        <f t="shared" ca="1" si="62"/>
        <v>#N/A</v>
      </c>
    </row>
    <row r="520" spans="8:30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Y520" s="2">
        <f t="shared" ca="1" si="58"/>
        <v>0</v>
      </c>
      <c r="Z520">
        <f t="shared" ca="1" si="59"/>
        <v>0</v>
      </c>
      <c r="AB520" s="63" t="e">
        <f t="shared" ca="1" si="60"/>
        <v>#N/A</v>
      </c>
      <c r="AC520" s="63" t="e">
        <f t="shared" ca="1" si="61"/>
        <v>#N/A</v>
      </c>
      <c r="AD520" s="3" t="e">
        <f t="shared" ca="1" si="62"/>
        <v>#N/A</v>
      </c>
    </row>
    <row r="521" spans="8:30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Y521" s="2">
        <f t="shared" ca="1" si="58"/>
        <v>0</v>
      </c>
      <c r="Z521">
        <f t="shared" ca="1" si="59"/>
        <v>0</v>
      </c>
      <c r="AB521" s="63" t="e">
        <f t="shared" ca="1" si="60"/>
        <v>#N/A</v>
      </c>
      <c r="AC521" s="63" t="e">
        <f t="shared" ca="1" si="61"/>
        <v>#N/A</v>
      </c>
      <c r="AD521" s="3" t="e">
        <f t="shared" ca="1" si="62"/>
        <v>#N/A</v>
      </c>
    </row>
    <row r="522" spans="8:30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Y522" s="2">
        <f t="shared" ca="1" si="58"/>
        <v>0</v>
      </c>
      <c r="Z522">
        <f t="shared" ca="1" si="59"/>
        <v>0</v>
      </c>
      <c r="AB522" s="63" t="e">
        <f t="shared" ca="1" si="60"/>
        <v>#N/A</v>
      </c>
      <c r="AC522" s="63" t="e">
        <f t="shared" ca="1" si="61"/>
        <v>#N/A</v>
      </c>
      <c r="AD522" s="3" t="e">
        <f t="shared" ca="1" si="62"/>
        <v>#N/A</v>
      </c>
    </row>
    <row r="523" spans="8:30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Y523" s="2">
        <f t="shared" ca="1" si="58"/>
        <v>0</v>
      </c>
      <c r="Z523">
        <f t="shared" ca="1" si="59"/>
        <v>0</v>
      </c>
      <c r="AB523" s="63" t="e">
        <f t="shared" ca="1" si="60"/>
        <v>#N/A</v>
      </c>
      <c r="AC523" s="63" t="e">
        <f t="shared" ca="1" si="61"/>
        <v>#N/A</v>
      </c>
      <c r="AD523" s="3" t="e">
        <f t="shared" ca="1" si="62"/>
        <v>#N/A</v>
      </c>
    </row>
    <row r="524" spans="8:30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Y524" s="2">
        <f t="shared" ca="1" si="58"/>
        <v>0</v>
      </c>
      <c r="Z524">
        <f t="shared" ca="1" si="59"/>
        <v>0</v>
      </c>
      <c r="AB524" s="63" t="e">
        <f t="shared" ca="1" si="60"/>
        <v>#N/A</v>
      </c>
      <c r="AC524" s="63" t="e">
        <f t="shared" ca="1" si="61"/>
        <v>#N/A</v>
      </c>
      <c r="AD524" s="3" t="e">
        <f t="shared" ca="1" si="62"/>
        <v>#N/A</v>
      </c>
    </row>
    <row r="525" spans="8:30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Y525" s="2">
        <f t="shared" ca="1" si="58"/>
        <v>0</v>
      </c>
      <c r="Z525">
        <f t="shared" ca="1" si="59"/>
        <v>0</v>
      </c>
      <c r="AB525" s="63" t="e">
        <f t="shared" ca="1" si="60"/>
        <v>#N/A</v>
      </c>
      <c r="AC525" s="63" t="e">
        <f t="shared" ca="1" si="61"/>
        <v>#N/A</v>
      </c>
      <c r="AD525" s="3" t="e">
        <f t="shared" ca="1" si="62"/>
        <v>#N/A</v>
      </c>
    </row>
    <row r="526" spans="8:30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Y526" s="2">
        <f t="shared" ca="1" si="58"/>
        <v>0</v>
      </c>
      <c r="Z526">
        <f t="shared" ca="1" si="59"/>
        <v>0</v>
      </c>
      <c r="AB526" s="63" t="e">
        <f t="shared" ca="1" si="60"/>
        <v>#N/A</v>
      </c>
      <c r="AC526" s="63" t="e">
        <f t="shared" ca="1" si="61"/>
        <v>#N/A</v>
      </c>
      <c r="AD526" s="3" t="e">
        <f t="shared" ca="1" si="62"/>
        <v>#N/A</v>
      </c>
    </row>
    <row r="527" spans="8:30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Y527" s="2">
        <f t="shared" ca="1" si="58"/>
        <v>0</v>
      </c>
      <c r="Z527">
        <f t="shared" ca="1" si="59"/>
        <v>0</v>
      </c>
      <c r="AB527" s="63" t="e">
        <f t="shared" ca="1" si="60"/>
        <v>#N/A</v>
      </c>
      <c r="AC527" s="63" t="e">
        <f t="shared" ca="1" si="61"/>
        <v>#N/A</v>
      </c>
      <c r="AD527" s="3" t="e">
        <f t="shared" ca="1" si="62"/>
        <v>#N/A</v>
      </c>
    </row>
    <row r="528" spans="8:30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Y528" s="2">
        <f t="shared" ca="1" si="58"/>
        <v>0</v>
      </c>
      <c r="Z528">
        <f t="shared" ca="1" si="59"/>
        <v>0</v>
      </c>
      <c r="AB528" s="63" t="e">
        <f t="shared" ca="1" si="60"/>
        <v>#N/A</v>
      </c>
      <c r="AC528" s="63" t="e">
        <f t="shared" ca="1" si="61"/>
        <v>#N/A</v>
      </c>
      <c r="AD528" s="3" t="e">
        <f t="shared" ca="1" si="62"/>
        <v>#N/A</v>
      </c>
    </row>
    <row r="529" spans="8:30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Y529" s="2">
        <f t="shared" ca="1" si="58"/>
        <v>0</v>
      </c>
      <c r="Z529">
        <f t="shared" ca="1" si="59"/>
        <v>0</v>
      </c>
      <c r="AB529" s="63" t="e">
        <f t="shared" ca="1" si="60"/>
        <v>#N/A</v>
      </c>
      <c r="AC529" s="63" t="e">
        <f t="shared" ca="1" si="61"/>
        <v>#N/A</v>
      </c>
      <c r="AD529" s="3" t="e">
        <f t="shared" ca="1" si="62"/>
        <v>#N/A</v>
      </c>
    </row>
    <row r="530" spans="8:30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Y530" s="2">
        <f t="shared" ca="1" si="58"/>
        <v>0</v>
      </c>
      <c r="Z530">
        <f t="shared" ca="1" si="59"/>
        <v>0</v>
      </c>
      <c r="AB530" s="63" t="e">
        <f t="shared" ca="1" si="60"/>
        <v>#N/A</v>
      </c>
      <c r="AC530" s="63" t="e">
        <f t="shared" ca="1" si="61"/>
        <v>#N/A</v>
      </c>
      <c r="AD530" s="3" t="e">
        <f t="shared" ca="1" si="62"/>
        <v>#N/A</v>
      </c>
    </row>
    <row r="531" spans="8:30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Y531" s="2">
        <f t="shared" ca="1" si="58"/>
        <v>0</v>
      </c>
      <c r="Z531">
        <f t="shared" ca="1" si="59"/>
        <v>0</v>
      </c>
      <c r="AB531" s="63" t="e">
        <f t="shared" ca="1" si="60"/>
        <v>#N/A</v>
      </c>
      <c r="AC531" s="63" t="e">
        <f t="shared" ca="1" si="61"/>
        <v>#N/A</v>
      </c>
      <c r="AD531" s="3" t="e">
        <f t="shared" ca="1" si="62"/>
        <v>#N/A</v>
      </c>
    </row>
    <row r="532" spans="8:30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Y532" s="2">
        <f t="shared" ca="1" si="58"/>
        <v>0</v>
      </c>
      <c r="Z532">
        <f t="shared" ca="1" si="59"/>
        <v>0</v>
      </c>
      <c r="AB532" s="63" t="e">
        <f t="shared" ca="1" si="60"/>
        <v>#N/A</v>
      </c>
      <c r="AC532" s="63" t="e">
        <f t="shared" ca="1" si="61"/>
        <v>#N/A</v>
      </c>
      <c r="AD532" s="3" t="e">
        <f t="shared" ca="1" si="62"/>
        <v>#N/A</v>
      </c>
    </row>
    <row r="533" spans="8:30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Y533" s="2">
        <f t="shared" ca="1" si="58"/>
        <v>0</v>
      </c>
      <c r="Z533">
        <f t="shared" ca="1" si="59"/>
        <v>0</v>
      </c>
      <c r="AB533" s="63" t="e">
        <f t="shared" ca="1" si="60"/>
        <v>#N/A</v>
      </c>
      <c r="AC533" s="63" t="e">
        <f t="shared" ca="1" si="61"/>
        <v>#N/A</v>
      </c>
      <c r="AD533" s="3" t="e">
        <f t="shared" ca="1" si="62"/>
        <v>#N/A</v>
      </c>
    </row>
    <row r="534" spans="8:30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Y534" s="2">
        <f t="shared" ca="1" si="58"/>
        <v>0</v>
      </c>
      <c r="Z534">
        <f t="shared" ca="1" si="59"/>
        <v>0</v>
      </c>
      <c r="AB534" s="63" t="e">
        <f t="shared" ca="1" si="60"/>
        <v>#N/A</v>
      </c>
      <c r="AC534" s="63" t="e">
        <f t="shared" ca="1" si="61"/>
        <v>#N/A</v>
      </c>
      <c r="AD534" s="3" t="e">
        <f t="shared" ca="1" si="62"/>
        <v>#N/A</v>
      </c>
    </row>
    <row r="535" spans="8:30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Y535" s="2">
        <f t="shared" ca="1" si="58"/>
        <v>0</v>
      </c>
      <c r="Z535">
        <f t="shared" ca="1" si="59"/>
        <v>0</v>
      </c>
      <c r="AB535" s="63" t="e">
        <f t="shared" ca="1" si="60"/>
        <v>#N/A</v>
      </c>
      <c r="AC535" s="63" t="e">
        <f t="shared" ca="1" si="61"/>
        <v>#N/A</v>
      </c>
      <c r="AD535" s="3" t="e">
        <f t="shared" ca="1" si="62"/>
        <v>#N/A</v>
      </c>
    </row>
    <row r="536" spans="8:30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Y536" s="2">
        <f t="shared" ca="1" si="58"/>
        <v>0</v>
      </c>
      <c r="Z536">
        <f t="shared" ca="1" si="59"/>
        <v>0</v>
      </c>
      <c r="AB536" s="63" t="e">
        <f t="shared" ca="1" si="60"/>
        <v>#N/A</v>
      </c>
      <c r="AC536" s="63" t="e">
        <f t="shared" ca="1" si="61"/>
        <v>#N/A</v>
      </c>
      <c r="AD536" s="3" t="e">
        <f t="shared" ca="1" si="62"/>
        <v>#N/A</v>
      </c>
    </row>
    <row r="537" spans="8:30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Y537" s="2">
        <f t="shared" ca="1" si="58"/>
        <v>0</v>
      </c>
      <c r="Z537">
        <f t="shared" ca="1" si="59"/>
        <v>0</v>
      </c>
      <c r="AB537" s="63" t="e">
        <f t="shared" ca="1" si="60"/>
        <v>#N/A</v>
      </c>
      <c r="AC537" s="63" t="e">
        <f t="shared" ca="1" si="61"/>
        <v>#N/A</v>
      </c>
      <c r="AD537" s="3" t="e">
        <f t="shared" ca="1" si="62"/>
        <v>#N/A</v>
      </c>
    </row>
    <row r="538" spans="8:30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Y538" s="2">
        <f t="shared" ca="1" si="58"/>
        <v>0</v>
      </c>
      <c r="Z538">
        <f t="shared" ca="1" si="59"/>
        <v>0</v>
      </c>
      <c r="AB538" s="63" t="e">
        <f t="shared" ca="1" si="60"/>
        <v>#N/A</v>
      </c>
      <c r="AC538" s="63" t="e">
        <f t="shared" ca="1" si="61"/>
        <v>#N/A</v>
      </c>
      <c r="AD538" s="3" t="e">
        <f t="shared" ca="1" si="62"/>
        <v>#N/A</v>
      </c>
    </row>
    <row r="539" spans="8:30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Y539" s="2">
        <f t="shared" ca="1" si="58"/>
        <v>0</v>
      </c>
      <c r="Z539">
        <f t="shared" ca="1" si="59"/>
        <v>0</v>
      </c>
      <c r="AB539" s="63" t="e">
        <f t="shared" ca="1" si="60"/>
        <v>#N/A</v>
      </c>
      <c r="AC539" s="63" t="e">
        <f t="shared" ca="1" si="61"/>
        <v>#N/A</v>
      </c>
      <c r="AD539" s="3" t="e">
        <f t="shared" ca="1" si="62"/>
        <v>#N/A</v>
      </c>
    </row>
    <row r="540" spans="8:30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Y540" s="2">
        <f t="shared" ca="1" si="58"/>
        <v>0</v>
      </c>
      <c r="Z540">
        <f t="shared" ca="1" si="59"/>
        <v>0</v>
      </c>
      <c r="AB540" s="63" t="e">
        <f t="shared" ca="1" si="60"/>
        <v>#N/A</v>
      </c>
      <c r="AC540" s="63" t="e">
        <f t="shared" ca="1" si="61"/>
        <v>#N/A</v>
      </c>
      <c r="AD540" s="3" t="e">
        <f t="shared" ca="1" si="62"/>
        <v>#N/A</v>
      </c>
    </row>
    <row r="541" spans="8:30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Y541" s="2">
        <f t="shared" ca="1" si="58"/>
        <v>0</v>
      </c>
      <c r="Z541">
        <f t="shared" ca="1" si="59"/>
        <v>0</v>
      </c>
      <c r="AB541" s="63" t="e">
        <f t="shared" ca="1" si="60"/>
        <v>#N/A</v>
      </c>
      <c r="AC541" s="63" t="e">
        <f t="shared" ca="1" si="61"/>
        <v>#N/A</v>
      </c>
      <c r="AD541" s="3" t="e">
        <f t="shared" ca="1" si="62"/>
        <v>#N/A</v>
      </c>
    </row>
    <row r="542" spans="8:30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Y542" s="2">
        <f t="shared" ca="1" si="58"/>
        <v>0</v>
      </c>
      <c r="Z542">
        <f t="shared" ca="1" si="59"/>
        <v>0</v>
      </c>
      <c r="AB542" s="63" t="e">
        <f t="shared" ca="1" si="60"/>
        <v>#N/A</v>
      </c>
      <c r="AC542" s="63" t="e">
        <f t="shared" ca="1" si="61"/>
        <v>#N/A</v>
      </c>
      <c r="AD542" s="3" t="e">
        <f t="shared" ca="1" si="62"/>
        <v>#N/A</v>
      </c>
    </row>
    <row r="543" spans="8:30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Y543" s="2">
        <f t="shared" ca="1" si="58"/>
        <v>0</v>
      </c>
      <c r="Z543">
        <f t="shared" ca="1" si="59"/>
        <v>0</v>
      </c>
      <c r="AB543" s="63" t="e">
        <f t="shared" ca="1" si="60"/>
        <v>#N/A</v>
      </c>
      <c r="AC543" s="63" t="e">
        <f t="shared" ca="1" si="61"/>
        <v>#N/A</v>
      </c>
      <c r="AD543" s="3" t="e">
        <f t="shared" ca="1" si="62"/>
        <v>#N/A</v>
      </c>
    </row>
    <row r="544" spans="8:30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Y544" s="2">
        <f t="shared" ca="1" si="58"/>
        <v>0</v>
      </c>
      <c r="Z544">
        <f t="shared" ca="1" si="59"/>
        <v>0</v>
      </c>
      <c r="AB544" s="63" t="e">
        <f t="shared" ca="1" si="60"/>
        <v>#N/A</v>
      </c>
      <c r="AC544" s="63" t="e">
        <f t="shared" ca="1" si="61"/>
        <v>#N/A</v>
      </c>
      <c r="AD544" s="3" t="e">
        <f t="shared" ca="1" si="62"/>
        <v>#N/A</v>
      </c>
    </row>
    <row r="545" spans="8:30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Y545" s="2">
        <f t="shared" ca="1" si="58"/>
        <v>0</v>
      </c>
      <c r="Z545">
        <f t="shared" ca="1" si="59"/>
        <v>0</v>
      </c>
      <c r="AB545" s="63" t="e">
        <f t="shared" ca="1" si="60"/>
        <v>#N/A</v>
      </c>
      <c r="AC545" s="63" t="e">
        <f t="shared" ca="1" si="61"/>
        <v>#N/A</v>
      </c>
      <c r="AD545" s="3" t="e">
        <f t="shared" ca="1" si="62"/>
        <v>#N/A</v>
      </c>
    </row>
    <row r="546" spans="8:30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Y546" s="2">
        <f t="shared" ca="1" si="58"/>
        <v>0</v>
      </c>
      <c r="Z546">
        <f t="shared" ca="1" si="59"/>
        <v>0</v>
      </c>
      <c r="AB546" s="63" t="e">
        <f t="shared" ca="1" si="60"/>
        <v>#N/A</v>
      </c>
      <c r="AC546" s="63" t="e">
        <f t="shared" ca="1" si="61"/>
        <v>#N/A</v>
      </c>
      <c r="AD546" s="3" t="e">
        <f t="shared" ca="1" si="62"/>
        <v>#N/A</v>
      </c>
    </row>
    <row r="547" spans="8:30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Y547" s="2">
        <f t="shared" ca="1" si="58"/>
        <v>0</v>
      </c>
      <c r="Z547">
        <f t="shared" ca="1" si="59"/>
        <v>0</v>
      </c>
      <c r="AB547" s="63" t="e">
        <f t="shared" ca="1" si="60"/>
        <v>#N/A</v>
      </c>
      <c r="AC547" s="63" t="e">
        <f t="shared" ca="1" si="61"/>
        <v>#N/A</v>
      </c>
      <c r="AD547" s="3" t="e">
        <f t="shared" ca="1" si="62"/>
        <v>#N/A</v>
      </c>
    </row>
    <row r="548" spans="8:30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Y548" s="2">
        <f t="shared" ca="1" si="58"/>
        <v>0</v>
      </c>
      <c r="Z548">
        <f t="shared" ca="1" si="59"/>
        <v>0</v>
      </c>
      <c r="AB548" s="63" t="e">
        <f t="shared" ca="1" si="60"/>
        <v>#N/A</v>
      </c>
      <c r="AC548" s="63" t="e">
        <f t="shared" ca="1" si="61"/>
        <v>#N/A</v>
      </c>
      <c r="AD548" s="3" t="e">
        <f t="shared" ca="1" si="62"/>
        <v>#N/A</v>
      </c>
    </row>
    <row r="549" spans="8:30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Y549" s="2">
        <f t="shared" ca="1" si="58"/>
        <v>0</v>
      </c>
      <c r="Z549">
        <f t="shared" ca="1" si="59"/>
        <v>0</v>
      </c>
      <c r="AB549" s="63" t="e">
        <f t="shared" ca="1" si="60"/>
        <v>#N/A</v>
      </c>
      <c r="AC549" s="63" t="e">
        <f t="shared" ca="1" si="61"/>
        <v>#N/A</v>
      </c>
      <c r="AD549" s="3" t="e">
        <f t="shared" ca="1" si="62"/>
        <v>#N/A</v>
      </c>
    </row>
    <row r="550" spans="8:30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Y550" s="2">
        <f t="shared" ca="1" si="58"/>
        <v>0</v>
      </c>
      <c r="Z550">
        <f t="shared" ca="1" si="59"/>
        <v>0</v>
      </c>
      <c r="AB550" s="63" t="e">
        <f t="shared" ca="1" si="60"/>
        <v>#N/A</v>
      </c>
      <c r="AC550" s="63" t="e">
        <f t="shared" ca="1" si="61"/>
        <v>#N/A</v>
      </c>
      <c r="AD550" s="3" t="e">
        <f t="shared" ca="1" si="62"/>
        <v>#N/A</v>
      </c>
    </row>
    <row r="551" spans="8:30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Y551" s="2">
        <f t="shared" ca="1" si="58"/>
        <v>0</v>
      </c>
      <c r="Z551">
        <f t="shared" ca="1" si="59"/>
        <v>0</v>
      </c>
      <c r="AB551" s="63" t="e">
        <f t="shared" ca="1" si="60"/>
        <v>#N/A</v>
      </c>
      <c r="AC551" s="63" t="e">
        <f t="shared" ca="1" si="61"/>
        <v>#N/A</v>
      </c>
      <c r="AD551" s="3" t="e">
        <f t="shared" ca="1" si="62"/>
        <v>#N/A</v>
      </c>
    </row>
    <row r="552" spans="8:30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Y552" s="2">
        <f t="shared" ca="1" si="58"/>
        <v>0</v>
      </c>
      <c r="Z552">
        <f t="shared" ca="1" si="59"/>
        <v>0</v>
      </c>
      <c r="AB552" s="63" t="e">
        <f t="shared" ca="1" si="60"/>
        <v>#N/A</v>
      </c>
      <c r="AC552" s="63" t="e">
        <f t="shared" ca="1" si="61"/>
        <v>#N/A</v>
      </c>
      <c r="AD552" s="3" t="e">
        <f t="shared" ca="1" si="62"/>
        <v>#N/A</v>
      </c>
    </row>
    <row r="553" spans="8:30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Y553" s="2">
        <f t="shared" ca="1" si="58"/>
        <v>0</v>
      </c>
      <c r="Z553">
        <f t="shared" ca="1" si="59"/>
        <v>0</v>
      </c>
      <c r="AB553" s="63" t="e">
        <f t="shared" ca="1" si="60"/>
        <v>#N/A</v>
      </c>
      <c r="AC553" s="63" t="e">
        <f t="shared" ca="1" si="61"/>
        <v>#N/A</v>
      </c>
      <c r="AD553" s="3" t="e">
        <f t="shared" ca="1" si="62"/>
        <v>#N/A</v>
      </c>
    </row>
    <row r="554" spans="8:30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Y554" s="2">
        <f t="shared" ca="1" si="58"/>
        <v>0</v>
      </c>
      <c r="Z554">
        <f t="shared" ca="1" si="59"/>
        <v>0</v>
      </c>
      <c r="AB554" s="63" t="e">
        <f t="shared" ca="1" si="60"/>
        <v>#N/A</v>
      </c>
      <c r="AC554" s="63" t="e">
        <f t="shared" ca="1" si="61"/>
        <v>#N/A</v>
      </c>
      <c r="AD554" s="3" t="e">
        <f t="shared" ca="1" si="62"/>
        <v>#N/A</v>
      </c>
    </row>
    <row r="555" spans="8:30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Y555" s="2">
        <f t="shared" ca="1" si="58"/>
        <v>0</v>
      </c>
      <c r="Z555">
        <f t="shared" ca="1" si="59"/>
        <v>0</v>
      </c>
      <c r="AB555" s="63" t="e">
        <f t="shared" ca="1" si="60"/>
        <v>#N/A</v>
      </c>
      <c r="AC555" s="63" t="e">
        <f t="shared" ca="1" si="61"/>
        <v>#N/A</v>
      </c>
      <c r="AD555" s="3" t="e">
        <f t="shared" ca="1" si="62"/>
        <v>#N/A</v>
      </c>
    </row>
    <row r="556" spans="8:30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Y556" s="2">
        <f t="shared" ca="1" si="58"/>
        <v>0</v>
      </c>
      <c r="Z556">
        <f t="shared" ca="1" si="59"/>
        <v>0</v>
      </c>
      <c r="AB556" s="63" t="e">
        <f t="shared" ca="1" si="60"/>
        <v>#N/A</v>
      </c>
      <c r="AC556" s="63" t="e">
        <f t="shared" ca="1" si="61"/>
        <v>#N/A</v>
      </c>
      <c r="AD556" s="3" t="e">
        <f t="shared" ca="1" si="62"/>
        <v>#N/A</v>
      </c>
    </row>
    <row r="557" spans="8:30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Y557" s="2">
        <f t="shared" ca="1" si="58"/>
        <v>0</v>
      </c>
      <c r="Z557">
        <f t="shared" ca="1" si="59"/>
        <v>0</v>
      </c>
      <c r="AB557" s="63" t="e">
        <f t="shared" ca="1" si="60"/>
        <v>#N/A</v>
      </c>
      <c r="AC557" s="63" t="e">
        <f t="shared" ca="1" si="61"/>
        <v>#N/A</v>
      </c>
      <c r="AD557" s="3" t="e">
        <f t="shared" ca="1" si="62"/>
        <v>#N/A</v>
      </c>
    </row>
    <row r="558" spans="8:30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Y558" s="2">
        <f t="shared" ca="1" si="58"/>
        <v>0</v>
      </c>
      <c r="Z558">
        <f t="shared" ca="1" si="59"/>
        <v>0</v>
      </c>
      <c r="AB558" s="63" t="e">
        <f t="shared" ca="1" si="60"/>
        <v>#N/A</v>
      </c>
      <c r="AC558" s="63" t="e">
        <f t="shared" ca="1" si="61"/>
        <v>#N/A</v>
      </c>
      <c r="AD558" s="3" t="e">
        <f t="shared" ca="1" si="62"/>
        <v>#N/A</v>
      </c>
    </row>
    <row r="559" spans="8:30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Y559" s="2">
        <f t="shared" ca="1" si="58"/>
        <v>0</v>
      </c>
      <c r="Z559">
        <f t="shared" ca="1" si="59"/>
        <v>0</v>
      </c>
      <c r="AB559" s="63" t="e">
        <f t="shared" ca="1" si="60"/>
        <v>#N/A</v>
      </c>
      <c r="AC559" s="63" t="e">
        <f t="shared" ca="1" si="61"/>
        <v>#N/A</v>
      </c>
      <c r="AD559" s="3" t="e">
        <f t="shared" ca="1" si="62"/>
        <v>#N/A</v>
      </c>
    </row>
    <row r="560" spans="8:30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Y560" s="2">
        <f t="shared" ca="1" si="58"/>
        <v>0</v>
      </c>
      <c r="Z560">
        <f t="shared" ca="1" si="59"/>
        <v>0</v>
      </c>
      <c r="AB560" s="63" t="e">
        <f t="shared" ca="1" si="60"/>
        <v>#N/A</v>
      </c>
      <c r="AC560" s="63" t="e">
        <f t="shared" ca="1" si="61"/>
        <v>#N/A</v>
      </c>
      <c r="AD560" s="3" t="e">
        <f t="shared" ca="1" si="62"/>
        <v>#N/A</v>
      </c>
    </row>
    <row r="561" spans="8:30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Y561" s="2">
        <f t="shared" ca="1" si="58"/>
        <v>0</v>
      </c>
      <c r="Z561">
        <f t="shared" ca="1" si="59"/>
        <v>0</v>
      </c>
      <c r="AB561" s="63" t="e">
        <f t="shared" ca="1" si="60"/>
        <v>#N/A</v>
      </c>
      <c r="AC561" s="63" t="e">
        <f t="shared" ca="1" si="61"/>
        <v>#N/A</v>
      </c>
      <c r="AD561" s="3" t="e">
        <f t="shared" ca="1" si="62"/>
        <v>#N/A</v>
      </c>
    </row>
    <row r="562" spans="8:30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Y562" s="2">
        <f t="shared" ca="1" si="58"/>
        <v>0</v>
      </c>
      <c r="Z562">
        <f t="shared" ca="1" si="59"/>
        <v>0</v>
      </c>
      <c r="AB562" s="63" t="e">
        <f t="shared" ca="1" si="60"/>
        <v>#N/A</v>
      </c>
      <c r="AC562" s="63" t="e">
        <f t="shared" ca="1" si="61"/>
        <v>#N/A</v>
      </c>
      <c r="AD562" s="3" t="e">
        <f t="shared" ca="1" si="62"/>
        <v>#N/A</v>
      </c>
    </row>
    <row r="563" spans="8:30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Y563" s="2">
        <f t="shared" ca="1" si="58"/>
        <v>0</v>
      </c>
      <c r="Z563">
        <f t="shared" ca="1" si="59"/>
        <v>0</v>
      </c>
      <c r="AB563" s="63" t="e">
        <f t="shared" ca="1" si="60"/>
        <v>#N/A</v>
      </c>
      <c r="AC563" s="63" t="e">
        <f t="shared" ca="1" si="61"/>
        <v>#N/A</v>
      </c>
      <c r="AD563" s="3" t="e">
        <f t="shared" ca="1" si="62"/>
        <v>#N/A</v>
      </c>
    </row>
    <row r="564" spans="8:30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Y564" s="2">
        <f t="shared" ca="1" si="58"/>
        <v>0</v>
      </c>
      <c r="Z564">
        <f t="shared" ca="1" si="59"/>
        <v>0</v>
      </c>
      <c r="AB564" s="63" t="e">
        <f t="shared" ca="1" si="60"/>
        <v>#N/A</v>
      </c>
      <c r="AC564" s="63" t="e">
        <f t="shared" ca="1" si="61"/>
        <v>#N/A</v>
      </c>
      <c r="AD564" s="3" t="e">
        <f t="shared" ca="1" si="62"/>
        <v>#N/A</v>
      </c>
    </row>
    <row r="565" spans="8:30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Y565" s="2">
        <f t="shared" ref="Y565:Y628" ca="1" si="65">IFERROR(J565,$Y$9)</f>
        <v>0</v>
      </c>
      <c r="Z565">
        <f t="shared" ref="Z565:Z628" ca="1" si="66">IFERROR(O565,0)</f>
        <v>0</v>
      </c>
      <c r="AB565" s="63" t="e">
        <f t="shared" ref="AB565:AB628" ca="1" si="67">K564+M565+N565+O565</f>
        <v>#N/A</v>
      </c>
      <c r="AC565" s="63" t="e">
        <f t="shared" ref="AC565:AC628" ca="1" si="68">K565+L565+R565</f>
        <v>#N/A</v>
      </c>
      <c r="AD565" s="3" t="e">
        <f t="shared" ref="AD565:AD628" ca="1" si="69">AC565-AB565</f>
        <v>#N/A</v>
      </c>
    </row>
    <row r="566" spans="8:30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Y566" s="2">
        <f t="shared" ca="1" si="65"/>
        <v>0</v>
      </c>
      <c r="Z566">
        <f t="shared" ca="1" si="66"/>
        <v>0</v>
      </c>
      <c r="AB566" s="63" t="e">
        <f t="shared" ca="1" si="67"/>
        <v>#N/A</v>
      </c>
      <c r="AC566" s="63" t="e">
        <f t="shared" ca="1" si="68"/>
        <v>#N/A</v>
      </c>
      <c r="AD566" s="3" t="e">
        <f t="shared" ca="1" si="69"/>
        <v>#N/A</v>
      </c>
    </row>
    <row r="567" spans="8:30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Y567" s="2">
        <f t="shared" ca="1" si="65"/>
        <v>0</v>
      </c>
      <c r="Z567">
        <f t="shared" ca="1" si="66"/>
        <v>0</v>
      </c>
      <c r="AB567" s="63" t="e">
        <f t="shared" ca="1" si="67"/>
        <v>#N/A</v>
      </c>
      <c r="AC567" s="63" t="e">
        <f t="shared" ca="1" si="68"/>
        <v>#N/A</v>
      </c>
      <c r="AD567" s="3" t="e">
        <f t="shared" ca="1" si="69"/>
        <v>#N/A</v>
      </c>
    </row>
    <row r="568" spans="8:30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Y568" s="2">
        <f t="shared" ca="1" si="65"/>
        <v>0</v>
      </c>
      <c r="Z568">
        <f t="shared" ca="1" si="66"/>
        <v>0</v>
      </c>
      <c r="AB568" s="63" t="e">
        <f t="shared" ca="1" si="67"/>
        <v>#N/A</v>
      </c>
      <c r="AC568" s="63" t="e">
        <f t="shared" ca="1" si="68"/>
        <v>#N/A</v>
      </c>
      <c r="AD568" s="3" t="e">
        <f t="shared" ca="1" si="69"/>
        <v>#N/A</v>
      </c>
    </row>
    <row r="569" spans="8:30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Y569" s="2">
        <f t="shared" ca="1" si="65"/>
        <v>0</v>
      </c>
      <c r="Z569">
        <f t="shared" ca="1" si="66"/>
        <v>0</v>
      </c>
      <c r="AB569" s="63" t="e">
        <f t="shared" ca="1" si="67"/>
        <v>#N/A</v>
      </c>
      <c r="AC569" s="63" t="e">
        <f t="shared" ca="1" si="68"/>
        <v>#N/A</v>
      </c>
      <c r="AD569" s="3" t="e">
        <f t="shared" ca="1" si="69"/>
        <v>#N/A</v>
      </c>
    </row>
    <row r="570" spans="8:30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Y570" s="2">
        <f t="shared" ca="1" si="65"/>
        <v>0</v>
      </c>
      <c r="Z570">
        <f t="shared" ca="1" si="66"/>
        <v>0</v>
      </c>
      <c r="AB570" s="63" t="e">
        <f t="shared" ca="1" si="67"/>
        <v>#N/A</v>
      </c>
      <c r="AC570" s="63" t="e">
        <f t="shared" ca="1" si="68"/>
        <v>#N/A</v>
      </c>
      <c r="AD570" s="3" t="e">
        <f t="shared" ca="1" si="69"/>
        <v>#N/A</v>
      </c>
    </row>
    <row r="571" spans="8:30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Y571" s="2">
        <f t="shared" ca="1" si="65"/>
        <v>0</v>
      </c>
      <c r="Z571">
        <f t="shared" ca="1" si="66"/>
        <v>0</v>
      </c>
      <c r="AB571" s="63" t="e">
        <f t="shared" ca="1" si="67"/>
        <v>#N/A</v>
      </c>
      <c r="AC571" s="63" t="e">
        <f t="shared" ca="1" si="68"/>
        <v>#N/A</v>
      </c>
      <c r="AD571" s="3" t="e">
        <f t="shared" ca="1" si="69"/>
        <v>#N/A</v>
      </c>
    </row>
    <row r="572" spans="8:30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Y572" s="2">
        <f t="shared" ca="1" si="65"/>
        <v>0</v>
      </c>
      <c r="Z572">
        <f t="shared" ca="1" si="66"/>
        <v>0</v>
      </c>
      <c r="AB572" s="63" t="e">
        <f t="shared" ca="1" si="67"/>
        <v>#N/A</v>
      </c>
      <c r="AC572" s="63" t="e">
        <f t="shared" ca="1" si="68"/>
        <v>#N/A</v>
      </c>
      <c r="AD572" s="3" t="e">
        <f t="shared" ca="1" si="69"/>
        <v>#N/A</v>
      </c>
    </row>
    <row r="573" spans="8:30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Y573" s="2">
        <f t="shared" ca="1" si="65"/>
        <v>0</v>
      </c>
      <c r="Z573">
        <f t="shared" ca="1" si="66"/>
        <v>0</v>
      </c>
      <c r="AB573" s="63" t="e">
        <f t="shared" ca="1" si="67"/>
        <v>#N/A</v>
      </c>
      <c r="AC573" s="63" t="e">
        <f t="shared" ca="1" si="68"/>
        <v>#N/A</v>
      </c>
      <c r="AD573" s="3" t="e">
        <f t="shared" ca="1" si="69"/>
        <v>#N/A</v>
      </c>
    </row>
    <row r="574" spans="8:30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Y574" s="2">
        <f t="shared" ca="1" si="65"/>
        <v>0</v>
      </c>
      <c r="Z574">
        <f t="shared" ca="1" si="66"/>
        <v>0</v>
      </c>
      <c r="AB574" s="63" t="e">
        <f t="shared" ca="1" si="67"/>
        <v>#N/A</v>
      </c>
      <c r="AC574" s="63" t="e">
        <f t="shared" ca="1" si="68"/>
        <v>#N/A</v>
      </c>
      <c r="AD574" s="3" t="e">
        <f t="shared" ca="1" si="69"/>
        <v>#N/A</v>
      </c>
    </row>
    <row r="575" spans="8:30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Y575" s="2">
        <f t="shared" ca="1" si="65"/>
        <v>0</v>
      </c>
      <c r="Z575">
        <f t="shared" ca="1" si="66"/>
        <v>0</v>
      </c>
      <c r="AB575" s="63" t="e">
        <f t="shared" ca="1" si="67"/>
        <v>#N/A</v>
      </c>
      <c r="AC575" s="63" t="e">
        <f t="shared" ca="1" si="68"/>
        <v>#N/A</v>
      </c>
      <c r="AD575" s="3" t="e">
        <f t="shared" ca="1" si="69"/>
        <v>#N/A</v>
      </c>
    </row>
    <row r="576" spans="8:30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Y576" s="2">
        <f t="shared" ca="1" si="65"/>
        <v>0</v>
      </c>
      <c r="Z576">
        <f t="shared" ca="1" si="66"/>
        <v>0</v>
      </c>
      <c r="AB576" s="63" t="e">
        <f t="shared" ca="1" si="67"/>
        <v>#N/A</v>
      </c>
      <c r="AC576" s="63" t="e">
        <f t="shared" ca="1" si="68"/>
        <v>#N/A</v>
      </c>
      <c r="AD576" s="3" t="e">
        <f t="shared" ca="1" si="69"/>
        <v>#N/A</v>
      </c>
    </row>
    <row r="577" spans="8:30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Y577" s="2">
        <f t="shared" ca="1" si="65"/>
        <v>0</v>
      </c>
      <c r="Z577">
        <f t="shared" ca="1" si="66"/>
        <v>0</v>
      </c>
      <c r="AB577" s="63" t="e">
        <f t="shared" ca="1" si="67"/>
        <v>#N/A</v>
      </c>
      <c r="AC577" s="63" t="e">
        <f t="shared" ca="1" si="68"/>
        <v>#N/A</v>
      </c>
      <c r="AD577" s="3" t="e">
        <f t="shared" ca="1" si="69"/>
        <v>#N/A</v>
      </c>
    </row>
    <row r="578" spans="8:30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Y578" s="2">
        <f t="shared" ca="1" si="65"/>
        <v>0</v>
      </c>
      <c r="Z578">
        <f t="shared" ca="1" si="66"/>
        <v>0</v>
      </c>
      <c r="AB578" s="63" t="e">
        <f t="shared" ca="1" si="67"/>
        <v>#N/A</v>
      </c>
      <c r="AC578" s="63" t="e">
        <f t="shared" ca="1" si="68"/>
        <v>#N/A</v>
      </c>
      <c r="AD578" s="3" t="e">
        <f t="shared" ca="1" si="69"/>
        <v>#N/A</v>
      </c>
    </row>
    <row r="579" spans="8:30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Y579" s="2">
        <f t="shared" ca="1" si="65"/>
        <v>0</v>
      </c>
      <c r="Z579">
        <f t="shared" ca="1" si="66"/>
        <v>0</v>
      </c>
      <c r="AB579" s="63" t="e">
        <f t="shared" ca="1" si="67"/>
        <v>#N/A</v>
      </c>
      <c r="AC579" s="63" t="e">
        <f t="shared" ca="1" si="68"/>
        <v>#N/A</v>
      </c>
      <c r="AD579" s="3" t="e">
        <f t="shared" ca="1" si="69"/>
        <v>#N/A</v>
      </c>
    </row>
    <row r="580" spans="8:30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Y580" s="2">
        <f t="shared" ca="1" si="65"/>
        <v>0</v>
      </c>
      <c r="Z580">
        <f t="shared" ca="1" si="66"/>
        <v>0</v>
      </c>
      <c r="AB580" s="63" t="e">
        <f t="shared" ca="1" si="67"/>
        <v>#N/A</v>
      </c>
      <c r="AC580" s="63" t="e">
        <f t="shared" ca="1" si="68"/>
        <v>#N/A</v>
      </c>
      <c r="AD580" s="3" t="e">
        <f t="shared" ca="1" si="69"/>
        <v>#N/A</v>
      </c>
    </row>
    <row r="581" spans="8:30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Y581" s="2">
        <f t="shared" ca="1" si="65"/>
        <v>0</v>
      </c>
      <c r="Z581">
        <f t="shared" ca="1" si="66"/>
        <v>0</v>
      </c>
      <c r="AB581" s="63" t="e">
        <f t="shared" ca="1" si="67"/>
        <v>#N/A</v>
      </c>
      <c r="AC581" s="63" t="e">
        <f t="shared" ca="1" si="68"/>
        <v>#N/A</v>
      </c>
      <c r="AD581" s="3" t="e">
        <f t="shared" ca="1" si="69"/>
        <v>#N/A</v>
      </c>
    </row>
    <row r="582" spans="8:30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Y582" s="2">
        <f t="shared" ca="1" si="65"/>
        <v>0</v>
      </c>
      <c r="Z582">
        <f t="shared" ca="1" si="66"/>
        <v>0</v>
      </c>
      <c r="AB582" s="63" t="e">
        <f t="shared" ca="1" si="67"/>
        <v>#N/A</v>
      </c>
      <c r="AC582" s="63" t="e">
        <f t="shared" ca="1" si="68"/>
        <v>#N/A</v>
      </c>
      <c r="AD582" s="3" t="e">
        <f t="shared" ca="1" si="69"/>
        <v>#N/A</v>
      </c>
    </row>
    <row r="583" spans="8:30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Y583" s="2">
        <f t="shared" ca="1" si="65"/>
        <v>0</v>
      </c>
      <c r="Z583">
        <f t="shared" ca="1" si="66"/>
        <v>0</v>
      </c>
      <c r="AB583" s="63" t="e">
        <f t="shared" ca="1" si="67"/>
        <v>#N/A</v>
      </c>
      <c r="AC583" s="63" t="e">
        <f t="shared" ca="1" si="68"/>
        <v>#N/A</v>
      </c>
      <c r="AD583" s="3" t="e">
        <f t="shared" ca="1" si="69"/>
        <v>#N/A</v>
      </c>
    </row>
    <row r="584" spans="8:30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Y584" s="2">
        <f t="shared" ca="1" si="65"/>
        <v>0</v>
      </c>
      <c r="Z584">
        <f t="shared" ca="1" si="66"/>
        <v>0</v>
      </c>
      <c r="AB584" s="63" t="e">
        <f t="shared" ca="1" si="67"/>
        <v>#N/A</v>
      </c>
      <c r="AC584" s="63" t="e">
        <f t="shared" ca="1" si="68"/>
        <v>#N/A</v>
      </c>
      <c r="AD584" s="3" t="e">
        <f t="shared" ca="1" si="69"/>
        <v>#N/A</v>
      </c>
    </row>
    <row r="585" spans="8:30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Y585" s="2">
        <f t="shared" ca="1" si="65"/>
        <v>0</v>
      </c>
      <c r="Z585">
        <f t="shared" ca="1" si="66"/>
        <v>0</v>
      </c>
      <c r="AB585" s="63" t="e">
        <f t="shared" ca="1" si="67"/>
        <v>#N/A</v>
      </c>
      <c r="AC585" s="63" t="e">
        <f t="shared" ca="1" si="68"/>
        <v>#N/A</v>
      </c>
      <c r="AD585" s="3" t="e">
        <f t="shared" ca="1" si="69"/>
        <v>#N/A</v>
      </c>
    </row>
    <row r="586" spans="8:30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Y586" s="2">
        <f t="shared" ca="1" si="65"/>
        <v>0</v>
      </c>
      <c r="Z586">
        <f t="shared" ca="1" si="66"/>
        <v>0</v>
      </c>
      <c r="AB586" s="63" t="e">
        <f t="shared" ca="1" si="67"/>
        <v>#N/A</v>
      </c>
      <c r="AC586" s="63" t="e">
        <f t="shared" ca="1" si="68"/>
        <v>#N/A</v>
      </c>
      <c r="AD586" s="3" t="e">
        <f t="shared" ca="1" si="69"/>
        <v>#N/A</v>
      </c>
    </row>
    <row r="587" spans="8:30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Y587" s="2">
        <f t="shared" ca="1" si="65"/>
        <v>0</v>
      </c>
      <c r="Z587">
        <f t="shared" ca="1" si="66"/>
        <v>0</v>
      </c>
      <c r="AB587" s="63" t="e">
        <f t="shared" ca="1" si="67"/>
        <v>#N/A</v>
      </c>
      <c r="AC587" s="63" t="e">
        <f t="shared" ca="1" si="68"/>
        <v>#N/A</v>
      </c>
      <c r="AD587" s="3" t="e">
        <f t="shared" ca="1" si="69"/>
        <v>#N/A</v>
      </c>
    </row>
    <row r="588" spans="8:30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Y588" s="2">
        <f t="shared" ca="1" si="65"/>
        <v>0</v>
      </c>
      <c r="Z588">
        <f t="shared" ca="1" si="66"/>
        <v>0</v>
      </c>
      <c r="AB588" s="63" t="e">
        <f t="shared" ca="1" si="67"/>
        <v>#N/A</v>
      </c>
      <c r="AC588" s="63" t="e">
        <f t="shared" ca="1" si="68"/>
        <v>#N/A</v>
      </c>
      <c r="AD588" s="3" t="e">
        <f t="shared" ca="1" si="69"/>
        <v>#N/A</v>
      </c>
    </row>
    <row r="589" spans="8:30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Y589" s="2">
        <f t="shared" ca="1" si="65"/>
        <v>0</v>
      </c>
      <c r="Z589">
        <f t="shared" ca="1" si="66"/>
        <v>0</v>
      </c>
      <c r="AB589" s="63" t="e">
        <f t="shared" ca="1" si="67"/>
        <v>#N/A</v>
      </c>
      <c r="AC589" s="63" t="e">
        <f t="shared" ca="1" si="68"/>
        <v>#N/A</v>
      </c>
      <c r="AD589" s="3" t="e">
        <f t="shared" ca="1" si="69"/>
        <v>#N/A</v>
      </c>
    </row>
    <row r="590" spans="8:30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Y590" s="2">
        <f t="shared" ca="1" si="65"/>
        <v>0</v>
      </c>
      <c r="Z590">
        <f t="shared" ca="1" si="66"/>
        <v>0</v>
      </c>
      <c r="AB590" s="63" t="e">
        <f t="shared" ca="1" si="67"/>
        <v>#N/A</v>
      </c>
      <c r="AC590" s="63" t="e">
        <f t="shared" ca="1" si="68"/>
        <v>#N/A</v>
      </c>
      <c r="AD590" s="3" t="e">
        <f t="shared" ca="1" si="69"/>
        <v>#N/A</v>
      </c>
    </row>
    <row r="591" spans="8:30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Y591" s="2">
        <f t="shared" ca="1" si="65"/>
        <v>0</v>
      </c>
      <c r="Z591">
        <f t="shared" ca="1" si="66"/>
        <v>0</v>
      </c>
      <c r="AB591" s="63" t="e">
        <f t="shared" ca="1" si="67"/>
        <v>#N/A</v>
      </c>
      <c r="AC591" s="63" t="e">
        <f t="shared" ca="1" si="68"/>
        <v>#N/A</v>
      </c>
      <c r="AD591" s="3" t="e">
        <f t="shared" ca="1" si="69"/>
        <v>#N/A</v>
      </c>
    </row>
    <row r="592" spans="8:30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Y592" s="2">
        <f t="shared" ca="1" si="65"/>
        <v>0</v>
      </c>
      <c r="Z592">
        <f t="shared" ca="1" si="66"/>
        <v>0</v>
      </c>
      <c r="AB592" s="63" t="e">
        <f t="shared" ca="1" si="67"/>
        <v>#N/A</v>
      </c>
      <c r="AC592" s="63" t="e">
        <f t="shared" ca="1" si="68"/>
        <v>#N/A</v>
      </c>
      <c r="AD592" s="3" t="e">
        <f t="shared" ca="1" si="69"/>
        <v>#N/A</v>
      </c>
    </row>
    <row r="593" spans="8:30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Y593" s="2">
        <f t="shared" ca="1" si="65"/>
        <v>0</v>
      </c>
      <c r="Z593">
        <f t="shared" ca="1" si="66"/>
        <v>0</v>
      </c>
      <c r="AB593" s="63" t="e">
        <f t="shared" ca="1" si="67"/>
        <v>#N/A</v>
      </c>
      <c r="AC593" s="63" t="e">
        <f t="shared" ca="1" si="68"/>
        <v>#N/A</v>
      </c>
      <c r="AD593" s="3" t="e">
        <f t="shared" ca="1" si="69"/>
        <v>#N/A</v>
      </c>
    </row>
    <row r="594" spans="8:30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Y594" s="2">
        <f t="shared" ca="1" si="65"/>
        <v>0</v>
      </c>
      <c r="Z594">
        <f t="shared" ca="1" si="66"/>
        <v>0</v>
      </c>
      <c r="AB594" s="63" t="e">
        <f t="shared" ca="1" si="67"/>
        <v>#N/A</v>
      </c>
      <c r="AC594" s="63" t="e">
        <f t="shared" ca="1" si="68"/>
        <v>#N/A</v>
      </c>
      <c r="AD594" s="3" t="e">
        <f t="shared" ca="1" si="69"/>
        <v>#N/A</v>
      </c>
    </row>
    <row r="595" spans="8:30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Y595" s="2">
        <f t="shared" ca="1" si="65"/>
        <v>0</v>
      </c>
      <c r="Z595">
        <f t="shared" ca="1" si="66"/>
        <v>0</v>
      </c>
      <c r="AB595" s="63" t="e">
        <f t="shared" ca="1" si="67"/>
        <v>#N/A</v>
      </c>
      <c r="AC595" s="63" t="e">
        <f t="shared" ca="1" si="68"/>
        <v>#N/A</v>
      </c>
      <c r="AD595" s="3" t="e">
        <f t="shared" ca="1" si="69"/>
        <v>#N/A</v>
      </c>
    </row>
    <row r="596" spans="8:30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Y596" s="2">
        <f t="shared" ca="1" si="65"/>
        <v>0</v>
      </c>
      <c r="Z596">
        <f t="shared" ca="1" si="66"/>
        <v>0</v>
      </c>
      <c r="AB596" s="63" t="e">
        <f t="shared" ca="1" si="67"/>
        <v>#N/A</v>
      </c>
      <c r="AC596" s="63" t="e">
        <f t="shared" ca="1" si="68"/>
        <v>#N/A</v>
      </c>
      <c r="AD596" s="3" t="e">
        <f t="shared" ca="1" si="69"/>
        <v>#N/A</v>
      </c>
    </row>
    <row r="597" spans="8:30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Y597" s="2">
        <f t="shared" ca="1" si="65"/>
        <v>0</v>
      </c>
      <c r="Z597">
        <f t="shared" ca="1" si="66"/>
        <v>0</v>
      </c>
      <c r="AB597" s="63" t="e">
        <f t="shared" ca="1" si="67"/>
        <v>#N/A</v>
      </c>
      <c r="AC597" s="63" t="e">
        <f t="shared" ca="1" si="68"/>
        <v>#N/A</v>
      </c>
      <c r="AD597" s="3" t="e">
        <f t="shared" ca="1" si="69"/>
        <v>#N/A</v>
      </c>
    </row>
    <row r="598" spans="8:30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Y598" s="2">
        <f t="shared" ca="1" si="65"/>
        <v>0</v>
      </c>
      <c r="Z598">
        <f t="shared" ca="1" si="66"/>
        <v>0</v>
      </c>
      <c r="AB598" s="63" t="e">
        <f t="shared" ca="1" si="67"/>
        <v>#N/A</v>
      </c>
      <c r="AC598" s="63" t="e">
        <f t="shared" ca="1" si="68"/>
        <v>#N/A</v>
      </c>
      <c r="AD598" s="3" t="e">
        <f t="shared" ca="1" si="69"/>
        <v>#N/A</v>
      </c>
    </row>
    <row r="599" spans="8:30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Y599" s="2">
        <f t="shared" ca="1" si="65"/>
        <v>0</v>
      </c>
      <c r="Z599">
        <f t="shared" ca="1" si="66"/>
        <v>0</v>
      </c>
      <c r="AB599" s="63" t="e">
        <f t="shared" ca="1" si="67"/>
        <v>#N/A</v>
      </c>
      <c r="AC599" s="63" t="e">
        <f t="shared" ca="1" si="68"/>
        <v>#N/A</v>
      </c>
      <c r="AD599" s="3" t="e">
        <f t="shared" ca="1" si="69"/>
        <v>#N/A</v>
      </c>
    </row>
    <row r="600" spans="8:30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Y600" s="2">
        <f t="shared" ca="1" si="65"/>
        <v>0</v>
      </c>
      <c r="Z600">
        <f t="shared" ca="1" si="66"/>
        <v>0</v>
      </c>
      <c r="AB600" s="63" t="e">
        <f t="shared" ca="1" si="67"/>
        <v>#N/A</v>
      </c>
      <c r="AC600" s="63" t="e">
        <f t="shared" ca="1" si="68"/>
        <v>#N/A</v>
      </c>
      <c r="AD600" s="3" t="e">
        <f t="shared" ca="1" si="69"/>
        <v>#N/A</v>
      </c>
    </row>
    <row r="601" spans="8:30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Y601" s="2">
        <f t="shared" ca="1" si="65"/>
        <v>0</v>
      </c>
      <c r="Z601">
        <f t="shared" ca="1" si="66"/>
        <v>0</v>
      </c>
      <c r="AB601" s="63" t="e">
        <f t="shared" ca="1" si="67"/>
        <v>#N/A</v>
      </c>
      <c r="AC601" s="63" t="e">
        <f t="shared" ca="1" si="68"/>
        <v>#N/A</v>
      </c>
      <c r="AD601" s="3" t="e">
        <f t="shared" ca="1" si="69"/>
        <v>#N/A</v>
      </c>
    </row>
    <row r="602" spans="8:30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Y602" s="2">
        <f t="shared" ca="1" si="65"/>
        <v>0</v>
      </c>
      <c r="Z602">
        <f t="shared" ca="1" si="66"/>
        <v>0</v>
      </c>
      <c r="AB602" s="63" t="e">
        <f t="shared" ca="1" si="67"/>
        <v>#N/A</v>
      </c>
      <c r="AC602" s="63" t="e">
        <f t="shared" ca="1" si="68"/>
        <v>#N/A</v>
      </c>
      <c r="AD602" s="3" t="e">
        <f t="shared" ca="1" si="69"/>
        <v>#N/A</v>
      </c>
    </row>
    <row r="603" spans="8:30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Y603" s="2">
        <f t="shared" ca="1" si="65"/>
        <v>0</v>
      </c>
      <c r="Z603">
        <f t="shared" ca="1" si="66"/>
        <v>0</v>
      </c>
      <c r="AB603" s="63" t="e">
        <f t="shared" ca="1" si="67"/>
        <v>#N/A</v>
      </c>
      <c r="AC603" s="63" t="e">
        <f t="shared" ca="1" si="68"/>
        <v>#N/A</v>
      </c>
      <c r="AD603" s="3" t="e">
        <f t="shared" ca="1" si="69"/>
        <v>#N/A</v>
      </c>
    </row>
    <row r="604" spans="8:30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Y604" s="2">
        <f t="shared" ca="1" si="65"/>
        <v>0</v>
      </c>
      <c r="Z604">
        <f t="shared" ca="1" si="66"/>
        <v>0</v>
      </c>
      <c r="AB604" s="63" t="e">
        <f t="shared" ca="1" si="67"/>
        <v>#N/A</v>
      </c>
      <c r="AC604" s="63" t="e">
        <f t="shared" ca="1" si="68"/>
        <v>#N/A</v>
      </c>
      <c r="AD604" s="3" t="e">
        <f t="shared" ca="1" si="69"/>
        <v>#N/A</v>
      </c>
    </row>
    <row r="605" spans="8:30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Y605" s="2">
        <f t="shared" ca="1" si="65"/>
        <v>0</v>
      </c>
      <c r="Z605">
        <f t="shared" ca="1" si="66"/>
        <v>0</v>
      </c>
      <c r="AB605" s="63" t="e">
        <f t="shared" ca="1" si="67"/>
        <v>#N/A</v>
      </c>
      <c r="AC605" s="63" t="e">
        <f t="shared" ca="1" si="68"/>
        <v>#N/A</v>
      </c>
      <c r="AD605" s="3" t="e">
        <f t="shared" ca="1" si="69"/>
        <v>#N/A</v>
      </c>
    </row>
    <row r="606" spans="8:30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Y606" s="2">
        <f t="shared" ca="1" si="65"/>
        <v>0</v>
      </c>
      <c r="Z606">
        <f t="shared" ca="1" si="66"/>
        <v>0</v>
      </c>
      <c r="AB606" s="63" t="e">
        <f t="shared" ca="1" si="67"/>
        <v>#N/A</v>
      </c>
      <c r="AC606" s="63" t="e">
        <f t="shared" ca="1" si="68"/>
        <v>#N/A</v>
      </c>
      <c r="AD606" s="3" t="e">
        <f t="shared" ca="1" si="69"/>
        <v>#N/A</v>
      </c>
    </row>
    <row r="607" spans="8:30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Y607" s="2">
        <f t="shared" ca="1" si="65"/>
        <v>0</v>
      </c>
      <c r="Z607">
        <f t="shared" ca="1" si="66"/>
        <v>0</v>
      </c>
      <c r="AB607" s="63" t="e">
        <f t="shared" ca="1" si="67"/>
        <v>#N/A</v>
      </c>
      <c r="AC607" s="63" t="e">
        <f t="shared" ca="1" si="68"/>
        <v>#N/A</v>
      </c>
      <c r="AD607" s="3" t="e">
        <f t="shared" ca="1" si="69"/>
        <v>#N/A</v>
      </c>
    </row>
    <row r="608" spans="8:30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Y608" s="2">
        <f t="shared" ca="1" si="65"/>
        <v>0</v>
      </c>
      <c r="Z608">
        <f t="shared" ca="1" si="66"/>
        <v>0</v>
      </c>
      <c r="AB608" s="63" t="e">
        <f t="shared" ca="1" si="67"/>
        <v>#N/A</v>
      </c>
      <c r="AC608" s="63" t="e">
        <f t="shared" ca="1" si="68"/>
        <v>#N/A</v>
      </c>
      <c r="AD608" s="3" t="e">
        <f t="shared" ca="1" si="69"/>
        <v>#N/A</v>
      </c>
    </row>
    <row r="609" spans="8:30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Y609" s="2">
        <f t="shared" ca="1" si="65"/>
        <v>0</v>
      </c>
      <c r="Z609">
        <f t="shared" ca="1" si="66"/>
        <v>0</v>
      </c>
      <c r="AB609" s="63" t="e">
        <f t="shared" ca="1" si="67"/>
        <v>#N/A</v>
      </c>
      <c r="AC609" s="63" t="e">
        <f t="shared" ca="1" si="68"/>
        <v>#N/A</v>
      </c>
      <c r="AD609" s="3" t="e">
        <f t="shared" ca="1" si="69"/>
        <v>#N/A</v>
      </c>
    </row>
    <row r="610" spans="8:30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Y610" s="2">
        <f t="shared" ca="1" si="65"/>
        <v>0</v>
      </c>
      <c r="Z610">
        <f t="shared" ca="1" si="66"/>
        <v>0</v>
      </c>
      <c r="AB610" s="63" t="e">
        <f t="shared" ca="1" si="67"/>
        <v>#N/A</v>
      </c>
      <c r="AC610" s="63" t="e">
        <f t="shared" ca="1" si="68"/>
        <v>#N/A</v>
      </c>
      <c r="AD610" s="3" t="e">
        <f t="shared" ca="1" si="69"/>
        <v>#N/A</v>
      </c>
    </row>
    <row r="611" spans="8:30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Y611" s="2">
        <f t="shared" ca="1" si="65"/>
        <v>0</v>
      </c>
      <c r="Z611">
        <f t="shared" ca="1" si="66"/>
        <v>0</v>
      </c>
      <c r="AB611" s="63" t="e">
        <f t="shared" ca="1" si="67"/>
        <v>#N/A</v>
      </c>
      <c r="AC611" s="63" t="e">
        <f t="shared" ca="1" si="68"/>
        <v>#N/A</v>
      </c>
      <c r="AD611" s="3" t="e">
        <f t="shared" ca="1" si="69"/>
        <v>#N/A</v>
      </c>
    </row>
    <row r="612" spans="8:30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Y612" s="2">
        <f t="shared" ca="1" si="65"/>
        <v>0</v>
      </c>
      <c r="Z612">
        <f t="shared" ca="1" si="66"/>
        <v>0</v>
      </c>
      <c r="AB612" s="63" t="e">
        <f t="shared" ca="1" si="67"/>
        <v>#N/A</v>
      </c>
      <c r="AC612" s="63" t="e">
        <f t="shared" ca="1" si="68"/>
        <v>#N/A</v>
      </c>
      <c r="AD612" s="3" t="e">
        <f t="shared" ca="1" si="69"/>
        <v>#N/A</v>
      </c>
    </row>
    <row r="613" spans="8:30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Y613" s="2">
        <f t="shared" ca="1" si="65"/>
        <v>0</v>
      </c>
      <c r="Z613">
        <f t="shared" ca="1" si="66"/>
        <v>0</v>
      </c>
      <c r="AB613" s="63" t="e">
        <f t="shared" ca="1" si="67"/>
        <v>#N/A</v>
      </c>
      <c r="AC613" s="63" t="e">
        <f t="shared" ca="1" si="68"/>
        <v>#N/A</v>
      </c>
      <c r="AD613" s="3" t="e">
        <f t="shared" ca="1" si="69"/>
        <v>#N/A</v>
      </c>
    </row>
    <row r="614" spans="8:30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Y614" s="2">
        <f t="shared" ca="1" si="65"/>
        <v>0</v>
      </c>
      <c r="Z614">
        <f t="shared" ca="1" si="66"/>
        <v>0</v>
      </c>
      <c r="AB614" s="63" t="e">
        <f t="shared" ca="1" si="67"/>
        <v>#N/A</v>
      </c>
      <c r="AC614" s="63" t="e">
        <f t="shared" ca="1" si="68"/>
        <v>#N/A</v>
      </c>
      <c r="AD614" s="3" t="e">
        <f t="shared" ca="1" si="69"/>
        <v>#N/A</v>
      </c>
    </row>
    <row r="615" spans="8:30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Y615" s="2">
        <f t="shared" ca="1" si="65"/>
        <v>0</v>
      </c>
      <c r="Z615">
        <f t="shared" ca="1" si="66"/>
        <v>0</v>
      </c>
      <c r="AB615" s="63" t="e">
        <f t="shared" ca="1" si="67"/>
        <v>#N/A</v>
      </c>
      <c r="AC615" s="63" t="e">
        <f t="shared" ca="1" si="68"/>
        <v>#N/A</v>
      </c>
      <c r="AD615" s="3" t="e">
        <f t="shared" ca="1" si="69"/>
        <v>#N/A</v>
      </c>
    </row>
    <row r="616" spans="8:30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Y616" s="2">
        <f t="shared" ca="1" si="65"/>
        <v>0</v>
      </c>
      <c r="Z616">
        <f t="shared" ca="1" si="66"/>
        <v>0</v>
      </c>
      <c r="AB616" s="63" t="e">
        <f t="shared" ca="1" si="67"/>
        <v>#N/A</v>
      </c>
      <c r="AC616" s="63" t="e">
        <f t="shared" ca="1" si="68"/>
        <v>#N/A</v>
      </c>
      <c r="AD616" s="3" t="e">
        <f t="shared" ca="1" si="69"/>
        <v>#N/A</v>
      </c>
    </row>
    <row r="617" spans="8:30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Y617" s="2">
        <f t="shared" ca="1" si="65"/>
        <v>0</v>
      </c>
      <c r="Z617">
        <f t="shared" ca="1" si="66"/>
        <v>0</v>
      </c>
      <c r="AB617" s="63" t="e">
        <f t="shared" ca="1" si="67"/>
        <v>#N/A</v>
      </c>
      <c r="AC617" s="63" t="e">
        <f t="shared" ca="1" si="68"/>
        <v>#N/A</v>
      </c>
      <c r="AD617" s="3" t="e">
        <f t="shared" ca="1" si="69"/>
        <v>#N/A</v>
      </c>
    </row>
    <row r="618" spans="8:30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Y618" s="2">
        <f t="shared" ca="1" si="65"/>
        <v>0</v>
      </c>
      <c r="Z618">
        <f t="shared" ca="1" si="66"/>
        <v>0</v>
      </c>
      <c r="AB618" s="63" t="e">
        <f t="shared" ca="1" si="67"/>
        <v>#N/A</v>
      </c>
      <c r="AC618" s="63" t="e">
        <f t="shared" ca="1" si="68"/>
        <v>#N/A</v>
      </c>
      <c r="AD618" s="3" t="e">
        <f t="shared" ca="1" si="69"/>
        <v>#N/A</v>
      </c>
    </row>
    <row r="619" spans="8:30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Y619" s="2">
        <f t="shared" ca="1" si="65"/>
        <v>0</v>
      </c>
      <c r="Z619">
        <f t="shared" ca="1" si="66"/>
        <v>0</v>
      </c>
      <c r="AB619" s="63" t="e">
        <f t="shared" ca="1" si="67"/>
        <v>#N/A</v>
      </c>
      <c r="AC619" s="63" t="e">
        <f t="shared" ca="1" si="68"/>
        <v>#N/A</v>
      </c>
      <c r="AD619" s="3" t="e">
        <f t="shared" ca="1" si="69"/>
        <v>#N/A</v>
      </c>
    </row>
    <row r="620" spans="8:30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Y620" s="2">
        <f t="shared" ca="1" si="65"/>
        <v>0</v>
      </c>
      <c r="Z620">
        <f t="shared" ca="1" si="66"/>
        <v>0</v>
      </c>
      <c r="AB620" s="63" t="e">
        <f t="shared" ca="1" si="67"/>
        <v>#N/A</v>
      </c>
      <c r="AC620" s="63" t="e">
        <f t="shared" ca="1" si="68"/>
        <v>#N/A</v>
      </c>
      <c r="AD620" s="3" t="e">
        <f t="shared" ca="1" si="69"/>
        <v>#N/A</v>
      </c>
    </row>
    <row r="621" spans="8:30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Y621" s="2">
        <f t="shared" ca="1" si="65"/>
        <v>0</v>
      </c>
      <c r="Z621">
        <f t="shared" ca="1" si="66"/>
        <v>0</v>
      </c>
      <c r="AB621" s="63" t="e">
        <f t="shared" ca="1" si="67"/>
        <v>#N/A</v>
      </c>
      <c r="AC621" s="63" t="e">
        <f t="shared" ca="1" si="68"/>
        <v>#N/A</v>
      </c>
      <c r="AD621" s="3" t="e">
        <f t="shared" ca="1" si="69"/>
        <v>#N/A</v>
      </c>
    </row>
    <row r="622" spans="8:30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Y622" s="2">
        <f t="shared" ca="1" si="65"/>
        <v>0</v>
      </c>
      <c r="Z622">
        <f t="shared" ca="1" si="66"/>
        <v>0</v>
      </c>
      <c r="AB622" s="63" t="e">
        <f t="shared" ca="1" si="67"/>
        <v>#N/A</v>
      </c>
      <c r="AC622" s="63" t="e">
        <f t="shared" ca="1" si="68"/>
        <v>#N/A</v>
      </c>
      <c r="AD622" s="3" t="e">
        <f t="shared" ca="1" si="69"/>
        <v>#N/A</v>
      </c>
    </row>
    <row r="623" spans="8:30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Y623" s="2">
        <f t="shared" ca="1" si="65"/>
        <v>0</v>
      </c>
      <c r="Z623">
        <f t="shared" ca="1" si="66"/>
        <v>0</v>
      </c>
      <c r="AB623" s="63" t="e">
        <f t="shared" ca="1" si="67"/>
        <v>#N/A</v>
      </c>
      <c r="AC623" s="63" t="e">
        <f t="shared" ca="1" si="68"/>
        <v>#N/A</v>
      </c>
      <c r="AD623" s="3" t="e">
        <f t="shared" ca="1" si="69"/>
        <v>#N/A</v>
      </c>
    </row>
    <row r="624" spans="8:30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Y624" s="2">
        <f t="shared" ca="1" si="65"/>
        <v>0</v>
      </c>
      <c r="Z624">
        <f t="shared" ca="1" si="66"/>
        <v>0</v>
      </c>
      <c r="AB624" s="63" t="e">
        <f t="shared" ca="1" si="67"/>
        <v>#N/A</v>
      </c>
      <c r="AC624" s="63" t="e">
        <f t="shared" ca="1" si="68"/>
        <v>#N/A</v>
      </c>
      <c r="AD624" s="3" t="e">
        <f t="shared" ca="1" si="69"/>
        <v>#N/A</v>
      </c>
    </row>
    <row r="625" spans="8:30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Y625" s="2">
        <f t="shared" ca="1" si="65"/>
        <v>0</v>
      </c>
      <c r="Z625">
        <f t="shared" ca="1" si="66"/>
        <v>0</v>
      </c>
      <c r="AB625" s="63" t="e">
        <f t="shared" ca="1" si="67"/>
        <v>#N/A</v>
      </c>
      <c r="AC625" s="63" t="e">
        <f t="shared" ca="1" si="68"/>
        <v>#N/A</v>
      </c>
      <c r="AD625" s="3" t="e">
        <f t="shared" ca="1" si="69"/>
        <v>#N/A</v>
      </c>
    </row>
    <row r="626" spans="8:30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Y626" s="2">
        <f t="shared" ca="1" si="65"/>
        <v>0</v>
      </c>
      <c r="Z626">
        <f t="shared" ca="1" si="66"/>
        <v>0</v>
      </c>
      <c r="AB626" s="63" t="e">
        <f t="shared" ca="1" si="67"/>
        <v>#N/A</v>
      </c>
      <c r="AC626" s="63" t="e">
        <f t="shared" ca="1" si="68"/>
        <v>#N/A</v>
      </c>
      <c r="AD626" s="3" t="e">
        <f t="shared" ca="1" si="69"/>
        <v>#N/A</v>
      </c>
    </row>
    <row r="627" spans="8:30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Y627" s="2">
        <f t="shared" ca="1" si="65"/>
        <v>0</v>
      </c>
      <c r="Z627">
        <f t="shared" ca="1" si="66"/>
        <v>0</v>
      </c>
      <c r="AB627" s="63" t="e">
        <f t="shared" ca="1" si="67"/>
        <v>#N/A</v>
      </c>
      <c r="AC627" s="63" t="e">
        <f t="shared" ca="1" si="68"/>
        <v>#N/A</v>
      </c>
      <c r="AD627" s="3" t="e">
        <f t="shared" ca="1" si="69"/>
        <v>#N/A</v>
      </c>
    </row>
    <row r="628" spans="8:30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Y628" s="2">
        <f t="shared" ca="1" si="65"/>
        <v>0</v>
      </c>
      <c r="Z628">
        <f t="shared" ca="1" si="66"/>
        <v>0</v>
      </c>
      <c r="AB628" s="63" t="e">
        <f t="shared" ca="1" si="67"/>
        <v>#N/A</v>
      </c>
      <c r="AC628" s="63" t="e">
        <f t="shared" ca="1" si="68"/>
        <v>#N/A</v>
      </c>
      <c r="AD628" s="3" t="e">
        <f t="shared" ca="1" si="69"/>
        <v>#N/A</v>
      </c>
    </row>
    <row r="629" spans="8:30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Y629" s="2">
        <f t="shared" ref="Y629:Y692" ca="1" si="72">IFERROR(J629,$Y$9)</f>
        <v>0</v>
      </c>
      <c r="Z629">
        <f t="shared" ref="Z629:Z692" ca="1" si="73">IFERROR(O629,0)</f>
        <v>0</v>
      </c>
      <c r="AB629" s="63" t="e">
        <f t="shared" ref="AB629:AB692" ca="1" si="74">K628+M629+N629+O629</f>
        <v>#N/A</v>
      </c>
      <c r="AC629" s="63" t="e">
        <f t="shared" ref="AC629:AC692" ca="1" si="75">K629+L629+R629</f>
        <v>#N/A</v>
      </c>
      <c r="AD629" s="3" t="e">
        <f t="shared" ref="AD629:AD692" ca="1" si="76">AC629-AB629</f>
        <v>#N/A</v>
      </c>
    </row>
    <row r="630" spans="8:30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Y630" s="2">
        <f t="shared" ca="1" si="72"/>
        <v>0</v>
      </c>
      <c r="Z630">
        <f t="shared" ca="1" si="73"/>
        <v>0</v>
      </c>
      <c r="AB630" s="63" t="e">
        <f t="shared" ca="1" si="74"/>
        <v>#N/A</v>
      </c>
      <c r="AC630" s="63" t="e">
        <f t="shared" ca="1" si="75"/>
        <v>#N/A</v>
      </c>
      <c r="AD630" s="3" t="e">
        <f t="shared" ca="1" si="76"/>
        <v>#N/A</v>
      </c>
    </row>
    <row r="631" spans="8:30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Y631" s="2">
        <f t="shared" ca="1" si="72"/>
        <v>0</v>
      </c>
      <c r="Z631">
        <f t="shared" ca="1" si="73"/>
        <v>0</v>
      </c>
      <c r="AB631" s="63" t="e">
        <f t="shared" ca="1" si="74"/>
        <v>#N/A</v>
      </c>
      <c r="AC631" s="63" t="e">
        <f t="shared" ca="1" si="75"/>
        <v>#N/A</v>
      </c>
      <c r="AD631" s="3" t="e">
        <f t="shared" ca="1" si="76"/>
        <v>#N/A</v>
      </c>
    </row>
    <row r="632" spans="8:30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Y632" s="2">
        <f t="shared" ca="1" si="72"/>
        <v>0</v>
      </c>
      <c r="Z632">
        <f t="shared" ca="1" si="73"/>
        <v>0</v>
      </c>
      <c r="AB632" s="63" t="e">
        <f t="shared" ca="1" si="74"/>
        <v>#N/A</v>
      </c>
      <c r="AC632" s="63" t="e">
        <f t="shared" ca="1" si="75"/>
        <v>#N/A</v>
      </c>
      <c r="AD632" s="3" t="e">
        <f t="shared" ca="1" si="76"/>
        <v>#N/A</v>
      </c>
    </row>
    <row r="633" spans="8:30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Y633" s="2">
        <f t="shared" ca="1" si="72"/>
        <v>0</v>
      </c>
      <c r="Z633">
        <f t="shared" ca="1" si="73"/>
        <v>0</v>
      </c>
      <c r="AB633" s="63" t="e">
        <f t="shared" ca="1" si="74"/>
        <v>#N/A</v>
      </c>
      <c r="AC633" s="63" t="e">
        <f t="shared" ca="1" si="75"/>
        <v>#N/A</v>
      </c>
      <c r="AD633" s="3" t="e">
        <f t="shared" ca="1" si="76"/>
        <v>#N/A</v>
      </c>
    </row>
    <row r="634" spans="8:30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Y634" s="2">
        <f t="shared" ca="1" si="72"/>
        <v>0</v>
      </c>
      <c r="Z634">
        <f t="shared" ca="1" si="73"/>
        <v>0</v>
      </c>
      <c r="AB634" s="63" t="e">
        <f t="shared" ca="1" si="74"/>
        <v>#N/A</v>
      </c>
      <c r="AC634" s="63" t="e">
        <f t="shared" ca="1" si="75"/>
        <v>#N/A</v>
      </c>
      <c r="AD634" s="3" t="e">
        <f t="shared" ca="1" si="76"/>
        <v>#N/A</v>
      </c>
    </row>
    <row r="635" spans="8:30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Y635" s="2">
        <f t="shared" ca="1" si="72"/>
        <v>0</v>
      </c>
      <c r="Z635">
        <f t="shared" ca="1" si="73"/>
        <v>0</v>
      </c>
      <c r="AB635" s="63" t="e">
        <f t="shared" ca="1" si="74"/>
        <v>#N/A</v>
      </c>
      <c r="AC635" s="63" t="e">
        <f t="shared" ca="1" si="75"/>
        <v>#N/A</v>
      </c>
      <c r="AD635" s="3" t="e">
        <f t="shared" ca="1" si="76"/>
        <v>#N/A</v>
      </c>
    </row>
    <row r="636" spans="8:30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Y636" s="2">
        <f t="shared" ca="1" si="72"/>
        <v>0</v>
      </c>
      <c r="Z636">
        <f t="shared" ca="1" si="73"/>
        <v>0</v>
      </c>
      <c r="AB636" s="63" t="e">
        <f t="shared" ca="1" si="74"/>
        <v>#N/A</v>
      </c>
      <c r="AC636" s="63" t="e">
        <f t="shared" ca="1" si="75"/>
        <v>#N/A</v>
      </c>
      <c r="AD636" s="3" t="e">
        <f t="shared" ca="1" si="76"/>
        <v>#N/A</v>
      </c>
    </row>
    <row r="637" spans="8:30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Y637" s="2">
        <f t="shared" ca="1" si="72"/>
        <v>0</v>
      </c>
      <c r="Z637">
        <f t="shared" ca="1" si="73"/>
        <v>0</v>
      </c>
      <c r="AB637" s="63" t="e">
        <f t="shared" ca="1" si="74"/>
        <v>#N/A</v>
      </c>
      <c r="AC637" s="63" t="e">
        <f t="shared" ca="1" si="75"/>
        <v>#N/A</v>
      </c>
      <c r="AD637" s="3" t="e">
        <f t="shared" ca="1" si="76"/>
        <v>#N/A</v>
      </c>
    </row>
    <row r="638" spans="8:30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Y638" s="2">
        <f t="shared" ca="1" si="72"/>
        <v>0</v>
      </c>
      <c r="Z638">
        <f t="shared" ca="1" si="73"/>
        <v>0</v>
      </c>
      <c r="AB638" s="63" t="e">
        <f t="shared" ca="1" si="74"/>
        <v>#N/A</v>
      </c>
      <c r="AC638" s="63" t="e">
        <f t="shared" ca="1" si="75"/>
        <v>#N/A</v>
      </c>
      <c r="AD638" s="3" t="e">
        <f t="shared" ca="1" si="76"/>
        <v>#N/A</v>
      </c>
    </row>
    <row r="639" spans="8:30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Y639" s="2">
        <f t="shared" ca="1" si="72"/>
        <v>0</v>
      </c>
      <c r="Z639">
        <f t="shared" ca="1" si="73"/>
        <v>0</v>
      </c>
      <c r="AB639" s="63" t="e">
        <f t="shared" ca="1" si="74"/>
        <v>#N/A</v>
      </c>
      <c r="AC639" s="63" t="e">
        <f t="shared" ca="1" si="75"/>
        <v>#N/A</v>
      </c>
      <c r="AD639" s="3" t="e">
        <f t="shared" ca="1" si="76"/>
        <v>#N/A</v>
      </c>
    </row>
    <row r="640" spans="8:30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Y640" s="2">
        <f t="shared" ca="1" si="72"/>
        <v>0</v>
      </c>
      <c r="Z640">
        <f t="shared" ca="1" si="73"/>
        <v>0</v>
      </c>
      <c r="AB640" s="63" t="e">
        <f t="shared" ca="1" si="74"/>
        <v>#N/A</v>
      </c>
      <c r="AC640" s="63" t="e">
        <f t="shared" ca="1" si="75"/>
        <v>#N/A</v>
      </c>
      <c r="AD640" s="3" t="e">
        <f t="shared" ca="1" si="76"/>
        <v>#N/A</v>
      </c>
    </row>
    <row r="641" spans="8:30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Y641" s="2">
        <f t="shared" ca="1" si="72"/>
        <v>0</v>
      </c>
      <c r="Z641">
        <f t="shared" ca="1" si="73"/>
        <v>0</v>
      </c>
      <c r="AB641" s="63" t="e">
        <f t="shared" ca="1" si="74"/>
        <v>#N/A</v>
      </c>
      <c r="AC641" s="63" t="e">
        <f t="shared" ca="1" si="75"/>
        <v>#N/A</v>
      </c>
      <c r="AD641" s="3" t="e">
        <f t="shared" ca="1" si="76"/>
        <v>#N/A</v>
      </c>
    </row>
    <row r="642" spans="8:30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Y642" s="2">
        <f t="shared" ca="1" si="72"/>
        <v>0</v>
      </c>
      <c r="Z642">
        <f t="shared" ca="1" si="73"/>
        <v>0</v>
      </c>
      <c r="AB642" s="63" t="e">
        <f t="shared" ca="1" si="74"/>
        <v>#N/A</v>
      </c>
      <c r="AC642" s="63" t="e">
        <f t="shared" ca="1" si="75"/>
        <v>#N/A</v>
      </c>
      <c r="AD642" s="3" t="e">
        <f t="shared" ca="1" si="76"/>
        <v>#N/A</v>
      </c>
    </row>
    <row r="643" spans="8:30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Y643" s="2">
        <f t="shared" ca="1" si="72"/>
        <v>0</v>
      </c>
      <c r="Z643">
        <f t="shared" ca="1" si="73"/>
        <v>0</v>
      </c>
      <c r="AB643" s="63" t="e">
        <f t="shared" ca="1" si="74"/>
        <v>#N/A</v>
      </c>
      <c r="AC643" s="63" t="e">
        <f t="shared" ca="1" si="75"/>
        <v>#N/A</v>
      </c>
      <c r="AD643" s="3" t="e">
        <f t="shared" ca="1" si="76"/>
        <v>#N/A</v>
      </c>
    </row>
    <row r="644" spans="8:30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Y644" s="2">
        <f t="shared" ca="1" si="72"/>
        <v>0</v>
      </c>
      <c r="Z644">
        <f t="shared" ca="1" si="73"/>
        <v>0</v>
      </c>
      <c r="AB644" s="63" t="e">
        <f t="shared" ca="1" si="74"/>
        <v>#N/A</v>
      </c>
      <c r="AC644" s="63" t="e">
        <f t="shared" ca="1" si="75"/>
        <v>#N/A</v>
      </c>
      <c r="AD644" s="3" t="e">
        <f t="shared" ca="1" si="76"/>
        <v>#N/A</v>
      </c>
    </row>
    <row r="645" spans="8:30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Y645" s="2">
        <f t="shared" ca="1" si="72"/>
        <v>0</v>
      </c>
      <c r="Z645">
        <f t="shared" ca="1" si="73"/>
        <v>0</v>
      </c>
      <c r="AB645" s="63" t="e">
        <f t="shared" ca="1" si="74"/>
        <v>#N/A</v>
      </c>
      <c r="AC645" s="63" t="e">
        <f t="shared" ca="1" si="75"/>
        <v>#N/A</v>
      </c>
      <c r="AD645" s="3" t="e">
        <f t="shared" ca="1" si="76"/>
        <v>#N/A</v>
      </c>
    </row>
    <row r="646" spans="8:30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Y646" s="2">
        <f t="shared" ca="1" si="72"/>
        <v>0</v>
      </c>
      <c r="Z646">
        <f t="shared" ca="1" si="73"/>
        <v>0</v>
      </c>
      <c r="AB646" s="63" t="e">
        <f t="shared" ca="1" si="74"/>
        <v>#N/A</v>
      </c>
      <c r="AC646" s="63" t="e">
        <f t="shared" ca="1" si="75"/>
        <v>#N/A</v>
      </c>
      <c r="AD646" s="3" t="e">
        <f t="shared" ca="1" si="76"/>
        <v>#N/A</v>
      </c>
    </row>
    <row r="647" spans="8:30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Y647" s="2">
        <f t="shared" ca="1" si="72"/>
        <v>0</v>
      </c>
      <c r="Z647">
        <f t="shared" ca="1" si="73"/>
        <v>0</v>
      </c>
      <c r="AB647" s="63" t="e">
        <f t="shared" ca="1" si="74"/>
        <v>#N/A</v>
      </c>
      <c r="AC647" s="63" t="e">
        <f t="shared" ca="1" si="75"/>
        <v>#N/A</v>
      </c>
      <c r="AD647" s="3" t="e">
        <f t="shared" ca="1" si="76"/>
        <v>#N/A</v>
      </c>
    </row>
    <row r="648" spans="8:30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Y648" s="2">
        <f t="shared" ca="1" si="72"/>
        <v>0</v>
      </c>
      <c r="Z648">
        <f t="shared" ca="1" si="73"/>
        <v>0</v>
      </c>
      <c r="AB648" s="63" t="e">
        <f t="shared" ca="1" si="74"/>
        <v>#N/A</v>
      </c>
      <c r="AC648" s="63" t="e">
        <f t="shared" ca="1" si="75"/>
        <v>#N/A</v>
      </c>
      <c r="AD648" s="3" t="e">
        <f t="shared" ca="1" si="76"/>
        <v>#N/A</v>
      </c>
    </row>
    <row r="649" spans="8:30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Y649" s="2">
        <f t="shared" ca="1" si="72"/>
        <v>0</v>
      </c>
      <c r="Z649">
        <f t="shared" ca="1" si="73"/>
        <v>0</v>
      </c>
      <c r="AB649" s="63" t="e">
        <f t="shared" ca="1" si="74"/>
        <v>#N/A</v>
      </c>
      <c r="AC649" s="63" t="e">
        <f t="shared" ca="1" si="75"/>
        <v>#N/A</v>
      </c>
      <c r="AD649" s="3" t="e">
        <f t="shared" ca="1" si="76"/>
        <v>#N/A</v>
      </c>
    </row>
    <row r="650" spans="8:30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Y650" s="2">
        <f t="shared" ca="1" si="72"/>
        <v>0</v>
      </c>
      <c r="Z650">
        <f t="shared" ca="1" si="73"/>
        <v>0</v>
      </c>
      <c r="AB650" s="63" t="e">
        <f t="shared" ca="1" si="74"/>
        <v>#N/A</v>
      </c>
      <c r="AC650" s="63" t="e">
        <f t="shared" ca="1" si="75"/>
        <v>#N/A</v>
      </c>
      <c r="AD650" s="3" t="e">
        <f t="shared" ca="1" si="76"/>
        <v>#N/A</v>
      </c>
    </row>
    <row r="651" spans="8:30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Y651" s="2">
        <f t="shared" ca="1" si="72"/>
        <v>0</v>
      </c>
      <c r="Z651">
        <f t="shared" ca="1" si="73"/>
        <v>0</v>
      </c>
      <c r="AB651" s="63" t="e">
        <f t="shared" ca="1" si="74"/>
        <v>#N/A</v>
      </c>
      <c r="AC651" s="63" t="e">
        <f t="shared" ca="1" si="75"/>
        <v>#N/A</v>
      </c>
      <c r="AD651" s="3" t="e">
        <f t="shared" ca="1" si="76"/>
        <v>#N/A</v>
      </c>
    </row>
    <row r="652" spans="8:30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Y652" s="2">
        <f t="shared" ca="1" si="72"/>
        <v>0</v>
      </c>
      <c r="Z652">
        <f t="shared" ca="1" si="73"/>
        <v>0</v>
      </c>
      <c r="AB652" s="63" t="e">
        <f t="shared" ca="1" si="74"/>
        <v>#N/A</v>
      </c>
      <c r="AC652" s="63" t="e">
        <f t="shared" ca="1" si="75"/>
        <v>#N/A</v>
      </c>
      <c r="AD652" s="3" t="e">
        <f t="shared" ca="1" si="76"/>
        <v>#N/A</v>
      </c>
    </row>
    <row r="653" spans="8:30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Y653" s="2">
        <f t="shared" ca="1" si="72"/>
        <v>0</v>
      </c>
      <c r="Z653">
        <f t="shared" ca="1" si="73"/>
        <v>0</v>
      </c>
      <c r="AB653" s="63" t="e">
        <f t="shared" ca="1" si="74"/>
        <v>#N/A</v>
      </c>
      <c r="AC653" s="63" t="e">
        <f t="shared" ca="1" si="75"/>
        <v>#N/A</v>
      </c>
      <c r="AD653" s="3" t="e">
        <f t="shared" ca="1" si="76"/>
        <v>#N/A</v>
      </c>
    </row>
    <row r="654" spans="8:30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Y654" s="2">
        <f t="shared" ca="1" si="72"/>
        <v>0</v>
      </c>
      <c r="Z654">
        <f t="shared" ca="1" si="73"/>
        <v>0</v>
      </c>
      <c r="AB654" s="63" t="e">
        <f t="shared" ca="1" si="74"/>
        <v>#N/A</v>
      </c>
      <c r="AC654" s="63" t="e">
        <f t="shared" ca="1" si="75"/>
        <v>#N/A</v>
      </c>
      <c r="AD654" s="3" t="e">
        <f t="shared" ca="1" si="76"/>
        <v>#N/A</v>
      </c>
    </row>
    <row r="655" spans="8:30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Y655" s="2">
        <f t="shared" ca="1" si="72"/>
        <v>0</v>
      </c>
      <c r="Z655">
        <f t="shared" ca="1" si="73"/>
        <v>0</v>
      </c>
      <c r="AB655" s="63" t="e">
        <f t="shared" ca="1" si="74"/>
        <v>#N/A</v>
      </c>
      <c r="AC655" s="63" t="e">
        <f t="shared" ca="1" si="75"/>
        <v>#N/A</v>
      </c>
      <c r="AD655" s="3" t="e">
        <f t="shared" ca="1" si="76"/>
        <v>#N/A</v>
      </c>
    </row>
    <row r="656" spans="8:30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Y656" s="2">
        <f t="shared" ca="1" si="72"/>
        <v>0</v>
      </c>
      <c r="Z656">
        <f t="shared" ca="1" si="73"/>
        <v>0</v>
      </c>
      <c r="AB656" s="63" t="e">
        <f t="shared" ca="1" si="74"/>
        <v>#N/A</v>
      </c>
      <c r="AC656" s="63" t="e">
        <f t="shared" ca="1" si="75"/>
        <v>#N/A</v>
      </c>
      <c r="AD656" s="3" t="e">
        <f t="shared" ca="1" si="76"/>
        <v>#N/A</v>
      </c>
    </row>
    <row r="657" spans="8:30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Y657" s="2">
        <f t="shared" ca="1" si="72"/>
        <v>0</v>
      </c>
      <c r="Z657">
        <f t="shared" ca="1" si="73"/>
        <v>0</v>
      </c>
      <c r="AB657" s="63" t="e">
        <f t="shared" ca="1" si="74"/>
        <v>#N/A</v>
      </c>
      <c r="AC657" s="63" t="e">
        <f t="shared" ca="1" si="75"/>
        <v>#N/A</v>
      </c>
      <c r="AD657" s="3" t="e">
        <f t="shared" ca="1" si="76"/>
        <v>#N/A</v>
      </c>
    </row>
    <row r="658" spans="8:30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Y658" s="2">
        <f t="shared" ca="1" si="72"/>
        <v>0</v>
      </c>
      <c r="Z658">
        <f t="shared" ca="1" si="73"/>
        <v>0</v>
      </c>
      <c r="AB658" s="63" t="e">
        <f t="shared" ca="1" si="74"/>
        <v>#N/A</v>
      </c>
      <c r="AC658" s="63" t="e">
        <f t="shared" ca="1" si="75"/>
        <v>#N/A</v>
      </c>
      <c r="AD658" s="3" t="e">
        <f t="shared" ca="1" si="76"/>
        <v>#N/A</v>
      </c>
    </row>
    <row r="659" spans="8:30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Y659" s="2">
        <f t="shared" ca="1" si="72"/>
        <v>0</v>
      </c>
      <c r="Z659">
        <f t="shared" ca="1" si="73"/>
        <v>0</v>
      </c>
      <c r="AB659" s="63" t="e">
        <f t="shared" ca="1" si="74"/>
        <v>#N/A</v>
      </c>
      <c r="AC659" s="63" t="e">
        <f t="shared" ca="1" si="75"/>
        <v>#N/A</v>
      </c>
      <c r="AD659" s="3" t="e">
        <f t="shared" ca="1" si="76"/>
        <v>#N/A</v>
      </c>
    </row>
    <row r="660" spans="8:30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Y660" s="2">
        <f t="shared" ca="1" si="72"/>
        <v>0</v>
      </c>
      <c r="Z660">
        <f t="shared" ca="1" si="73"/>
        <v>0</v>
      </c>
      <c r="AB660" s="63" t="e">
        <f t="shared" ca="1" si="74"/>
        <v>#N/A</v>
      </c>
      <c r="AC660" s="63" t="e">
        <f t="shared" ca="1" si="75"/>
        <v>#N/A</v>
      </c>
      <c r="AD660" s="3" t="e">
        <f t="shared" ca="1" si="76"/>
        <v>#N/A</v>
      </c>
    </row>
    <row r="661" spans="8:30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Y661" s="2">
        <f t="shared" ca="1" si="72"/>
        <v>0</v>
      </c>
      <c r="Z661">
        <f t="shared" ca="1" si="73"/>
        <v>0</v>
      </c>
      <c r="AB661" s="63" t="e">
        <f t="shared" ca="1" si="74"/>
        <v>#N/A</v>
      </c>
      <c r="AC661" s="63" t="e">
        <f t="shared" ca="1" si="75"/>
        <v>#N/A</v>
      </c>
      <c r="AD661" s="3" t="e">
        <f t="shared" ca="1" si="76"/>
        <v>#N/A</v>
      </c>
    </row>
    <row r="662" spans="8:30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Y662" s="2">
        <f t="shared" ca="1" si="72"/>
        <v>0</v>
      </c>
      <c r="Z662">
        <f t="shared" ca="1" si="73"/>
        <v>0</v>
      </c>
      <c r="AB662" s="63" t="e">
        <f t="shared" ca="1" si="74"/>
        <v>#N/A</v>
      </c>
      <c r="AC662" s="63" t="e">
        <f t="shared" ca="1" si="75"/>
        <v>#N/A</v>
      </c>
      <c r="AD662" s="3" t="e">
        <f t="shared" ca="1" si="76"/>
        <v>#N/A</v>
      </c>
    </row>
    <row r="663" spans="8:30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Y663" s="2">
        <f t="shared" ca="1" si="72"/>
        <v>0</v>
      </c>
      <c r="Z663">
        <f t="shared" ca="1" si="73"/>
        <v>0</v>
      </c>
      <c r="AB663" s="63" t="e">
        <f t="shared" ca="1" si="74"/>
        <v>#N/A</v>
      </c>
      <c r="AC663" s="63" t="e">
        <f t="shared" ca="1" si="75"/>
        <v>#N/A</v>
      </c>
      <c r="AD663" s="3" t="e">
        <f t="shared" ca="1" si="76"/>
        <v>#N/A</v>
      </c>
    </row>
    <row r="664" spans="8:30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Y664" s="2">
        <f t="shared" ca="1" si="72"/>
        <v>0</v>
      </c>
      <c r="Z664">
        <f t="shared" ca="1" si="73"/>
        <v>0</v>
      </c>
      <c r="AB664" s="63" t="e">
        <f t="shared" ca="1" si="74"/>
        <v>#N/A</v>
      </c>
      <c r="AC664" s="63" t="e">
        <f t="shared" ca="1" si="75"/>
        <v>#N/A</v>
      </c>
      <c r="AD664" s="3" t="e">
        <f t="shared" ca="1" si="76"/>
        <v>#N/A</v>
      </c>
    </row>
    <row r="665" spans="8:30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Y665" s="2">
        <f t="shared" ca="1" si="72"/>
        <v>0</v>
      </c>
      <c r="Z665">
        <f t="shared" ca="1" si="73"/>
        <v>0</v>
      </c>
      <c r="AB665" s="63" t="e">
        <f t="shared" ca="1" si="74"/>
        <v>#N/A</v>
      </c>
      <c r="AC665" s="63" t="e">
        <f t="shared" ca="1" si="75"/>
        <v>#N/A</v>
      </c>
      <c r="AD665" s="3" t="e">
        <f t="shared" ca="1" si="76"/>
        <v>#N/A</v>
      </c>
    </row>
    <row r="666" spans="8:30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Y666" s="2">
        <f t="shared" ca="1" si="72"/>
        <v>0</v>
      </c>
      <c r="Z666">
        <f t="shared" ca="1" si="73"/>
        <v>0</v>
      </c>
      <c r="AB666" s="63" t="e">
        <f t="shared" ca="1" si="74"/>
        <v>#N/A</v>
      </c>
      <c r="AC666" s="63" t="e">
        <f t="shared" ca="1" si="75"/>
        <v>#N/A</v>
      </c>
      <c r="AD666" s="3" t="e">
        <f t="shared" ca="1" si="76"/>
        <v>#N/A</v>
      </c>
    </row>
    <row r="667" spans="8:30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Y667" s="2">
        <f t="shared" ca="1" si="72"/>
        <v>0</v>
      </c>
      <c r="Z667">
        <f t="shared" ca="1" si="73"/>
        <v>0</v>
      </c>
      <c r="AB667" s="63" t="e">
        <f t="shared" ca="1" si="74"/>
        <v>#N/A</v>
      </c>
      <c r="AC667" s="63" t="e">
        <f t="shared" ca="1" si="75"/>
        <v>#N/A</v>
      </c>
      <c r="AD667" s="3" t="e">
        <f t="shared" ca="1" si="76"/>
        <v>#N/A</v>
      </c>
    </row>
    <row r="668" spans="8:30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Y668" s="2">
        <f t="shared" ca="1" si="72"/>
        <v>0</v>
      </c>
      <c r="Z668">
        <f t="shared" ca="1" si="73"/>
        <v>0</v>
      </c>
      <c r="AB668" s="63" t="e">
        <f t="shared" ca="1" si="74"/>
        <v>#N/A</v>
      </c>
      <c r="AC668" s="63" t="e">
        <f t="shared" ca="1" si="75"/>
        <v>#N/A</v>
      </c>
      <c r="AD668" s="3" t="e">
        <f t="shared" ca="1" si="76"/>
        <v>#N/A</v>
      </c>
    </row>
    <row r="669" spans="8:30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Y669" s="2">
        <f t="shared" ca="1" si="72"/>
        <v>0</v>
      </c>
      <c r="Z669">
        <f t="shared" ca="1" si="73"/>
        <v>0</v>
      </c>
      <c r="AB669" s="63" t="e">
        <f t="shared" ca="1" si="74"/>
        <v>#N/A</v>
      </c>
      <c r="AC669" s="63" t="e">
        <f t="shared" ca="1" si="75"/>
        <v>#N/A</v>
      </c>
      <c r="AD669" s="3" t="e">
        <f t="shared" ca="1" si="76"/>
        <v>#N/A</v>
      </c>
    </row>
    <row r="670" spans="8:30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Y670" s="2">
        <f t="shared" ca="1" si="72"/>
        <v>0</v>
      </c>
      <c r="Z670">
        <f t="shared" ca="1" si="73"/>
        <v>0</v>
      </c>
      <c r="AB670" s="63" t="e">
        <f t="shared" ca="1" si="74"/>
        <v>#N/A</v>
      </c>
      <c r="AC670" s="63" t="e">
        <f t="shared" ca="1" si="75"/>
        <v>#N/A</v>
      </c>
      <c r="AD670" s="3" t="e">
        <f t="shared" ca="1" si="76"/>
        <v>#N/A</v>
      </c>
    </row>
    <row r="671" spans="8:30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Y671" s="2">
        <f t="shared" ca="1" si="72"/>
        <v>0</v>
      </c>
      <c r="Z671">
        <f t="shared" ca="1" si="73"/>
        <v>0</v>
      </c>
      <c r="AB671" s="63" t="e">
        <f t="shared" ca="1" si="74"/>
        <v>#N/A</v>
      </c>
      <c r="AC671" s="63" t="e">
        <f t="shared" ca="1" si="75"/>
        <v>#N/A</v>
      </c>
      <c r="AD671" s="3" t="e">
        <f t="shared" ca="1" si="76"/>
        <v>#N/A</v>
      </c>
    </row>
    <row r="672" spans="8:30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Y672" s="2">
        <f t="shared" ca="1" si="72"/>
        <v>0</v>
      </c>
      <c r="Z672">
        <f t="shared" ca="1" si="73"/>
        <v>0</v>
      </c>
      <c r="AB672" s="63" t="e">
        <f t="shared" ca="1" si="74"/>
        <v>#N/A</v>
      </c>
      <c r="AC672" s="63" t="e">
        <f t="shared" ca="1" si="75"/>
        <v>#N/A</v>
      </c>
      <c r="AD672" s="3" t="e">
        <f t="shared" ca="1" si="76"/>
        <v>#N/A</v>
      </c>
    </row>
    <row r="673" spans="8:30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Y673" s="2">
        <f t="shared" ca="1" si="72"/>
        <v>0</v>
      </c>
      <c r="Z673">
        <f t="shared" ca="1" si="73"/>
        <v>0</v>
      </c>
      <c r="AB673" s="63" t="e">
        <f t="shared" ca="1" si="74"/>
        <v>#N/A</v>
      </c>
      <c r="AC673" s="63" t="e">
        <f t="shared" ca="1" si="75"/>
        <v>#N/A</v>
      </c>
      <c r="AD673" s="3" t="e">
        <f t="shared" ca="1" si="76"/>
        <v>#N/A</v>
      </c>
    </row>
    <row r="674" spans="8:30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Y674" s="2">
        <f t="shared" ca="1" si="72"/>
        <v>0</v>
      </c>
      <c r="Z674">
        <f t="shared" ca="1" si="73"/>
        <v>0</v>
      </c>
      <c r="AB674" s="63" t="e">
        <f t="shared" ca="1" si="74"/>
        <v>#N/A</v>
      </c>
      <c r="AC674" s="63" t="e">
        <f t="shared" ca="1" si="75"/>
        <v>#N/A</v>
      </c>
      <c r="AD674" s="3" t="e">
        <f t="shared" ca="1" si="76"/>
        <v>#N/A</v>
      </c>
    </row>
    <row r="675" spans="8:30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Y675" s="2">
        <f t="shared" ca="1" si="72"/>
        <v>0</v>
      </c>
      <c r="Z675">
        <f t="shared" ca="1" si="73"/>
        <v>0</v>
      </c>
      <c r="AB675" s="63" t="e">
        <f t="shared" ca="1" si="74"/>
        <v>#N/A</v>
      </c>
      <c r="AC675" s="63" t="e">
        <f t="shared" ca="1" si="75"/>
        <v>#N/A</v>
      </c>
      <c r="AD675" s="3" t="e">
        <f t="shared" ca="1" si="76"/>
        <v>#N/A</v>
      </c>
    </row>
    <row r="676" spans="8:30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Y676" s="2">
        <f t="shared" ca="1" si="72"/>
        <v>0</v>
      </c>
      <c r="Z676">
        <f t="shared" ca="1" si="73"/>
        <v>0</v>
      </c>
      <c r="AB676" s="63" t="e">
        <f t="shared" ca="1" si="74"/>
        <v>#N/A</v>
      </c>
      <c r="AC676" s="63" t="e">
        <f t="shared" ca="1" si="75"/>
        <v>#N/A</v>
      </c>
      <c r="AD676" s="3" t="e">
        <f t="shared" ca="1" si="76"/>
        <v>#N/A</v>
      </c>
    </row>
    <row r="677" spans="8:30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Y677" s="2">
        <f t="shared" ca="1" si="72"/>
        <v>0</v>
      </c>
      <c r="Z677">
        <f t="shared" ca="1" si="73"/>
        <v>0</v>
      </c>
      <c r="AB677" s="63" t="e">
        <f t="shared" ca="1" si="74"/>
        <v>#N/A</v>
      </c>
      <c r="AC677" s="63" t="e">
        <f t="shared" ca="1" si="75"/>
        <v>#N/A</v>
      </c>
      <c r="AD677" s="3" t="e">
        <f t="shared" ca="1" si="76"/>
        <v>#N/A</v>
      </c>
    </row>
    <row r="678" spans="8:30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Y678" s="2">
        <f t="shared" ca="1" si="72"/>
        <v>0</v>
      </c>
      <c r="Z678">
        <f t="shared" ca="1" si="73"/>
        <v>0</v>
      </c>
      <c r="AB678" s="63" t="e">
        <f t="shared" ca="1" si="74"/>
        <v>#N/A</v>
      </c>
      <c r="AC678" s="63" t="e">
        <f t="shared" ca="1" si="75"/>
        <v>#N/A</v>
      </c>
      <c r="AD678" s="3" t="e">
        <f t="shared" ca="1" si="76"/>
        <v>#N/A</v>
      </c>
    </row>
    <row r="679" spans="8:30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Y679" s="2">
        <f t="shared" ca="1" si="72"/>
        <v>0</v>
      </c>
      <c r="Z679">
        <f t="shared" ca="1" si="73"/>
        <v>0</v>
      </c>
      <c r="AB679" s="63" t="e">
        <f t="shared" ca="1" si="74"/>
        <v>#N/A</v>
      </c>
      <c r="AC679" s="63" t="e">
        <f t="shared" ca="1" si="75"/>
        <v>#N/A</v>
      </c>
      <c r="AD679" s="3" t="e">
        <f t="shared" ca="1" si="76"/>
        <v>#N/A</v>
      </c>
    </row>
    <row r="680" spans="8:30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Y680" s="2">
        <f t="shared" ca="1" si="72"/>
        <v>0</v>
      </c>
      <c r="Z680">
        <f t="shared" ca="1" si="73"/>
        <v>0</v>
      </c>
      <c r="AB680" s="63" t="e">
        <f t="shared" ca="1" si="74"/>
        <v>#N/A</v>
      </c>
      <c r="AC680" s="63" t="e">
        <f t="shared" ca="1" si="75"/>
        <v>#N/A</v>
      </c>
      <c r="AD680" s="3" t="e">
        <f t="shared" ca="1" si="76"/>
        <v>#N/A</v>
      </c>
    </row>
    <row r="681" spans="8:30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Y681" s="2">
        <f t="shared" ca="1" si="72"/>
        <v>0</v>
      </c>
      <c r="Z681">
        <f t="shared" ca="1" si="73"/>
        <v>0</v>
      </c>
      <c r="AB681" s="63" t="e">
        <f t="shared" ca="1" si="74"/>
        <v>#N/A</v>
      </c>
      <c r="AC681" s="63" t="e">
        <f t="shared" ca="1" si="75"/>
        <v>#N/A</v>
      </c>
      <c r="AD681" s="3" t="e">
        <f t="shared" ca="1" si="76"/>
        <v>#N/A</v>
      </c>
    </row>
    <row r="682" spans="8:30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Y682" s="2">
        <f t="shared" ca="1" si="72"/>
        <v>0</v>
      </c>
      <c r="Z682">
        <f t="shared" ca="1" si="73"/>
        <v>0</v>
      </c>
      <c r="AB682" s="63" t="e">
        <f t="shared" ca="1" si="74"/>
        <v>#N/A</v>
      </c>
      <c r="AC682" s="63" t="e">
        <f t="shared" ca="1" si="75"/>
        <v>#N/A</v>
      </c>
      <c r="AD682" s="3" t="e">
        <f t="shared" ca="1" si="76"/>
        <v>#N/A</v>
      </c>
    </row>
    <row r="683" spans="8:30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Y683" s="2">
        <f t="shared" ca="1" si="72"/>
        <v>0</v>
      </c>
      <c r="Z683">
        <f t="shared" ca="1" si="73"/>
        <v>0</v>
      </c>
      <c r="AB683" s="63" t="e">
        <f t="shared" ca="1" si="74"/>
        <v>#N/A</v>
      </c>
      <c r="AC683" s="63" t="e">
        <f t="shared" ca="1" si="75"/>
        <v>#N/A</v>
      </c>
      <c r="AD683" s="3" t="e">
        <f t="shared" ca="1" si="76"/>
        <v>#N/A</v>
      </c>
    </row>
    <row r="684" spans="8:30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Y684" s="2">
        <f t="shared" ca="1" si="72"/>
        <v>0</v>
      </c>
      <c r="Z684">
        <f t="shared" ca="1" si="73"/>
        <v>0</v>
      </c>
      <c r="AB684" s="63" t="e">
        <f t="shared" ca="1" si="74"/>
        <v>#N/A</v>
      </c>
      <c r="AC684" s="63" t="e">
        <f t="shared" ca="1" si="75"/>
        <v>#N/A</v>
      </c>
      <c r="AD684" s="3" t="e">
        <f t="shared" ca="1" si="76"/>
        <v>#N/A</v>
      </c>
    </row>
    <row r="685" spans="8:30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Y685" s="2">
        <f t="shared" ca="1" si="72"/>
        <v>0</v>
      </c>
      <c r="Z685">
        <f t="shared" ca="1" si="73"/>
        <v>0</v>
      </c>
      <c r="AB685" s="63" t="e">
        <f t="shared" ca="1" si="74"/>
        <v>#N/A</v>
      </c>
      <c r="AC685" s="63" t="e">
        <f t="shared" ca="1" si="75"/>
        <v>#N/A</v>
      </c>
      <c r="AD685" s="3" t="e">
        <f t="shared" ca="1" si="76"/>
        <v>#N/A</v>
      </c>
    </row>
    <row r="686" spans="8:30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Y686" s="2">
        <f t="shared" ca="1" si="72"/>
        <v>0</v>
      </c>
      <c r="Z686">
        <f t="shared" ca="1" si="73"/>
        <v>0</v>
      </c>
      <c r="AB686" s="63" t="e">
        <f t="shared" ca="1" si="74"/>
        <v>#N/A</v>
      </c>
      <c r="AC686" s="63" t="e">
        <f t="shared" ca="1" si="75"/>
        <v>#N/A</v>
      </c>
      <c r="AD686" s="3" t="e">
        <f t="shared" ca="1" si="76"/>
        <v>#N/A</v>
      </c>
    </row>
    <row r="687" spans="8:30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Y687" s="2">
        <f t="shared" ca="1" si="72"/>
        <v>0</v>
      </c>
      <c r="Z687">
        <f t="shared" ca="1" si="73"/>
        <v>0</v>
      </c>
      <c r="AB687" s="63" t="e">
        <f t="shared" ca="1" si="74"/>
        <v>#N/A</v>
      </c>
      <c r="AC687" s="63" t="e">
        <f t="shared" ca="1" si="75"/>
        <v>#N/A</v>
      </c>
      <c r="AD687" s="3" t="e">
        <f t="shared" ca="1" si="76"/>
        <v>#N/A</v>
      </c>
    </row>
    <row r="688" spans="8:30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Y688" s="2">
        <f t="shared" ca="1" si="72"/>
        <v>0</v>
      </c>
      <c r="Z688">
        <f t="shared" ca="1" si="73"/>
        <v>0</v>
      </c>
      <c r="AB688" s="63" t="e">
        <f t="shared" ca="1" si="74"/>
        <v>#N/A</v>
      </c>
      <c r="AC688" s="63" t="e">
        <f t="shared" ca="1" si="75"/>
        <v>#N/A</v>
      </c>
      <c r="AD688" s="3" t="e">
        <f t="shared" ca="1" si="76"/>
        <v>#N/A</v>
      </c>
    </row>
    <row r="689" spans="8:30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Y689" s="2">
        <f t="shared" ca="1" si="72"/>
        <v>0</v>
      </c>
      <c r="Z689">
        <f t="shared" ca="1" si="73"/>
        <v>0</v>
      </c>
      <c r="AB689" s="63" t="e">
        <f t="shared" ca="1" si="74"/>
        <v>#N/A</v>
      </c>
      <c r="AC689" s="63" t="e">
        <f t="shared" ca="1" si="75"/>
        <v>#N/A</v>
      </c>
      <c r="AD689" s="3" t="e">
        <f t="shared" ca="1" si="76"/>
        <v>#N/A</v>
      </c>
    </row>
    <row r="690" spans="8:30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Y690" s="2">
        <f t="shared" ca="1" si="72"/>
        <v>0</v>
      </c>
      <c r="Z690">
        <f t="shared" ca="1" si="73"/>
        <v>0</v>
      </c>
      <c r="AB690" s="63" t="e">
        <f t="shared" ca="1" si="74"/>
        <v>#N/A</v>
      </c>
      <c r="AC690" s="63" t="e">
        <f t="shared" ca="1" si="75"/>
        <v>#N/A</v>
      </c>
      <c r="AD690" s="3" t="e">
        <f t="shared" ca="1" si="76"/>
        <v>#N/A</v>
      </c>
    </row>
    <row r="691" spans="8:30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Y691" s="2">
        <f t="shared" ca="1" si="72"/>
        <v>0</v>
      </c>
      <c r="Z691">
        <f t="shared" ca="1" si="73"/>
        <v>0</v>
      </c>
      <c r="AB691" s="63" t="e">
        <f t="shared" ca="1" si="74"/>
        <v>#N/A</v>
      </c>
      <c r="AC691" s="63" t="e">
        <f t="shared" ca="1" si="75"/>
        <v>#N/A</v>
      </c>
      <c r="AD691" s="3" t="e">
        <f t="shared" ca="1" si="76"/>
        <v>#N/A</v>
      </c>
    </row>
    <row r="692" spans="8:30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Y692" s="2">
        <f t="shared" ca="1" si="72"/>
        <v>0</v>
      </c>
      <c r="Z692">
        <f t="shared" ca="1" si="73"/>
        <v>0</v>
      </c>
      <c r="AB692" s="63" t="e">
        <f t="shared" ca="1" si="74"/>
        <v>#N/A</v>
      </c>
      <c r="AC692" s="63" t="e">
        <f t="shared" ca="1" si="75"/>
        <v>#N/A</v>
      </c>
      <c r="AD692" s="3" t="e">
        <f t="shared" ca="1" si="76"/>
        <v>#N/A</v>
      </c>
    </row>
    <row r="693" spans="8:30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Y693" s="2">
        <f t="shared" ref="Y693:Y756" ca="1" si="79">IFERROR(J693,$Y$9)</f>
        <v>0</v>
      </c>
      <c r="Z693">
        <f t="shared" ref="Z693:Z756" ca="1" si="80">IFERROR(O693,0)</f>
        <v>0</v>
      </c>
      <c r="AB693" s="63" t="e">
        <f t="shared" ref="AB693:AB756" ca="1" si="81">K692+M693+N693+O693</f>
        <v>#N/A</v>
      </c>
      <c r="AC693" s="63" t="e">
        <f t="shared" ref="AC693:AC756" ca="1" si="82">K693+L693+R693</f>
        <v>#N/A</v>
      </c>
      <c r="AD693" s="3" t="e">
        <f t="shared" ref="AD693:AD756" ca="1" si="83">AC693-AB693</f>
        <v>#N/A</v>
      </c>
    </row>
    <row r="694" spans="8:30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Y694" s="2">
        <f t="shared" ca="1" si="79"/>
        <v>0</v>
      </c>
      <c r="Z694">
        <f t="shared" ca="1" si="80"/>
        <v>0</v>
      </c>
      <c r="AB694" s="63" t="e">
        <f t="shared" ca="1" si="81"/>
        <v>#N/A</v>
      </c>
      <c r="AC694" s="63" t="e">
        <f t="shared" ca="1" si="82"/>
        <v>#N/A</v>
      </c>
      <c r="AD694" s="3" t="e">
        <f t="shared" ca="1" si="83"/>
        <v>#N/A</v>
      </c>
    </row>
    <row r="695" spans="8:30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Y695" s="2">
        <f t="shared" ca="1" si="79"/>
        <v>0</v>
      </c>
      <c r="Z695">
        <f t="shared" ca="1" si="80"/>
        <v>0</v>
      </c>
      <c r="AB695" s="63" t="e">
        <f t="shared" ca="1" si="81"/>
        <v>#N/A</v>
      </c>
      <c r="AC695" s="63" t="e">
        <f t="shared" ca="1" si="82"/>
        <v>#N/A</v>
      </c>
      <c r="AD695" s="3" t="e">
        <f t="shared" ca="1" si="83"/>
        <v>#N/A</v>
      </c>
    </row>
    <row r="696" spans="8:30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Y696" s="2">
        <f t="shared" ca="1" si="79"/>
        <v>0</v>
      </c>
      <c r="Z696">
        <f t="shared" ca="1" si="80"/>
        <v>0</v>
      </c>
      <c r="AB696" s="63" t="e">
        <f t="shared" ca="1" si="81"/>
        <v>#N/A</v>
      </c>
      <c r="AC696" s="63" t="e">
        <f t="shared" ca="1" si="82"/>
        <v>#N/A</v>
      </c>
      <c r="AD696" s="3" t="e">
        <f t="shared" ca="1" si="83"/>
        <v>#N/A</v>
      </c>
    </row>
    <row r="697" spans="8:30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Y697" s="2">
        <f t="shared" ca="1" si="79"/>
        <v>0</v>
      </c>
      <c r="Z697">
        <f t="shared" ca="1" si="80"/>
        <v>0</v>
      </c>
      <c r="AB697" s="63" t="e">
        <f t="shared" ca="1" si="81"/>
        <v>#N/A</v>
      </c>
      <c r="AC697" s="63" t="e">
        <f t="shared" ca="1" si="82"/>
        <v>#N/A</v>
      </c>
      <c r="AD697" s="3" t="e">
        <f t="shared" ca="1" si="83"/>
        <v>#N/A</v>
      </c>
    </row>
    <row r="698" spans="8:30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Y698" s="2">
        <f t="shared" ca="1" si="79"/>
        <v>0</v>
      </c>
      <c r="Z698">
        <f t="shared" ca="1" si="80"/>
        <v>0</v>
      </c>
      <c r="AB698" s="63" t="e">
        <f t="shared" ca="1" si="81"/>
        <v>#N/A</v>
      </c>
      <c r="AC698" s="63" t="e">
        <f t="shared" ca="1" si="82"/>
        <v>#N/A</v>
      </c>
      <c r="AD698" s="3" t="e">
        <f t="shared" ca="1" si="83"/>
        <v>#N/A</v>
      </c>
    </row>
    <row r="699" spans="8:30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Y699" s="2">
        <f t="shared" ca="1" si="79"/>
        <v>0</v>
      </c>
      <c r="Z699">
        <f t="shared" ca="1" si="80"/>
        <v>0</v>
      </c>
      <c r="AB699" s="63" t="e">
        <f t="shared" ca="1" si="81"/>
        <v>#N/A</v>
      </c>
      <c r="AC699" s="63" t="e">
        <f t="shared" ca="1" si="82"/>
        <v>#N/A</v>
      </c>
      <c r="AD699" s="3" t="e">
        <f t="shared" ca="1" si="83"/>
        <v>#N/A</v>
      </c>
    </row>
    <row r="700" spans="8:30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Y700" s="2">
        <f t="shared" ca="1" si="79"/>
        <v>0</v>
      </c>
      <c r="Z700">
        <f t="shared" ca="1" si="80"/>
        <v>0</v>
      </c>
      <c r="AB700" s="63" t="e">
        <f t="shared" ca="1" si="81"/>
        <v>#N/A</v>
      </c>
      <c r="AC700" s="63" t="e">
        <f t="shared" ca="1" si="82"/>
        <v>#N/A</v>
      </c>
      <c r="AD700" s="3" t="e">
        <f t="shared" ca="1" si="83"/>
        <v>#N/A</v>
      </c>
    </row>
    <row r="701" spans="8:30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Y701" s="2">
        <f t="shared" ca="1" si="79"/>
        <v>0</v>
      </c>
      <c r="Z701">
        <f t="shared" ca="1" si="80"/>
        <v>0</v>
      </c>
      <c r="AB701" s="63" t="e">
        <f t="shared" ca="1" si="81"/>
        <v>#N/A</v>
      </c>
      <c r="AC701" s="63" t="e">
        <f t="shared" ca="1" si="82"/>
        <v>#N/A</v>
      </c>
      <c r="AD701" s="3" t="e">
        <f t="shared" ca="1" si="83"/>
        <v>#N/A</v>
      </c>
    </row>
    <row r="702" spans="8:30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Y702" s="2">
        <f t="shared" ca="1" si="79"/>
        <v>0</v>
      </c>
      <c r="Z702">
        <f t="shared" ca="1" si="80"/>
        <v>0</v>
      </c>
      <c r="AB702" s="63" t="e">
        <f t="shared" ca="1" si="81"/>
        <v>#N/A</v>
      </c>
      <c r="AC702" s="63" t="e">
        <f t="shared" ca="1" si="82"/>
        <v>#N/A</v>
      </c>
      <c r="AD702" s="3" t="e">
        <f t="shared" ca="1" si="83"/>
        <v>#N/A</v>
      </c>
    </row>
    <row r="703" spans="8:30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Y703" s="2">
        <f t="shared" ca="1" si="79"/>
        <v>0</v>
      </c>
      <c r="Z703">
        <f t="shared" ca="1" si="80"/>
        <v>0</v>
      </c>
      <c r="AB703" s="63" t="e">
        <f t="shared" ca="1" si="81"/>
        <v>#N/A</v>
      </c>
      <c r="AC703" s="63" t="e">
        <f t="shared" ca="1" si="82"/>
        <v>#N/A</v>
      </c>
      <c r="AD703" s="3" t="e">
        <f t="shared" ca="1" si="83"/>
        <v>#N/A</v>
      </c>
    </row>
    <row r="704" spans="8:30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Y704" s="2">
        <f t="shared" ca="1" si="79"/>
        <v>0</v>
      </c>
      <c r="Z704">
        <f t="shared" ca="1" si="80"/>
        <v>0</v>
      </c>
      <c r="AB704" s="63" t="e">
        <f t="shared" ca="1" si="81"/>
        <v>#N/A</v>
      </c>
      <c r="AC704" s="63" t="e">
        <f t="shared" ca="1" si="82"/>
        <v>#N/A</v>
      </c>
      <c r="AD704" s="3" t="e">
        <f t="shared" ca="1" si="83"/>
        <v>#N/A</v>
      </c>
    </row>
    <row r="705" spans="8:30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Y705" s="2">
        <f t="shared" ca="1" si="79"/>
        <v>0</v>
      </c>
      <c r="Z705">
        <f t="shared" ca="1" si="80"/>
        <v>0</v>
      </c>
      <c r="AB705" s="63" t="e">
        <f t="shared" ca="1" si="81"/>
        <v>#N/A</v>
      </c>
      <c r="AC705" s="63" t="e">
        <f t="shared" ca="1" si="82"/>
        <v>#N/A</v>
      </c>
      <c r="AD705" s="3" t="e">
        <f t="shared" ca="1" si="83"/>
        <v>#N/A</v>
      </c>
    </row>
    <row r="706" spans="8:30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Y706" s="2">
        <f t="shared" ca="1" si="79"/>
        <v>0</v>
      </c>
      <c r="Z706">
        <f t="shared" ca="1" si="80"/>
        <v>0</v>
      </c>
      <c r="AB706" s="63" t="e">
        <f t="shared" ca="1" si="81"/>
        <v>#N/A</v>
      </c>
      <c r="AC706" s="63" t="e">
        <f t="shared" ca="1" si="82"/>
        <v>#N/A</v>
      </c>
      <c r="AD706" s="3" t="e">
        <f t="shared" ca="1" si="83"/>
        <v>#N/A</v>
      </c>
    </row>
    <row r="707" spans="8:30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Y707" s="2">
        <f t="shared" ca="1" si="79"/>
        <v>0</v>
      </c>
      <c r="Z707">
        <f t="shared" ca="1" si="80"/>
        <v>0</v>
      </c>
      <c r="AB707" s="63" t="e">
        <f t="shared" ca="1" si="81"/>
        <v>#N/A</v>
      </c>
      <c r="AC707" s="63" t="e">
        <f t="shared" ca="1" si="82"/>
        <v>#N/A</v>
      </c>
      <c r="AD707" s="3" t="e">
        <f t="shared" ca="1" si="83"/>
        <v>#N/A</v>
      </c>
    </row>
    <row r="708" spans="8:30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Y708" s="2">
        <f t="shared" ca="1" si="79"/>
        <v>0</v>
      </c>
      <c r="Z708">
        <f t="shared" ca="1" si="80"/>
        <v>0</v>
      </c>
      <c r="AB708" s="63" t="e">
        <f t="shared" ca="1" si="81"/>
        <v>#N/A</v>
      </c>
      <c r="AC708" s="63" t="e">
        <f t="shared" ca="1" si="82"/>
        <v>#N/A</v>
      </c>
      <c r="AD708" s="3" t="e">
        <f t="shared" ca="1" si="83"/>
        <v>#N/A</v>
      </c>
    </row>
    <row r="709" spans="8:30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Y709" s="2">
        <f t="shared" ca="1" si="79"/>
        <v>0</v>
      </c>
      <c r="Z709">
        <f t="shared" ca="1" si="80"/>
        <v>0</v>
      </c>
      <c r="AB709" s="63" t="e">
        <f t="shared" ca="1" si="81"/>
        <v>#N/A</v>
      </c>
      <c r="AC709" s="63" t="e">
        <f t="shared" ca="1" si="82"/>
        <v>#N/A</v>
      </c>
      <c r="AD709" s="3" t="e">
        <f t="shared" ca="1" si="83"/>
        <v>#N/A</v>
      </c>
    </row>
    <row r="710" spans="8:30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Y710" s="2">
        <f t="shared" ca="1" si="79"/>
        <v>0</v>
      </c>
      <c r="Z710">
        <f t="shared" ca="1" si="80"/>
        <v>0</v>
      </c>
      <c r="AB710" s="63" t="e">
        <f t="shared" ca="1" si="81"/>
        <v>#N/A</v>
      </c>
      <c r="AC710" s="63" t="e">
        <f t="shared" ca="1" si="82"/>
        <v>#N/A</v>
      </c>
      <c r="AD710" s="3" t="e">
        <f t="shared" ca="1" si="83"/>
        <v>#N/A</v>
      </c>
    </row>
    <row r="711" spans="8:30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Y711" s="2">
        <f t="shared" ca="1" si="79"/>
        <v>0</v>
      </c>
      <c r="Z711">
        <f t="shared" ca="1" si="80"/>
        <v>0</v>
      </c>
      <c r="AB711" s="63" t="e">
        <f t="shared" ca="1" si="81"/>
        <v>#N/A</v>
      </c>
      <c r="AC711" s="63" t="e">
        <f t="shared" ca="1" si="82"/>
        <v>#N/A</v>
      </c>
      <c r="AD711" s="3" t="e">
        <f t="shared" ca="1" si="83"/>
        <v>#N/A</v>
      </c>
    </row>
    <row r="712" spans="8:30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Y712" s="2">
        <f t="shared" ca="1" si="79"/>
        <v>0</v>
      </c>
      <c r="Z712">
        <f t="shared" ca="1" si="80"/>
        <v>0</v>
      </c>
      <c r="AB712" s="63" t="e">
        <f t="shared" ca="1" si="81"/>
        <v>#N/A</v>
      </c>
      <c r="AC712" s="63" t="e">
        <f t="shared" ca="1" si="82"/>
        <v>#N/A</v>
      </c>
      <c r="AD712" s="3" t="e">
        <f t="shared" ca="1" si="83"/>
        <v>#N/A</v>
      </c>
    </row>
    <row r="713" spans="8:30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Y713" s="2">
        <f t="shared" ca="1" si="79"/>
        <v>0</v>
      </c>
      <c r="Z713">
        <f t="shared" ca="1" si="80"/>
        <v>0</v>
      </c>
      <c r="AB713" s="63" t="e">
        <f t="shared" ca="1" si="81"/>
        <v>#N/A</v>
      </c>
      <c r="AC713" s="63" t="e">
        <f t="shared" ca="1" si="82"/>
        <v>#N/A</v>
      </c>
      <c r="AD713" s="3" t="e">
        <f t="shared" ca="1" si="83"/>
        <v>#N/A</v>
      </c>
    </row>
    <row r="714" spans="8:30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Y714" s="2">
        <f t="shared" ca="1" si="79"/>
        <v>0</v>
      </c>
      <c r="Z714">
        <f t="shared" ca="1" si="80"/>
        <v>0</v>
      </c>
      <c r="AB714" s="63" t="e">
        <f t="shared" ca="1" si="81"/>
        <v>#N/A</v>
      </c>
      <c r="AC714" s="63" t="e">
        <f t="shared" ca="1" si="82"/>
        <v>#N/A</v>
      </c>
      <c r="AD714" s="3" t="e">
        <f t="shared" ca="1" si="83"/>
        <v>#N/A</v>
      </c>
    </row>
    <row r="715" spans="8:30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Y715" s="2">
        <f t="shared" ca="1" si="79"/>
        <v>0</v>
      </c>
      <c r="Z715">
        <f t="shared" ca="1" si="80"/>
        <v>0</v>
      </c>
      <c r="AB715" s="63" t="e">
        <f t="shared" ca="1" si="81"/>
        <v>#N/A</v>
      </c>
      <c r="AC715" s="63" t="e">
        <f t="shared" ca="1" si="82"/>
        <v>#N/A</v>
      </c>
      <c r="AD715" s="3" t="e">
        <f t="shared" ca="1" si="83"/>
        <v>#N/A</v>
      </c>
    </row>
    <row r="716" spans="8:30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Y716" s="2">
        <f t="shared" ca="1" si="79"/>
        <v>0</v>
      </c>
      <c r="Z716">
        <f t="shared" ca="1" si="80"/>
        <v>0</v>
      </c>
      <c r="AB716" s="63" t="e">
        <f t="shared" ca="1" si="81"/>
        <v>#N/A</v>
      </c>
      <c r="AC716" s="63" t="e">
        <f t="shared" ca="1" si="82"/>
        <v>#N/A</v>
      </c>
      <c r="AD716" s="3" t="e">
        <f t="shared" ca="1" si="83"/>
        <v>#N/A</v>
      </c>
    </row>
    <row r="717" spans="8:30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Y717" s="2">
        <f t="shared" ca="1" si="79"/>
        <v>0</v>
      </c>
      <c r="Z717">
        <f t="shared" ca="1" si="80"/>
        <v>0</v>
      </c>
      <c r="AB717" s="63" t="e">
        <f t="shared" ca="1" si="81"/>
        <v>#N/A</v>
      </c>
      <c r="AC717" s="63" t="e">
        <f t="shared" ca="1" si="82"/>
        <v>#N/A</v>
      </c>
      <c r="AD717" s="3" t="e">
        <f t="shared" ca="1" si="83"/>
        <v>#N/A</v>
      </c>
    </row>
    <row r="718" spans="8:30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Y718" s="2">
        <f t="shared" ca="1" si="79"/>
        <v>0</v>
      </c>
      <c r="Z718">
        <f t="shared" ca="1" si="80"/>
        <v>0</v>
      </c>
      <c r="AB718" s="63" t="e">
        <f t="shared" ca="1" si="81"/>
        <v>#N/A</v>
      </c>
      <c r="AC718" s="63" t="e">
        <f t="shared" ca="1" si="82"/>
        <v>#N/A</v>
      </c>
      <c r="AD718" s="3" t="e">
        <f t="shared" ca="1" si="83"/>
        <v>#N/A</v>
      </c>
    </row>
    <row r="719" spans="8:30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Y719" s="2">
        <f t="shared" ca="1" si="79"/>
        <v>0</v>
      </c>
      <c r="Z719">
        <f t="shared" ca="1" si="80"/>
        <v>0</v>
      </c>
      <c r="AB719" s="63" t="e">
        <f t="shared" ca="1" si="81"/>
        <v>#N/A</v>
      </c>
      <c r="AC719" s="63" t="e">
        <f t="shared" ca="1" si="82"/>
        <v>#N/A</v>
      </c>
      <c r="AD719" s="3" t="e">
        <f t="shared" ca="1" si="83"/>
        <v>#N/A</v>
      </c>
    </row>
    <row r="720" spans="8:30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Y720" s="2">
        <f t="shared" ca="1" si="79"/>
        <v>0</v>
      </c>
      <c r="Z720">
        <f t="shared" ca="1" si="80"/>
        <v>0</v>
      </c>
      <c r="AB720" s="63" t="e">
        <f t="shared" ca="1" si="81"/>
        <v>#N/A</v>
      </c>
      <c r="AC720" s="63" t="e">
        <f t="shared" ca="1" si="82"/>
        <v>#N/A</v>
      </c>
      <c r="AD720" s="3" t="e">
        <f t="shared" ca="1" si="83"/>
        <v>#N/A</v>
      </c>
    </row>
    <row r="721" spans="8:30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Y721" s="2">
        <f t="shared" ca="1" si="79"/>
        <v>0</v>
      </c>
      <c r="Z721">
        <f t="shared" ca="1" si="80"/>
        <v>0</v>
      </c>
      <c r="AB721" s="63" t="e">
        <f t="shared" ca="1" si="81"/>
        <v>#N/A</v>
      </c>
      <c r="AC721" s="63" t="e">
        <f t="shared" ca="1" si="82"/>
        <v>#N/A</v>
      </c>
      <c r="AD721" s="3" t="e">
        <f t="shared" ca="1" si="83"/>
        <v>#N/A</v>
      </c>
    </row>
    <row r="722" spans="8:30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Y722" s="2">
        <f t="shared" ca="1" si="79"/>
        <v>0</v>
      </c>
      <c r="Z722">
        <f t="shared" ca="1" si="80"/>
        <v>0</v>
      </c>
      <c r="AB722" s="63" t="e">
        <f t="shared" ca="1" si="81"/>
        <v>#N/A</v>
      </c>
      <c r="AC722" s="63" t="e">
        <f t="shared" ca="1" si="82"/>
        <v>#N/A</v>
      </c>
      <c r="AD722" s="3" t="e">
        <f t="shared" ca="1" si="83"/>
        <v>#N/A</v>
      </c>
    </row>
    <row r="723" spans="8:30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Y723" s="2">
        <f t="shared" ca="1" si="79"/>
        <v>0</v>
      </c>
      <c r="Z723">
        <f t="shared" ca="1" si="80"/>
        <v>0</v>
      </c>
      <c r="AB723" s="63" t="e">
        <f t="shared" ca="1" si="81"/>
        <v>#N/A</v>
      </c>
      <c r="AC723" s="63" t="e">
        <f t="shared" ca="1" si="82"/>
        <v>#N/A</v>
      </c>
      <c r="AD723" s="3" t="e">
        <f t="shared" ca="1" si="83"/>
        <v>#N/A</v>
      </c>
    </row>
    <row r="724" spans="8:30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Y724" s="2">
        <f t="shared" ca="1" si="79"/>
        <v>0</v>
      </c>
      <c r="Z724">
        <f t="shared" ca="1" si="80"/>
        <v>0</v>
      </c>
      <c r="AB724" s="63" t="e">
        <f t="shared" ca="1" si="81"/>
        <v>#N/A</v>
      </c>
      <c r="AC724" s="63" t="e">
        <f t="shared" ca="1" si="82"/>
        <v>#N/A</v>
      </c>
      <c r="AD724" s="3" t="e">
        <f t="shared" ca="1" si="83"/>
        <v>#N/A</v>
      </c>
    </row>
    <row r="725" spans="8:30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Y725" s="2">
        <f t="shared" ca="1" si="79"/>
        <v>0</v>
      </c>
      <c r="Z725">
        <f t="shared" ca="1" si="80"/>
        <v>0</v>
      </c>
      <c r="AB725" s="63" t="e">
        <f t="shared" ca="1" si="81"/>
        <v>#N/A</v>
      </c>
      <c r="AC725" s="63" t="e">
        <f t="shared" ca="1" si="82"/>
        <v>#N/A</v>
      </c>
      <c r="AD725" s="3" t="e">
        <f t="shared" ca="1" si="83"/>
        <v>#N/A</v>
      </c>
    </row>
    <row r="726" spans="8:30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Y726" s="2">
        <f t="shared" ca="1" si="79"/>
        <v>0</v>
      </c>
      <c r="Z726">
        <f t="shared" ca="1" si="80"/>
        <v>0</v>
      </c>
      <c r="AB726" s="63" t="e">
        <f t="shared" ca="1" si="81"/>
        <v>#N/A</v>
      </c>
      <c r="AC726" s="63" t="e">
        <f t="shared" ca="1" si="82"/>
        <v>#N/A</v>
      </c>
      <c r="AD726" s="3" t="e">
        <f t="shared" ca="1" si="83"/>
        <v>#N/A</v>
      </c>
    </row>
    <row r="727" spans="8:30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Y727" s="2">
        <f t="shared" ca="1" si="79"/>
        <v>0</v>
      </c>
      <c r="Z727">
        <f t="shared" ca="1" si="80"/>
        <v>0</v>
      </c>
      <c r="AB727" s="63" t="e">
        <f t="shared" ca="1" si="81"/>
        <v>#N/A</v>
      </c>
      <c r="AC727" s="63" t="e">
        <f t="shared" ca="1" si="82"/>
        <v>#N/A</v>
      </c>
      <c r="AD727" s="3" t="e">
        <f t="shared" ca="1" si="83"/>
        <v>#N/A</v>
      </c>
    </row>
    <row r="728" spans="8:30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Y728" s="2">
        <f t="shared" ca="1" si="79"/>
        <v>0</v>
      </c>
      <c r="Z728">
        <f t="shared" ca="1" si="80"/>
        <v>0</v>
      </c>
      <c r="AB728" s="63" t="e">
        <f t="shared" ca="1" si="81"/>
        <v>#N/A</v>
      </c>
      <c r="AC728" s="63" t="e">
        <f t="shared" ca="1" si="82"/>
        <v>#N/A</v>
      </c>
      <c r="AD728" s="3" t="e">
        <f t="shared" ca="1" si="83"/>
        <v>#N/A</v>
      </c>
    </row>
    <row r="729" spans="8:30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Y729" s="2">
        <f t="shared" ca="1" si="79"/>
        <v>0</v>
      </c>
      <c r="Z729">
        <f t="shared" ca="1" si="80"/>
        <v>0</v>
      </c>
      <c r="AB729" s="63" t="e">
        <f t="shared" ca="1" si="81"/>
        <v>#N/A</v>
      </c>
      <c r="AC729" s="63" t="e">
        <f t="shared" ca="1" si="82"/>
        <v>#N/A</v>
      </c>
      <c r="AD729" s="3" t="e">
        <f t="shared" ca="1" si="83"/>
        <v>#N/A</v>
      </c>
    </row>
    <row r="730" spans="8:30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Y730" s="2">
        <f t="shared" ca="1" si="79"/>
        <v>0</v>
      </c>
      <c r="Z730">
        <f t="shared" ca="1" si="80"/>
        <v>0</v>
      </c>
      <c r="AB730" s="63" t="e">
        <f t="shared" ca="1" si="81"/>
        <v>#N/A</v>
      </c>
      <c r="AC730" s="63" t="e">
        <f t="shared" ca="1" si="82"/>
        <v>#N/A</v>
      </c>
      <c r="AD730" s="3" t="e">
        <f t="shared" ca="1" si="83"/>
        <v>#N/A</v>
      </c>
    </row>
    <row r="731" spans="8:30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Y731" s="2">
        <f t="shared" ca="1" si="79"/>
        <v>0</v>
      </c>
      <c r="Z731">
        <f t="shared" ca="1" si="80"/>
        <v>0</v>
      </c>
      <c r="AB731" s="63" t="e">
        <f t="shared" ca="1" si="81"/>
        <v>#N/A</v>
      </c>
      <c r="AC731" s="63" t="e">
        <f t="shared" ca="1" si="82"/>
        <v>#N/A</v>
      </c>
      <c r="AD731" s="3" t="e">
        <f t="shared" ca="1" si="83"/>
        <v>#N/A</v>
      </c>
    </row>
    <row r="732" spans="8:30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Y732" s="2">
        <f t="shared" ca="1" si="79"/>
        <v>0</v>
      </c>
      <c r="Z732">
        <f t="shared" ca="1" si="80"/>
        <v>0</v>
      </c>
      <c r="AB732" s="63" t="e">
        <f t="shared" ca="1" si="81"/>
        <v>#N/A</v>
      </c>
      <c r="AC732" s="63" t="e">
        <f t="shared" ca="1" si="82"/>
        <v>#N/A</v>
      </c>
      <c r="AD732" s="3" t="e">
        <f t="shared" ca="1" si="83"/>
        <v>#N/A</v>
      </c>
    </row>
    <row r="733" spans="8:30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Y733" s="2">
        <f t="shared" ca="1" si="79"/>
        <v>0</v>
      </c>
      <c r="Z733">
        <f t="shared" ca="1" si="80"/>
        <v>0</v>
      </c>
      <c r="AB733" s="63" t="e">
        <f t="shared" ca="1" si="81"/>
        <v>#N/A</v>
      </c>
      <c r="AC733" s="63" t="e">
        <f t="shared" ca="1" si="82"/>
        <v>#N/A</v>
      </c>
      <c r="AD733" s="3" t="e">
        <f t="shared" ca="1" si="83"/>
        <v>#N/A</v>
      </c>
    </row>
    <row r="734" spans="8:30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Y734" s="2">
        <f t="shared" ca="1" si="79"/>
        <v>0</v>
      </c>
      <c r="Z734">
        <f t="shared" ca="1" si="80"/>
        <v>0</v>
      </c>
      <c r="AB734" s="63" t="e">
        <f t="shared" ca="1" si="81"/>
        <v>#N/A</v>
      </c>
      <c r="AC734" s="63" t="e">
        <f t="shared" ca="1" si="82"/>
        <v>#N/A</v>
      </c>
      <c r="AD734" s="3" t="e">
        <f t="shared" ca="1" si="83"/>
        <v>#N/A</v>
      </c>
    </row>
    <row r="735" spans="8:30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Y735" s="2">
        <f t="shared" ca="1" si="79"/>
        <v>0</v>
      </c>
      <c r="Z735">
        <f t="shared" ca="1" si="80"/>
        <v>0</v>
      </c>
      <c r="AB735" s="63" t="e">
        <f t="shared" ca="1" si="81"/>
        <v>#N/A</v>
      </c>
      <c r="AC735" s="63" t="e">
        <f t="shared" ca="1" si="82"/>
        <v>#N/A</v>
      </c>
      <c r="AD735" s="3" t="e">
        <f t="shared" ca="1" si="83"/>
        <v>#N/A</v>
      </c>
    </row>
    <row r="736" spans="8:30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Y736" s="2">
        <f t="shared" ca="1" si="79"/>
        <v>0</v>
      </c>
      <c r="Z736">
        <f t="shared" ca="1" si="80"/>
        <v>0</v>
      </c>
      <c r="AB736" s="63" t="e">
        <f t="shared" ca="1" si="81"/>
        <v>#N/A</v>
      </c>
      <c r="AC736" s="63" t="e">
        <f t="shared" ca="1" si="82"/>
        <v>#N/A</v>
      </c>
      <c r="AD736" s="3" t="e">
        <f t="shared" ca="1" si="83"/>
        <v>#N/A</v>
      </c>
    </row>
    <row r="737" spans="8:30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Y737" s="2">
        <f t="shared" ca="1" si="79"/>
        <v>0</v>
      </c>
      <c r="Z737">
        <f t="shared" ca="1" si="80"/>
        <v>0</v>
      </c>
      <c r="AB737" s="63" t="e">
        <f t="shared" ca="1" si="81"/>
        <v>#N/A</v>
      </c>
      <c r="AC737" s="63" t="e">
        <f t="shared" ca="1" si="82"/>
        <v>#N/A</v>
      </c>
      <c r="AD737" s="3" t="e">
        <f t="shared" ca="1" si="83"/>
        <v>#N/A</v>
      </c>
    </row>
    <row r="738" spans="8:30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Y738" s="2">
        <f t="shared" ca="1" si="79"/>
        <v>0</v>
      </c>
      <c r="Z738">
        <f t="shared" ca="1" si="80"/>
        <v>0</v>
      </c>
      <c r="AB738" s="63" t="e">
        <f t="shared" ca="1" si="81"/>
        <v>#N/A</v>
      </c>
      <c r="AC738" s="63" t="e">
        <f t="shared" ca="1" si="82"/>
        <v>#N/A</v>
      </c>
      <c r="AD738" s="3" t="e">
        <f t="shared" ca="1" si="83"/>
        <v>#N/A</v>
      </c>
    </row>
    <row r="739" spans="8:30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Y739" s="2">
        <f t="shared" ca="1" si="79"/>
        <v>0</v>
      </c>
      <c r="Z739">
        <f t="shared" ca="1" si="80"/>
        <v>0</v>
      </c>
      <c r="AB739" s="63" t="e">
        <f t="shared" ca="1" si="81"/>
        <v>#N/A</v>
      </c>
      <c r="AC739" s="63" t="e">
        <f t="shared" ca="1" si="82"/>
        <v>#N/A</v>
      </c>
      <c r="AD739" s="3" t="e">
        <f t="shared" ca="1" si="83"/>
        <v>#N/A</v>
      </c>
    </row>
    <row r="740" spans="8:30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Y740" s="2">
        <f t="shared" ca="1" si="79"/>
        <v>0</v>
      </c>
      <c r="Z740">
        <f t="shared" ca="1" si="80"/>
        <v>0</v>
      </c>
      <c r="AB740" s="63" t="e">
        <f t="shared" ca="1" si="81"/>
        <v>#N/A</v>
      </c>
      <c r="AC740" s="63" t="e">
        <f t="shared" ca="1" si="82"/>
        <v>#N/A</v>
      </c>
      <c r="AD740" s="3" t="e">
        <f t="shared" ca="1" si="83"/>
        <v>#N/A</v>
      </c>
    </row>
    <row r="741" spans="8:30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Y741" s="2">
        <f t="shared" ca="1" si="79"/>
        <v>0</v>
      </c>
      <c r="Z741">
        <f t="shared" ca="1" si="80"/>
        <v>0</v>
      </c>
      <c r="AB741" s="63" t="e">
        <f t="shared" ca="1" si="81"/>
        <v>#N/A</v>
      </c>
      <c r="AC741" s="63" t="e">
        <f t="shared" ca="1" si="82"/>
        <v>#N/A</v>
      </c>
      <c r="AD741" s="3" t="e">
        <f t="shared" ca="1" si="83"/>
        <v>#N/A</v>
      </c>
    </row>
    <row r="742" spans="8:30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Y742" s="2">
        <f t="shared" ca="1" si="79"/>
        <v>0</v>
      </c>
      <c r="Z742">
        <f t="shared" ca="1" si="80"/>
        <v>0</v>
      </c>
      <c r="AB742" s="63" t="e">
        <f t="shared" ca="1" si="81"/>
        <v>#N/A</v>
      </c>
      <c r="AC742" s="63" t="e">
        <f t="shared" ca="1" si="82"/>
        <v>#N/A</v>
      </c>
      <c r="AD742" s="3" t="e">
        <f t="shared" ca="1" si="83"/>
        <v>#N/A</v>
      </c>
    </row>
    <row r="743" spans="8:30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Y743" s="2">
        <f t="shared" ca="1" si="79"/>
        <v>0</v>
      </c>
      <c r="Z743">
        <f t="shared" ca="1" si="80"/>
        <v>0</v>
      </c>
      <c r="AB743" s="63" t="e">
        <f t="shared" ca="1" si="81"/>
        <v>#N/A</v>
      </c>
      <c r="AC743" s="63" t="e">
        <f t="shared" ca="1" si="82"/>
        <v>#N/A</v>
      </c>
      <c r="AD743" s="3" t="e">
        <f t="shared" ca="1" si="83"/>
        <v>#N/A</v>
      </c>
    </row>
    <row r="744" spans="8:30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Y744" s="2">
        <f t="shared" ca="1" si="79"/>
        <v>0</v>
      </c>
      <c r="Z744">
        <f t="shared" ca="1" si="80"/>
        <v>0</v>
      </c>
      <c r="AB744" s="63" t="e">
        <f t="shared" ca="1" si="81"/>
        <v>#N/A</v>
      </c>
      <c r="AC744" s="63" t="e">
        <f t="shared" ca="1" si="82"/>
        <v>#N/A</v>
      </c>
      <c r="AD744" s="3" t="e">
        <f t="shared" ca="1" si="83"/>
        <v>#N/A</v>
      </c>
    </row>
    <row r="745" spans="8:30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Y745" s="2">
        <f t="shared" ca="1" si="79"/>
        <v>0</v>
      </c>
      <c r="Z745">
        <f t="shared" ca="1" si="80"/>
        <v>0</v>
      </c>
      <c r="AB745" s="63" t="e">
        <f t="shared" ca="1" si="81"/>
        <v>#N/A</v>
      </c>
      <c r="AC745" s="63" t="e">
        <f t="shared" ca="1" si="82"/>
        <v>#N/A</v>
      </c>
      <c r="AD745" s="3" t="e">
        <f t="shared" ca="1" si="83"/>
        <v>#N/A</v>
      </c>
    </row>
    <row r="746" spans="8:30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Y746" s="2">
        <f t="shared" ca="1" si="79"/>
        <v>0</v>
      </c>
      <c r="Z746">
        <f t="shared" ca="1" si="80"/>
        <v>0</v>
      </c>
      <c r="AB746" s="63" t="e">
        <f t="shared" ca="1" si="81"/>
        <v>#N/A</v>
      </c>
      <c r="AC746" s="63" t="e">
        <f t="shared" ca="1" si="82"/>
        <v>#N/A</v>
      </c>
      <c r="AD746" s="3" t="e">
        <f t="shared" ca="1" si="83"/>
        <v>#N/A</v>
      </c>
    </row>
    <row r="747" spans="8:30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Y747" s="2">
        <f t="shared" ca="1" si="79"/>
        <v>0</v>
      </c>
      <c r="Z747">
        <f t="shared" ca="1" si="80"/>
        <v>0</v>
      </c>
      <c r="AB747" s="63" t="e">
        <f t="shared" ca="1" si="81"/>
        <v>#N/A</v>
      </c>
      <c r="AC747" s="63" t="e">
        <f t="shared" ca="1" si="82"/>
        <v>#N/A</v>
      </c>
      <c r="AD747" s="3" t="e">
        <f t="shared" ca="1" si="83"/>
        <v>#N/A</v>
      </c>
    </row>
    <row r="748" spans="8:30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Y748" s="2">
        <f t="shared" ca="1" si="79"/>
        <v>0</v>
      </c>
      <c r="Z748">
        <f t="shared" ca="1" si="80"/>
        <v>0</v>
      </c>
      <c r="AB748" s="63" t="e">
        <f t="shared" ca="1" si="81"/>
        <v>#N/A</v>
      </c>
      <c r="AC748" s="63" t="e">
        <f t="shared" ca="1" si="82"/>
        <v>#N/A</v>
      </c>
      <c r="AD748" s="3" t="e">
        <f t="shared" ca="1" si="83"/>
        <v>#N/A</v>
      </c>
    </row>
    <row r="749" spans="8:30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Y749" s="2">
        <f t="shared" ca="1" si="79"/>
        <v>0</v>
      </c>
      <c r="Z749">
        <f t="shared" ca="1" si="80"/>
        <v>0</v>
      </c>
      <c r="AB749" s="63" t="e">
        <f t="shared" ca="1" si="81"/>
        <v>#N/A</v>
      </c>
      <c r="AC749" s="63" t="e">
        <f t="shared" ca="1" si="82"/>
        <v>#N/A</v>
      </c>
      <c r="AD749" s="3" t="e">
        <f t="shared" ca="1" si="83"/>
        <v>#N/A</v>
      </c>
    </row>
    <row r="750" spans="8:30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Y750" s="2">
        <f t="shared" ca="1" si="79"/>
        <v>0</v>
      </c>
      <c r="Z750">
        <f t="shared" ca="1" si="80"/>
        <v>0</v>
      </c>
      <c r="AB750" s="63" t="e">
        <f t="shared" ca="1" si="81"/>
        <v>#N/A</v>
      </c>
      <c r="AC750" s="63" t="e">
        <f t="shared" ca="1" si="82"/>
        <v>#N/A</v>
      </c>
      <c r="AD750" s="3" t="e">
        <f t="shared" ca="1" si="83"/>
        <v>#N/A</v>
      </c>
    </row>
    <row r="751" spans="8:30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Y751" s="2">
        <f t="shared" ca="1" si="79"/>
        <v>0</v>
      </c>
      <c r="Z751">
        <f t="shared" ca="1" si="80"/>
        <v>0</v>
      </c>
      <c r="AB751" s="63" t="e">
        <f t="shared" ca="1" si="81"/>
        <v>#N/A</v>
      </c>
      <c r="AC751" s="63" t="e">
        <f t="shared" ca="1" si="82"/>
        <v>#N/A</v>
      </c>
      <c r="AD751" s="3" t="e">
        <f t="shared" ca="1" si="83"/>
        <v>#N/A</v>
      </c>
    </row>
    <row r="752" spans="8:30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Y752" s="2">
        <f t="shared" ca="1" si="79"/>
        <v>0</v>
      </c>
      <c r="Z752">
        <f t="shared" ca="1" si="80"/>
        <v>0</v>
      </c>
      <c r="AB752" s="63" t="e">
        <f t="shared" ca="1" si="81"/>
        <v>#N/A</v>
      </c>
      <c r="AC752" s="63" t="e">
        <f t="shared" ca="1" si="82"/>
        <v>#N/A</v>
      </c>
      <c r="AD752" s="3" t="e">
        <f t="shared" ca="1" si="83"/>
        <v>#N/A</v>
      </c>
    </row>
    <row r="753" spans="8:30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Y753" s="2">
        <f t="shared" ca="1" si="79"/>
        <v>0</v>
      </c>
      <c r="Z753">
        <f t="shared" ca="1" si="80"/>
        <v>0</v>
      </c>
      <c r="AB753" s="63" t="e">
        <f t="shared" ca="1" si="81"/>
        <v>#N/A</v>
      </c>
      <c r="AC753" s="63" t="e">
        <f t="shared" ca="1" si="82"/>
        <v>#N/A</v>
      </c>
      <c r="AD753" s="3" t="e">
        <f t="shared" ca="1" si="83"/>
        <v>#N/A</v>
      </c>
    </row>
    <row r="754" spans="8:30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Y754" s="2">
        <f t="shared" ca="1" si="79"/>
        <v>0</v>
      </c>
      <c r="Z754">
        <f t="shared" ca="1" si="80"/>
        <v>0</v>
      </c>
      <c r="AB754" s="63" t="e">
        <f t="shared" ca="1" si="81"/>
        <v>#N/A</v>
      </c>
      <c r="AC754" s="63" t="e">
        <f t="shared" ca="1" si="82"/>
        <v>#N/A</v>
      </c>
      <c r="AD754" s="3" t="e">
        <f t="shared" ca="1" si="83"/>
        <v>#N/A</v>
      </c>
    </row>
    <row r="755" spans="8:30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Y755" s="2">
        <f t="shared" ca="1" si="79"/>
        <v>0</v>
      </c>
      <c r="Z755">
        <f t="shared" ca="1" si="80"/>
        <v>0</v>
      </c>
      <c r="AB755" s="63" t="e">
        <f t="shared" ca="1" si="81"/>
        <v>#N/A</v>
      </c>
      <c r="AC755" s="63" t="e">
        <f t="shared" ca="1" si="82"/>
        <v>#N/A</v>
      </c>
      <c r="AD755" s="3" t="e">
        <f t="shared" ca="1" si="83"/>
        <v>#N/A</v>
      </c>
    </row>
    <row r="756" spans="8:30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Y756" s="2">
        <f t="shared" ca="1" si="79"/>
        <v>0</v>
      </c>
      <c r="Z756">
        <f t="shared" ca="1" si="80"/>
        <v>0</v>
      </c>
      <c r="AB756" s="63" t="e">
        <f t="shared" ca="1" si="81"/>
        <v>#N/A</v>
      </c>
      <c r="AC756" s="63" t="e">
        <f t="shared" ca="1" si="82"/>
        <v>#N/A</v>
      </c>
      <c r="AD756" s="3" t="e">
        <f t="shared" ca="1" si="83"/>
        <v>#N/A</v>
      </c>
    </row>
    <row r="757" spans="8:30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Y757" s="2">
        <f t="shared" ref="Y757:Y820" ca="1" si="86">IFERROR(J757,$Y$9)</f>
        <v>0</v>
      </c>
      <c r="Z757">
        <f t="shared" ref="Z757:Z820" ca="1" si="87">IFERROR(O757,0)</f>
        <v>0</v>
      </c>
      <c r="AB757" s="63" t="e">
        <f t="shared" ref="AB757:AB820" ca="1" si="88">K756+M757+N757+O757</f>
        <v>#N/A</v>
      </c>
      <c r="AC757" s="63" t="e">
        <f t="shared" ref="AC757:AC820" ca="1" si="89">K757+L757+R757</f>
        <v>#N/A</v>
      </c>
      <c r="AD757" s="3" t="e">
        <f t="shared" ref="AD757:AD820" ca="1" si="90">AC757-AB757</f>
        <v>#N/A</v>
      </c>
    </row>
    <row r="758" spans="8:30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Y758" s="2">
        <f t="shared" ca="1" si="86"/>
        <v>0</v>
      </c>
      <c r="Z758">
        <f t="shared" ca="1" si="87"/>
        <v>0</v>
      </c>
      <c r="AB758" s="63" t="e">
        <f t="shared" ca="1" si="88"/>
        <v>#N/A</v>
      </c>
      <c r="AC758" s="63" t="e">
        <f t="shared" ca="1" si="89"/>
        <v>#N/A</v>
      </c>
      <c r="AD758" s="3" t="e">
        <f t="shared" ca="1" si="90"/>
        <v>#N/A</v>
      </c>
    </row>
    <row r="759" spans="8:30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Y759" s="2">
        <f t="shared" ca="1" si="86"/>
        <v>0</v>
      </c>
      <c r="Z759">
        <f t="shared" ca="1" si="87"/>
        <v>0</v>
      </c>
      <c r="AB759" s="63" t="e">
        <f t="shared" ca="1" si="88"/>
        <v>#N/A</v>
      </c>
      <c r="AC759" s="63" t="e">
        <f t="shared" ca="1" si="89"/>
        <v>#N/A</v>
      </c>
      <c r="AD759" s="3" t="e">
        <f t="shared" ca="1" si="90"/>
        <v>#N/A</v>
      </c>
    </row>
    <row r="760" spans="8:30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Y760" s="2">
        <f t="shared" ca="1" si="86"/>
        <v>0</v>
      </c>
      <c r="Z760">
        <f t="shared" ca="1" si="87"/>
        <v>0</v>
      </c>
      <c r="AB760" s="63" t="e">
        <f t="shared" ca="1" si="88"/>
        <v>#N/A</v>
      </c>
      <c r="AC760" s="63" t="e">
        <f t="shared" ca="1" si="89"/>
        <v>#N/A</v>
      </c>
      <c r="AD760" s="3" t="e">
        <f t="shared" ca="1" si="90"/>
        <v>#N/A</v>
      </c>
    </row>
    <row r="761" spans="8:30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Y761" s="2">
        <f t="shared" ca="1" si="86"/>
        <v>0</v>
      </c>
      <c r="Z761">
        <f t="shared" ca="1" si="87"/>
        <v>0</v>
      </c>
      <c r="AB761" s="63" t="e">
        <f t="shared" ca="1" si="88"/>
        <v>#N/A</v>
      </c>
      <c r="AC761" s="63" t="e">
        <f t="shared" ca="1" si="89"/>
        <v>#N/A</v>
      </c>
      <c r="AD761" s="3" t="e">
        <f t="shared" ca="1" si="90"/>
        <v>#N/A</v>
      </c>
    </row>
    <row r="762" spans="8:30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Y762" s="2">
        <f t="shared" ca="1" si="86"/>
        <v>0</v>
      </c>
      <c r="Z762">
        <f t="shared" ca="1" si="87"/>
        <v>0</v>
      </c>
      <c r="AB762" s="63" t="e">
        <f t="shared" ca="1" si="88"/>
        <v>#N/A</v>
      </c>
      <c r="AC762" s="63" t="e">
        <f t="shared" ca="1" si="89"/>
        <v>#N/A</v>
      </c>
      <c r="AD762" s="3" t="e">
        <f t="shared" ca="1" si="90"/>
        <v>#N/A</v>
      </c>
    </row>
    <row r="763" spans="8:30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Y763" s="2">
        <f t="shared" ca="1" si="86"/>
        <v>0</v>
      </c>
      <c r="Z763">
        <f t="shared" ca="1" si="87"/>
        <v>0</v>
      </c>
      <c r="AB763" s="63" t="e">
        <f t="shared" ca="1" si="88"/>
        <v>#N/A</v>
      </c>
      <c r="AC763" s="63" t="e">
        <f t="shared" ca="1" si="89"/>
        <v>#N/A</v>
      </c>
      <c r="AD763" s="3" t="e">
        <f t="shared" ca="1" si="90"/>
        <v>#N/A</v>
      </c>
    </row>
    <row r="764" spans="8:30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Y764" s="2">
        <f t="shared" ca="1" si="86"/>
        <v>0</v>
      </c>
      <c r="Z764">
        <f t="shared" ca="1" si="87"/>
        <v>0</v>
      </c>
      <c r="AB764" s="63" t="e">
        <f t="shared" ca="1" si="88"/>
        <v>#N/A</v>
      </c>
      <c r="AC764" s="63" t="e">
        <f t="shared" ca="1" si="89"/>
        <v>#N/A</v>
      </c>
      <c r="AD764" s="3" t="e">
        <f t="shared" ca="1" si="90"/>
        <v>#N/A</v>
      </c>
    </row>
    <row r="765" spans="8:30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Y765" s="2">
        <f t="shared" ca="1" si="86"/>
        <v>0</v>
      </c>
      <c r="Z765">
        <f t="shared" ca="1" si="87"/>
        <v>0</v>
      </c>
      <c r="AB765" s="63" t="e">
        <f t="shared" ca="1" si="88"/>
        <v>#N/A</v>
      </c>
      <c r="AC765" s="63" t="e">
        <f t="shared" ca="1" si="89"/>
        <v>#N/A</v>
      </c>
      <c r="AD765" s="3" t="e">
        <f t="shared" ca="1" si="90"/>
        <v>#N/A</v>
      </c>
    </row>
    <row r="766" spans="8:30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Y766" s="2">
        <f t="shared" ca="1" si="86"/>
        <v>0</v>
      </c>
      <c r="Z766">
        <f t="shared" ca="1" si="87"/>
        <v>0</v>
      </c>
      <c r="AB766" s="63" t="e">
        <f t="shared" ca="1" si="88"/>
        <v>#N/A</v>
      </c>
      <c r="AC766" s="63" t="e">
        <f t="shared" ca="1" si="89"/>
        <v>#N/A</v>
      </c>
      <c r="AD766" s="3" t="e">
        <f t="shared" ca="1" si="90"/>
        <v>#N/A</v>
      </c>
    </row>
    <row r="767" spans="8:30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Y767" s="2">
        <f t="shared" ca="1" si="86"/>
        <v>0</v>
      </c>
      <c r="Z767">
        <f t="shared" ca="1" si="87"/>
        <v>0</v>
      </c>
      <c r="AB767" s="63" t="e">
        <f t="shared" ca="1" si="88"/>
        <v>#N/A</v>
      </c>
      <c r="AC767" s="63" t="e">
        <f t="shared" ca="1" si="89"/>
        <v>#N/A</v>
      </c>
      <c r="AD767" s="3" t="e">
        <f t="shared" ca="1" si="90"/>
        <v>#N/A</v>
      </c>
    </row>
    <row r="768" spans="8:30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Y768" s="2">
        <f t="shared" ca="1" si="86"/>
        <v>0</v>
      </c>
      <c r="Z768">
        <f t="shared" ca="1" si="87"/>
        <v>0</v>
      </c>
      <c r="AB768" s="63" t="e">
        <f t="shared" ca="1" si="88"/>
        <v>#N/A</v>
      </c>
      <c r="AC768" s="63" t="e">
        <f t="shared" ca="1" si="89"/>
        <v>#N/A</v>
      </c>
      <c r="AD768" s="3" t="e">
        <f t="shared" ca="1" si="90"/>
        <v>#N/A</v>
      </c>
    </row>
    <row r="769" spans="8:30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Y769" s="2">
        <f t="shared" ca="1" si="86"/>
        <v>0</v>
      </c>
      <c r="Z769">
        <f t="shared" ca="1" si="87"/>
        <v>0</v>
      </c>
      <c r="AB769" s="63" t="e">
        <f t="shared" ca="1" si="88"/>
        <v>#N/A</v>
      </c>
      <c r="AC769" s="63" t="e">
        <f t="shared" ca="1" si="89"/>
        <v>#N/A</v>
      </c>
      <c r="AD769" s="3" t="e">
        <f t="shared" ca="1" si="90"/>
        <v>#N/A</v>
      </c>
    </row>
    <row r="770" spans="8:30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Y770" s="2">
        <f t="shared" ca="1" si="86"/>
        <v>0</v>
      </c>
      <c r="Z770">
        <f t="shared" ca="1" si="87"/>
        <v>0</v>
      </c>
      <c r="AB770" s="63" t="e">
        <f t="shared" ca="1" si="88"/>
        <v>#N/A</v>
      </c>
      <c r="AC770" s="63" t="e">
        <f t="shared" ca="1" si="89"/>
        <v>#N/A</v>
      </c>
      <c r="AD770" s="3" t="e">
        <f t="shared" ca="1" si="90"/>
        <v>#N/A</v>
      </c>
    </row>
    <row r="771" spans="8:30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Y771" s="2">
        <f t="shared" ca="1" si="86"/>
        <v>0</v>
      </c>
      <c r="Z771">
        <f t="shared" ca="1" si="87"/>
        <v>0</v>
      </c>
      <c r="AB771" s="63" t="e">
        <f t="shared" ca="1" si="88"/>
        <v>#N/A</v>
      </c>
      <c r="AC771" s="63" t="e">
        <f t="shared" ca="1" si="89"/>
        <v>#N/A</v>
      </c>
      <c r="AD771" s="3" t="e">
        <f t="shared" ca="1" si="90"/>
        <v>#N/A</v>
      </c>
    </row>
    <row r="772" spans="8:30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Y772" s="2">
        <f t="shared" ca="1" si="86"/>
        <v>0</v>
      </c>
      <c r="Z772">
        <f t="shared" ca="1" si="87"/>
        <v>0</v>
      </c>
      <c r="AB772" s="63" t="e">
        <f t="shared" ca="1" si="88"/>
        <v>#N/A</v>
      </c>
      <c r="AC772" s="63" t="e">
        <f t="shared" ca="1" si="89"/>
        <v>#N/A</v>
      </c>
      <c r="AD772" s="3" t="e">
        <f t="shared" ca="1" si="90"/>
        <v>#N/A</v>
      </c>
    </row>
    <row r="773" spans="8:30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Y773" s="2">
        <f t="shared" ca="1" si="86"/>
        <v>0</v>
      </c>
      <c r="Z773">
        <f t="shared" ca="1" si="87"/>
        <v>0</v>
      </c>
      <c r="AB773" s="63" t="e">
        <f t="shared" ca="1" si="88"/>
        <v>#N/A</v>
      </c>
      <c r="AC773" s="63" t="e">
        <f t="shared" ca="1" si="89"/>
        <v>#N/A</v>
      </c>
      <c r="AD773" s="3" t="e">
        <f t="shared" ca="1" si="90"/>
        <v>#N/A</v>
      </c>
    </row>
    <row r="774" spans="8:30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Y774" s="2">
        <f t="shared" ca="1" si="86"/>
        <v>0</v>
      </c>
      <c r="Z774">
        <f t="shared" ca="1" si="87"/>
        <v>0</v>
      </c>
      <c r="AB774" s="63" t="e">
        <f t="shared" ca="1" si="88"/>
        <v>#N/A</v>
      </c>
      <c r="AC774" s="63" t="e">
        <f t="shared" ca="1" si="89"/>
        <v>#N/A</v>
      </c>
      <c r="AD774" s="3" t="e">
        <f t="shared" ca="1" si="90"/>
        <v>#N/A</v>
      </c>
    </row>
    <row r="775" spans="8:30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Y775" s="2">
        <f t="shared" ca="1" si="86"/>
        <v>0</v>
      </c>
      <c r="Z775">
        <f t="shared" ca="1" si="87"/>
        <v>0</v>
      </c>
      <c r="AB775" s="63" t="e">
        <f t="shared" ca="1" si="88"/>
        <v>#N/A</v>
      </c>
      <c r="AC775" s="63" t="e">
        <f t="shared" ca="1" si="89"/>
        <v>#N/A</v>
      </c>
      <c r="AD775" s="3" t="e">
        <f t="shared" ca="1" si="90"/>
        <v>#N/A</v>
      </c>
    </row>
    <row r="776" spans="8:30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Y776" s="2">
        <f t="shared" ca="1" si="86"/>
        <v>0</v>
      </c>
      <c r="Z776">
        <f t="shared" ca="1" si="87"/>
        <v>0</v>
      </c>
      <c r="AB776" s="63" t="e">
        <f t="shared" ca="1" si="88"/>
        <v>#N/A</v>
      </c>
      <c r="AC776" s="63" t="e">
        <f t="shared" ca="1" si="89"/>
        <v>#N/A</v>
      </c>
      <c r="AD776" s="3" t="e">
        <f t="shared" ca="1" si="90"/>
        <v>#N/A</v>
      </c>
    </row>
    <row r="777" spans="8:30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Y777" s="2">
        <f t="shared" ca="1" si="86"/>
        <v>0</v>
      </c>
      <c r="Z777">
        <f t="shared" ca="1" si="87"/>
        <v>0</v>
      </c>
      <c r="AB777" s="63" t="e">
        <f t="shared" ca="1" si="88"/>
        <v>#N/A</v>
      </c>
      <c r="AC777" s="63" t="e">
        <f t="shared" ca="1" si="89"/>
        <v>#N/A</v>
      </c>
      <c r="AD777" s="3" t="e">
        <f t="shared" ca="1" si="90"/>
        <v>#N/A</v>
      </c>
    </row>
    <row r="778" spans="8:30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Y778" s="2">
        <f t="shared" ca="1" si="86"/>
        <v>0</v>
      </c>
      <c r="Z778">
        <f t="shared" ca="1" si="87"/>
        <v>0</v>
      </c>
      <c r="AB778" s="63" t="e">
        <f t="shared" ca="1" si="88"/>
        <v>#N/A</v>
      </c>
      <c r="AC778" s="63" t="e">
        <f t="shared" ca="1" si="89"/>
        <v>#N/A</v>
      </c>
      <c r="AD778" s="3" t="e">
        <f t="shared" ca="1" si="90"/>
        <v>#N/A</v>
      </c>
    </row>
    <row r="779" spans="8:30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Y779" s="2">
        <f t="shared" ca="1" si="86"/>
        <v>0</v>
      </c>
      <c r="Z779">
        <f t="shared" ca="1" si="87"/>
        <v>0</v>
      </c>
      <c r="AB779" s="63" t="e">
        <f t="shared" ca="1" si="88"/>
        <v>#N/A</v>
      </c>
      <c r="AC779" s="63" t="e">
        <f t="shared" ca="1" si="89"/>
        <v>#N/A</v>
      </c>
      <c r="AD779" s="3" t="e">
        <f t="shared" ca="1" si="90"/>
        <v>#N/A</v>
      </c>
    </row>
    <row r="780" spans="8:30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Y780" s="2">
        <f t="shared" ca="1" si="86"/>
        <v>0</v>
      </c>
      <c r="Z780">
        <f t="shared" ca="1" si="87"/>
        <v>0</v>
      </c>
      <c r="AB780" s="63" t="e">
        <f t="shared" ca="1" si="88"/>
        <v>#N/A</v>
      </c>
      <c r="AC780" s="63" t="e">
        <f t="shared" ca="1" si="89"/>
        <v>#N/A</v>
      </c>
      <c r="AD780" s="3" t="e">
        <f t="shared" ca="1" si="90"/>
        <v>#N/A</v>
      </c>
    </row>
    <row r="781" spans="8:30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Y781" s="2">
        <f t="shared" ca="1" si="86"/>
        <v>0</v>
      </c>
      <c r="Z781">
        <f t="shared" ca="1" si="87"/>
        <v>0</v>
      </c>
      <c r="AB781" s="63" t="e">
        <f t="shared" ca="1" si="88"/>
        <v>#N/A</v>
      </c>
      <c r="AC781" s="63" t="e">
        <f t="shared" ca="1" si="89"/>
        <v>#N/A</v>
      </c>
      <c r="AD781" s="3" t="e">
        <f t="shared" ca="1" si="90"/>
        <v>#N/A</v>
      </c>
    </row>
    <row r="782" spans="8:30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Y782" s="2">
        <f t="shared" ca="1" si="86"/>
        <v>0</v>
      </c>
      <c r="Z782">
        <f t="shared" ca="1" si="87"/>
        <v>0</v>
      </c>
      <c r="AB782" s="63" t="e">
        <f t="shared" ca="1" si="88"/>
        <v>#N/A</v>
      </c>
      <c r="AC782" s="63" t="e">
        <f t="shared" ca="1" si="89"/>
        <v>#N/A</v>
      </c>
      <c r="AD782" s="3" t="e">
        <f t="shared" ca="1" si="90"/>
        <v>#N/A</v>
      </c>
    </row>
    <row r="783" spans="8:30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Y783" s="2">
        <f t="shared" ca="1" si="86"/>
        <v>0</v>
      </c>
      <c r="Z783">
        <f t="shared" ca="1" si="87"/>
        <v>0</v>
      </c>
      <c r="AB783" s="63" t="e">
        <f t="shared" ca="1" si="88"/>
        <v>#N/A</v>
      </c>
      <c r="AC783" s="63" t="e">
        <f t="shared" ca="1" si="89"/>
        <v>#N/A</v>
      </c>
      <c r="AD783" s="3" t="e">
        <f t="shared" ca="1" si="90"/>
        <v>#N/A</v>
      </c>
    </row>
    <row r="784" spans="8:30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Y784" s="2">
        <f t="shared" ca="1" si="86"/>
        <v>0</v>
      </c>
      <c r="Z784">
        <f t="shared" ca="1" si="87"/>
        <v>0</v>
      </c>
      <c r="AB784" s="63" t="e">
        <f t="shared" ca="1" si="88"/>
        <v>#N/A</v>
      </c>
      <c r="AC784" s="63" t="e">
        <f t="shared" ca="1" si="89"/>
        <v>#N/A</v>
      </c>
      <c r="AD784" s="3" t="e">
        <f t="shared" ca="1" si="90"/>
        <v>#N/A</v>
      </c>
    </row>
    <row r="785" spans="8:30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Y785" s="2">
        <f t="shared" ca="1" si="86"/>
        <v>0</v>
      </c>
      <c r="Z785">
        <f t="shared" ca="1" si="87"/>
        <v>0</v>
      </c>
      <c r="AB785" s="63" t="e">
        <f t="shared" ca="1" si="88"/>
        <v>#N/A</v>
      </c>
      <c r="AC785" s="63" t="e">
        <f t="shared" ca="1" si="89"/>
        <v>#N/A</v>
      </c>
      <c r="AD785" s="3" t="e">
        <f t="shared" ca="1" si="90"/>
        <v>#N/A</v>
      </c>
    </row>
    <row r="786" spans="8:30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Y786" s="2">
        <f t="shared" ca="1" si="86"/>
        <v>0</v>
      </c>
      <c r="Z786">
        <f t="shared" ca="1" si="87"/>
        <v>0</v>
      </c>
      <c r="AB786" s="63" t="e">
        <f t="shared" ca="1" si="88"/>
        <v>#N/A</v>
      </c>
      <c r="AC786" s="63" t="e">
        <f t="shared" ca="1" si="89"/>
        <v>#N/A</v>
      </c>
      <c r="AD786" s="3" t="e">
        <f t="shared" ca="1" si="90"/>
        <v>#N/A</v>
      </c>
    </row>
    <row r="787" spans="8:30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Y787" s="2">
        <f t="shared" ca="1" si="86"/>
        <v>0</v>
      </c>
      <c r="Z787">
        <f t="shared" ca="1" si="87"/>
        <v>0</v>
      </c>
      <c r="AB787" s="63" t="e">
        <f t="shared" ca="1" si="88"/>
        <v>#N/A</v>
      </c>
      <c r="AC787" s="63" t="e">
        <f t="shared" ca="1" si="89"/>
        <v>#N/A</v>
      </c>
      <c r="AD787" s="3" t="e">
        <f t="shared" ca="1" si="90"/>
        <v>#N/A</v>
      </c>
    </row>
    <row r="788" spans="8:30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Y788" s="2">
        <f t="shared" ca="1" si="86"/>
        <v>0</v>
      </c>
      <c r="Z788">
        <f t="shared" ca="1" si="87"/>
        <v>0</v>
      </c>
      <c r="AB788" s="63" t="e">
        <f t="shared" ca="1" si="88"/>
        <v>#N/A</v>
      </c>
      <c r="AC788" s="63" t="e">
        <f t="shared" ca="1" si="89"/>
        <v>#N/A</v>
      </c>
      <c r="AD788" s="3" t="e">
        <f t="shared" ca="1" si="90"/>
        <v>#N/A</v>
      </c>
    </row>
    <row r="789" spans="8:30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Y789" s="2">
        <f t="shared" ca="1" si="86"/>
        <v>0</v>
      </c>
      <c r="Z789">
        <f t="shared" ca="1" si="87"/>
        <v>0</v>
      </c>
      <c r="AB789" s="63" t="e">
        <f t="shared" ca="1" si="88"/>
        <v>#N/A</v>
      </c>
      <c r="AC789" s="63" t="e">
        <f t="shared" ca="1" si="89"/>
        <v>#N/A</v>
      </c>
      <c r="AD789" s="3" t="e">
        <f t="shared" ca="1" si="90"/>
        <v>#N/A</v>
      </c>
    </row>
    <row r="790" spans="8:30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Y790" s="2">
        <f t="shared" ca="1" si="86"/>
        <v>0</v>
      </c>
      <c r="Z790">
        <f t="shared" ca="1" si="87"/>
        <v>0</v>
      </c>
      <c r="AB790" s="63" t="e">
        <f t="shared" ca="1" si="88"/>
        <v>#N/A</v>
      </c>
      <c r="AC790" s="63" t="e">
        <f t="shared" ca="1" si="89"/>
        <v>#N/A</v>
      </c>
      <c r="AD790" s="3" t="e">
        <f t="shared" ca="1" si="90"/>
        <v>#N/A</v>
      </c>
    </row>
    <row r="791" spans="8:30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Y791" s="2">
        <f t="shared" ca="1" si="86"/>
        <v>0</v>
      </c>
      <c r="Z791">
        <f t="shared" ca="1" si="87"/>
        <v>0</v>
      </c>
      <c r="AB791" s="63" t="e">
        <f t="shared" ca="1" si="88"/>
        <v>#N/A</v>
      </c>
      <c r="AC791" s="63" t="e">
        <f t="shared" ca="1" si="89"/>
        <v>#N/A</v>
      </c>
      <c r="AD791" s="3" t="e">
        <f t="shared" ca="1" si="90"/>
        <v>#N/A</v>
      </c>
    </row>
    <row r="792" spans="8:30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Y792" s="2">
        <f t="shared" ca="1" si="86"/>
        <v>0</v>
      </c>
      <c r="Z792">
        <f t="shared" ca="1" si="87"/>
        <v>0</v>
      </c>
      <c r="AB792" s="63" t="e">
        <f t="shared" ca="1" si="88"/>
        <v>#N/A</v>
      </c>
      <c r="AC792" s="63" t="e">
        <f t="shared" ca="1" si="89"/>
        <v>#N/A</v>
      </c>
      <c r="AD792" s="3" t="e">
        <f t="shared" ca="1" si="90"/>
        <v>#N/A</v>
      </c>
    </row>
    <row r="793" spans="8:30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Y793" s="2">
        <f t="shared" ca="1" si="86"/>
        <v>0</v>
      </c>
      <c r="Z793">
        <f t="shared" ca="1" si="87"/>
        <v>0</v>
      </c>
      <c r="AB793" s="63" t="e">
        <f t="shared" ca="1" si="88"/>
        <v>#N/A</v>
      </c>
      <c r="AC793" s="63" t="e">
        <f t="shared" ca="1" si="89"/>
        <v>#N/A</v>
      </c>
      <c r="AD793" s="3" t="e">
        <f t="shared" ca="1" si="90"/>
        <v>#N/A</v>
      </c>
    </row>
    <row r="794" spans="8:30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Y794" s="2">
        <f t="shared" ca="1" si="86"/>
        <v>0</v>
      </c>
      <c r="Z794">
        <f t="shared" ca="1" si="87"/>
        <v>0</v>
      </c>
      <c r="AB794" s="63" t="e">
        <f t="shared" ca="1" si="88"/>
        <v>#N/A</v>
      </c>
      <c r="AC794" s="63" t="e">
        <f t="shared" ca="1" si="89"/>
        <v>#N/A</v>
      </c>
      <c r="AD794" s="3" t="e">
        <f t="shared" ca="1" si="90"/>
        <v>#N/A</v>
      </c>
    </row>
    <row r="795" spans="8:30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Y795" s="2">
        <f t="shared" ca="1" si="86"/>
        <v>0</v>
      </c>
      <c r="Z795">
        <f t="shared" ca="1" si="87"/>
        <v>0</v>
      </c>
      <c r="AB795" s="63" t="e">
        <f t="shared" ca="1" si="88"/>
        <v>#N/A</v>
      </c>
      <c r="AC795" s="63" t="e">
        <f t="shared" ca="1" si="89"/>
        <v>#N/A</v>
      </c>
      <c r="AD795" s="3" t="e">
        <f t="shared" ca="1" si="90"/>
        <v>#N/A</v>
      </c>
    </row>
    <row r="796" spans="8:30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Y796" s="2">
        <f t="shared" ca="1" si="86"/>
        <v>0</v>
      </c>
      <c r="Z796">
        <f t="shared" ca="1" si="87"/>
        <v>0</v>
      </c>
      <c r="AB796" s="63" t="e">
        <f t="shared" ca="1" si="88"/>
        <v>#N/A</v>
      </c>
      <c r="AC796" s="63" t="e">
        <f t="shared" ca="1" si="89"/>
        <v>#N/A</v>
      </c>
      <c r="AD796" s="3" t="e">
        <f t="shared" ca="1" si="90"/>
        <v>#N/A</v>
      </c>
    </row>
    <row r="797" spans="8:30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Y797" s="2">
        <f t="shared" ca="1" si="86"/>
        <v>0</v>
      </c>
      <c r="Z797">
        <f t="shared" ca="1" si="87"/>
        <v>0</v>
      </c>
      <c r="AB797" s="63" t="e">
        <f t="shared" ca="1" si="88"/>
        <v>#N/A</v>
      </c>
      <c r="AC797" s="63" t="e">
        <f t="shared" ca="1" si="89"/>
        <v>#N/A</v>
      </c>
      <c r="AD797" s="3" t="e">
        <f t="shared" ca="1" si="90"/>
        <v>#N/A</v>
      </c>
    </row>
    <row r="798" spans="8:30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Y798" s="2">
        <f t="shared" ca="1" si="86"/>
        <v>0</v>
      </c>
      <c r="Z798">
        <f t="shared" ca="1" si="87"/>
        <v>0</v>
      </c>
      <c r="AB798" s="63" t="e">
        <f t="shared" ca="1" si="88"/>
        <v>#N/A</v>
      </c>
      <c r="AC798" s="63" t="e">
        <f t="shared" ca="1" si="89"/>
        <v>#N/A</v>
      </c>
      <c r="AD798" s="3" t="e">
        <f t="shared" ca="1" si="90"/>
        <v>#N/A</v>
      </c>
    </row>
    <row r="799" spans="8:30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Y799" s="2">
        <f t="shared" ca="1" si="86"/>
        <v>0</v>
      </c>
      <c r="Z799">
        <f t="shared" ca="1" si="87"/>
        <v>0</v>
      </c>
      <c r="AB799" s="63" t="e">
        <f t="shared" ca="1" si="88"/>
        <v>#N/A</v>
      </c>
      <c r="AC799" s="63" t="e">
        <f t="shared" ca="1" si="89"/>
        <v>#N/A</v>
      </c>
      <c r="AD799" s="3" t="e">
        <f t="shared" ca="1" si="90"/>
        <v>#N/A</v>
      </c>
    </row>
    <row r="800" spans="8:30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Y800" s="2">
        <f t="shared" ca="1" si="86"/>
        <v>0</v>
      </c>
      <c r="Z800">
        <f t="shared" ca="1" si="87"/>
        <v>0</v>
      </c>
      <c r="AB800" s="63" t="e">
        <f t="shared" ca="1" si="88"/>
        <v>#N/A</v>
      </c>
      <c r="AC800" s="63" t="e">
        <f t="shared" ca="1" si="89"/>
        <v>#N/A</v>
      </c>
      <c r="AD800" s="3" t="e">
        <f t="shared" ca="1" si="90"/>
        <v>#N/A</v>
      </c>
    </row>
    <row r="801" spans="8:30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Y801" s="2">
        <f t="shared" ca="1" si="86"/>
        <v>0</v>
      </c>
      <c r="Z801">
        <f t="shared" ca="1" si="87"/>
        <v>0</v>
      </c>
      <c r="AB801" s="63" t="e">
        <f t="shared" ca="1" si="88"/>
        <v>#N/A</v>
      </c>
      <c r="AC801" s="63" t="e">
        <f t="shared" ca="1" si="89"/>
        <v>#N/A</v>
      </c>
      <c r="AD801" s="3" t="e">
        <f t="shared" ca="1" si="90"/>
        <v>#N/A</v>
      </c>
    </row>
    <row r="802" spans="8:30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Y802" s="2">
        <f t="shared" ca="1" si="86"/>
        <v>0</v>
      </c>
      <c r="Z802">
        <f t="shared" ca="1" si="87"/>
        <v>0</v>
      </c>
      <c r="AB802" s="63" t="e">
        <f t="shared" ca="1" si="88"/>
        <v>#N/A</v>
      </c>
      <c r="AC802" s="63" t="e">
        <f t="shared" ca="1" si="89"/>
        <v>#N/A</v>
      </c>
      <c r="AD802" s="3" t="e">
        <f t="shared" ca="1" si="90"/>
        <v>#N/A</v>
      </c>
    </row>
    <row r="803" spans="8:30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Y803" s="2">
        <f t="shared" ca="1" si="86"/>
        <v>0</v>
      </c>
      <c r="Z803">
        <f t="shared" ca="1" si="87"/>
        <v>0</v>
      </c>
      <c r="AB803" s="63" t="e">
        <f t="shared" ca="1" si="88"/>
        <v>#N/A</v>
      </c>
      <c r="AC803" s="63" t="e">
        <f t="shared" ca="1" si="89"/>
        <v>#N/A</v>
      </c>
      <c r="AD803" s="3" t="e">
        <f t="shared" ca="1" si="90"/>
        <v>#N/A</v>
      </c>
    </row>
    <row r="804" spans="8:30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Y804" s="2">
        <f t="shared" ca="1" si="86"/>
        <v>0</v>
      </c>
      <c r="Z804">
        <f t="shared" ca="1" si="87"/>
        <v>0</v>
      </c>
      <c r="AB804" s="63" t="e">
        <f t="shared" ca="1" si="88"/>
        <v>#N/A</v>
      </c>
      <c r="AC804" s="63" t="e">
        <f t="shared" ca="1" si="89"/>
        <v>#N/A</v>
      </c>
      <c r="AD804" s="3" t="e">
        <f t="shared" ca="1" si="90"/>
        <v>#N/A</v>
      </c>
    </row>
    <row r="805" spans="8:30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Y805" s="2">
        <f t="shared" ca="1" si="86"/>
        <v>0</v>
      </c>
      <c r="Z805">
        <f t="shared" ca="1" si="87"/>
        <v>0</v>
      </c>
      <c r="AB805" s="63" t="e">
        <f t="shared" ca="1" si="88"/>
        <v>#N/A</v>
      </c>
      <c r="AC805" s="63" t="e">
        <f t="shared" ca="1" si="89"/>
        <v>#N/A</v>
      </c>
      <c r="AD805" s="3" t="e">
        <f t="shared" ca="1" si="90"/>
        <v>#N/A</v>
      </c>
    </row>
    <row r="806" spans="8:30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Y806" s="2">
        <f t="shared" ca="1" si="86"/>
        <v>0</v>
      </c>
      <c r="Z806">
        <f t="shared" ca="1" si="87"/>
        <v>0</v>
      </c>
      <c r="AB806" s="63" t="e">
        <f t="shared" ca="1" si="88"/>
        <v>#N/A</v>
      </c>
      <c r="AC806" s="63" t="e">
        <f t="shared" ca="1" si="89"/>
        <v>#N/A</v>
      </c>
      <c r="AD806" s="3" t="e">
        <f t="shared" ca="1" si="90"/>
        <v>#N/A</v>
      </c>
    </row>
    <row r="807" spans="8:30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Y807" s="2">
        <f t="shared" ca="1" si="86"/>
        <v>0</v>
      </c>
      <c r="Z807">
        <f t="shared" ca="1" si="87"/>
        <v>0</v>
      </c>
      <c r="AB807" s="63" t="e">
        <f t="shared" ca="1" si="88"/>
        <v>#N/A</v>
      </c>
      <c r="AC807" s="63" t="e">
        <f t="shared" ca="1" si="89"/>
        <v>#N/A</v>
      </c>
      <c r="AD807" s="3" t="e">
        <f t="shared" ca="1" si="90"/>
        <v>#N/A</v>
      </c>
    </row>
    <row r="808" spans="8:30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Y808" s="2">
        <f t="shared" ca="1" si="86"/>
        <v>0</v>
      </c>
      <c r="Z808">
        <f t="shared" ca="1" si="87"/>
        <v>0</v>
      </c>
      <c r="AB808" s="63" t="e">
        <f t="shared" ca="1" si="88"/>
        <v>#N/A</v>
      </c>
      <c r="AC808" s="63" t="e">
        <f t="shared" ca="1" si="89"/>
        <v>#N/A</v>
      </c>
      <c r="AD808" s="3" t="e">
        <f t="shared" ca="1" si="90"/>
        <v>#N/A</v>
      </c>
    </row>
    <row r="809" spans="8:30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Y809" s="2">
        <f t="shared" ca="1" si="86"/>
        <v>0</v>
      </c>
      <c r="Z809">
        <f t="shared" ca="1" si="87"/>
        <v>0</v>
      </c>
      <c r="AB809" s="63" t="e">
        <f t="shared" ca="1" si="88"/>
        <v>#N/A</v>
      </c>
      <c r="AC809" s="63" t="e">
        <f t="shared" ca="1" si="89"/>
        <v>#N/A</v>
      </c>
      <c r="AD809" s="3" t="e">
        <f t="shared" ca="1" si="90"/>
        <v>#N/A</v>
      </c>
    </row>
    <row r="810" spans="8:30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Y810" s="2">
        <f t="shared" ca="1" si="86"/>
        <v>0</v>
      </c>
      <c r="Z810">
        <f t="shared" ca="1" si="87"/>
        <v>0</v>
      </c>
      <c r="AB810" s="63" t="e">
        <f t="shared" ca="1" si="88"/>
        <v>#N/A</v>
      </c>
      <c r="AC810" s="63" t="e">
        <f t="shared" ca="1" si="89"/>
        <v>#N/A</v>
      </c>
      <c r="AD810" s="3" t="e">
        <f t="shared" ca="1" si="90"/>
        <v>#N/A</v>
      </c>
    </row>
    <row r="811" spans="8:30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Y811" s="2">
        <f t="shared" ca="1" si="86"/>
        <v>0</v>
      </c>
      <c r="Z811">
        <f t="shared" ca="1" si="87"/>
        <v>0</v>
      </c>
      <c r="AB811" s="63" t="e">
        <f t="shared" ca="1" si="88"/>
        <v>#N/A</v>
      </c>
      <c r="AC811" s="63" t="e">
        <f t="shared" ca="1" si="89"/>
        <v>#N/A</v>
      </c>
      <c r="AD811" s="3" t="e">
        <f t="shared" ca="1" si="90"/>
        <v>#N/A</v>
      </c>
    </row>
    <row r="812" spans="8:30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Y812" s="2">
        <f t="shared" ca="1" si="86"/>
        <v>0</v>
      </c>
      <c r="Z812">
        <f t="shared" ca="1" si="87"/>
        <v>0</v>
      </c>
      <c r="AB812" s="63" t="e">
        <f t="shared" ca="1" si="88"/>
        <v>#N/A</v>
      </c>
      <c r="AC812" s="63" t="e">
        <f t="shared" ca="1" si="89"/>
        <v>#N/A</v>
      </c>
      <c r="AD812" s="3" t="e">
        <f t="shared" ca="1" si="90"/>
        <v>#N/A</v>
      </c>
    </row>
    <row r="813" spans="8:30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Y813" s="2">
        <f t="shared" ca="1" si="86"/>
        <v>0</v>
      </c>
      <c r="Z813">
        <f t="shared" ca="1" si="87"/>
        <v>0</v>
      </c>
      <c r="AB813" s="63" t="e">
        <f t="shared" ca="1" si="88"/>
        <v>#N/A</v>
      </c>
      <c r="AC813" s="63" t="e">
        <f t="shared" ca="1" si="89"/>
        <v>#N/A</v>
      </c>
      <c r="AD813" s="3" t="e">
        <f t="shared" ca="1" si="90"/>
        <v>#N/A</v>
      </c>
    </row>
    <row r="814" spans="8:30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Y814" s="2">
        <f t="shared" ca="1" si="86"/>
        <v>0</v>
      </c>
      <c r="Z814">
        <f t="shared" ca="1" si="87"/>
        <v>0</v>
      </c>
      <c r="AB814" s="63" t="e">
        <f t="shared" ca="1" si="88"/>
        <v>#N/A</v>
      </c>
      <c r="AC814" s="63" t="e">
        <f t="shared" ca="1" si="89"/>
        <v>#N/A</v>
      </c>
      <c r="AD814" s="3" t="e">
        <f t="shared" ca="1" si="90"/>
        <v>#N/A</v>
      </c>
    </row>
    <row r="815" spans="8:30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Y815" s="2">
        <f t="shared" ca="1" si="86"/>
        <v>0</v>
      </c>
      <c r="Z815">
        <f t="shared" ca="1" si="87"/>
        <v>0</v>
      </c>
      <c r="AB815" s="63" t="e">
        <f t="shared" ca="1" si="88"/>
        <v>#N/A</v>
      </c>
      <c r="AC815" s="63" t="e">
        <f t="shared" ca="1" si="89"/>
        <v>#N/A</v>
      </c>
      <c r="AD815" s="3" t="e">
        <f t="shared" ca="1" si="90"/>
        <v>#N/A</v>
      </c>
    </row>
    <row r="816" spans="8:30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Y816" s="2">
        <f t="shared" ca="1" si="86"/>
        <v>0</v>
      </c>
      <c r="Z816">
        <f t="shared" ca="1" si="87"/>
        <v>0</v>
      </c>
      <c r="AB816" s="63" t="e">
        <f t="shared" ca="1" si="88"/>
        <v>#N/A</v>
      </c>
      <c r="AC816" s="63" t="e">
        <f t="shared" ca="1" si="89"/>
        <v>#N/A</v>
      </c>
      <c r="AD816" s="3" t="e">
        <f t="shared" ca="1" si="90"/>
        <v>#N/A</v>
      </c>
    </row>
    <row r="817" spans="8:30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Y817" s="2">
        <f t="shared" ca="1" si="86"/>
        <v>0</v>
      </c>
      <c r="Z817">
        <f t="shared" ca="1" si="87"/>
        <v>0</v>
      </c>
      <c r="AB817" s="63" t="e">
        <f t="shared" ca="1" si="88"/>
        <v>#N/A</v>
      </c>
      <c r="AC817" s="63" t="e">
        <f t="shared" ca="1" si="89"/>
        <v>#N/A</v>
      </c>
      <c r="AD817" s="3" t="e">
        <f t="shared" ca="1" si="90"/>
        <v>#N/A</v>
      </c>
    </row>
    <row r="818" spans="8:30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Y818" s="2">
        <f t="shared" ca="1" si="86"/>
        <v>0</v>
      </c>
      <c r="Z818">
        <f t="shared" ca="1" si="87"/>
        <v>0</v>
      </c>
      <c r="AB818" s="63" t="e">
        <f t="shared" ca="1" si="88"/>
        <v>#N/A</v>
      </c>
      <c r="AC818" s="63" t="e">
        <f t="shared" ca="1" si="89"/>
        <v>#N/A</v>
      </c>
      <c r="AD818" s="3" t="e">
        <f t="shared" ca="1" si="90"/>
        <v>#N/A</v>
      </c>
    </row>
    <row r="819" spans="8:30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Y819" s="2">
        <f t="shared" ca="1" si="86"/>
        <v>0</v>
      </c>
      <c r="Z819">
        <f t="shared" ca="1" si="87"/>
        <v>0</v>
      </c>
      <c r="AB819" s="63" t="e">
        <f t="shared" ca="1" si="88"/>
        <v>#N/A</v>
      </c>
      <c r="AC819" s="63" t="e">
        <f t="shared" ca="1" si="89"/>
        <v>#N/A</v>
      </c>
      <c r="AD819" s="3" t="e">
        <f t="shared" ca="1" si="90"/>
        <v>#N/A</v>
      </c>
    </row>
    <row r="820" spans="8:30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Y820" s="2">
        <f t="shared" ca="1" si="86"/>
        <v>0</v>
      </c>
      <c r="Z820">
        <f t="shared" ca="1" si="87"/>
        <v>0</v>
      </c>
      <c r="AB820" s="63" t="e">
        <f t="shared" ca="1" si="88"/>
        <v>#N/A</v>
      </c>
      <c r="AC820" s="63" t="e">
        <f t="shared" ca="1" si="89"/>
        <v>#N/A</v>
      </c>
      <c r="AD820" s="3" t="e">
        <f t="shared" ca="1" si="90"/>
        <v>#N/A</v>
      </c>
    </row>
    <row r="821" spans="8:30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Y821" s="2">
        <f t="shared" ref="Y821:Y884" ca="1" si="93">IFERROR(J821,$Y$9)</f>
        <v>0</v>
      </c>
      <c r="Z821">
        <f t="shared" ref="Z821:Z884" ca="1" si="94">IFERROR(O821,0)</f>
        <v>0</v>
      </c>
      <c r="AB821" s="63" t="e">
        <f t="shared" ref="AB821:AB884" ca="1" si="95">K820+M821+N821+O821</f>
        <v>#N/A</v>
      </c>
      <c r="AC821" s="63" t="e">
        <f t="shared" ref="AC821:AC884" ca="1" si="96">K821+L821+R821</f>
        <v>#N/A</v>
      </c>
      <c r="AD821" s="3" t="e">
        <f t="shared" ref="AD821:AD884" ca="1" si="97">AC821-AB821</f>
        <v>#N/A</v>
      </c>
    </row>
    <row r="822" spans="8:30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Y822" s="2">
        <f t="shared" ca="1" si="93"/>
        <v>0</v>
      </c>
      <c r="Z822">
        <f t="shared" ca="1" si="94"/>
        <v>0</v>
      </c>
      <c r="AB822" s="63" t="e">
        <f t="shared" ca="1" si="95"/>
        <v>#N/A</v>
      </c>
      <c r="AC822" s="63" t="e">
        <f t="shared" ca="1" si="96"/>
        <v>#N/A</v>
      </c>
      <c r="AD822" s="3" t="e">
        <f t="shared" ca="1" si="97"/>
        <v>#N/A</v>
      </c>
    </row>
    <row r="823" spans="8:30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Y823" s="2">
        <f t="shared" ca="1" si="93"/>
        <v>0</v>
      </c>
      <c r="Z823">
        <f t="shared" ca="1" si="94"/>
        <v>0</v>
      </c>
      <c r="AB823" s="63" t="e">
        <f t="shared" ca="1" si="95"/>
        <v>#N/A</v>
      </c>
      <c r="AC823" s="63" t="e">
        <f t="shared" ca="1" si="96"/>
        <v>#N/A</v>
      </c>
      <c r="AD823" s="3" t="e">
        <f t="shared" ca="1" si="97"/>
        <v>#N/A</v>
      </c>
    </row>
    <row r="824" spans="8:30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Y824" s="2">
        <f t="shared" ca="1" si="93"/>
        <v>0</v>
      </c>
      <c r="Z824">
        <f t="shared" ca="1" si="94"/>
        <v>0</v>
      </c>
      <c r="AB824" s="63" t="e">
        <f t="shared" ca="1" si="95"/>
        <v>#N/A</v>
      </c>
      <c r="AC824" s="63" t="e">
        <f t="shared" ca="1" si="96"/>
        <v>#N/A</v>
      </c>
      <c r="AD824" s="3" t="e">
        <f t="shared" ca="1" si="97"/>
        <v>#N/A</v>
      </c>
    </row>
    <row r="825" spans="8:30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Y825" s="2">
        <f t="shared" ca="1" si="93"/>
        <v>0</v>
      </c>
      <c r="Z825">
        <f t="shared" ca="1" si="94"/>
        <v>0</v>
      </c>
      <c r="AB825" s="63" t="e">
        <f t="shared" ca="1" si="95"/>
        <v>#N/A</v>
      </c>
      <c r="AC825" s="63" t="e">
        <f t="shared" ca="1" si="96"/>
        <v>#N/A</v>
      </c>
      <c r="AD825" s="3" t="e">
        <f t="shared" ca="1" si="97"/>
        <v>#N/A</v>
      </c>
    </row>
    <row r="826" spans="8:30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Y826" s="2">
        <f t="shared" ca="1" si="93"/>
        <v>0</v>
      </c>
      <c r="Z826">
        <f t="shared" ca="1" si="94"/>
        <v>0</v>
      </c>
      <c r="AB826" s="63" t="e">
        <f t="shared" ca="1" si="95"/>
        <v>#N/A</v>
      </c>
      <c r="AC826" s="63" t="e">
        <f t="shared" ca="1" si="96"/>
        <v>#N/A</v>
      </c>
      <c r="AD826" s="3" t="e">
        <f t="shared" ca="1" si="97"/>
        <v>#N/A</v>
      </c>
    </row>
    <row r="827" spans="8:30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Y827" s="2">
        <f t="shared" ca="1" si="93"/>
        <v>0</v>
      </c>
      <c r="Z827">
        <f t="shared" ca="1" si="94"/>
        <v>0</v>
      </c>
      <c r="AB827" s="63" t="e">
        <f t="shared" ca="1" si="95"/>
        <v>#N/A</v>
      </c>
      <c r="AC827" s="63" t="e">
        <f t="shared" ca="1" si="96"/>
        <v>#N/A</v>
      </c>
      <c r="AD827" s="3" t="e">
        <f t="shared" ca="1" si="97"/>
        <v>#N/A</v>
      </c>
    </row>
    <row r="828" spans="8:30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Y828" s="2">
        <f t="shared" ca="1" si="93"/>
        <v>0</v>
      </c>
      <c r="Z828">
        <f t="shared" ca="1" si="94"/>
        <v>0</v>
      </c>
      <c r="AB828" s="63" t="e">
        <f t="shared" ca="1" si="95"/>
        <v>#N/A</v>
      </c>
      <c r="AC828" s="63" t="e">
        <f t="shared" ca="1" si="96"/>
        <v>#N/A</v>
      </c>
      <c r="AD828" s="3" t="e">
        <f t="shared" ca="1" si="97"/>
        <v>#N/A</v>
      </c>
    </row>
    <row r="829" spans="8:30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Y829" s="2">
        <f t="shared" ca="1" si="93"/>
        <v>0</v>
      </c>
      <c r="Z829">
        <f t="shared" ca="1" si="94"/>
        <v>0</v>
      </c>
      <c r="AB829" s="63" t="e">
        <f t="shared" ca="1" si="95"/>
        <v>#N/A</v>
      </c>
      <c r="AC829" s="63" t="e">
        <f t="shared" ca="1" si="96"/>
        <v>#N/A</v>
      </c>
      <c r="AD829" s="3" t="e">
        <f t="shared" ca="1" si="97"/>
        <v>#N/A</v>
      </c>
    </row>
    <row r="830" spans="8:30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Y830" s="2">
        <f t="shared" ca="1" si="93"/>
        <v>0</v>
      </c>
      <c r="Z830">
        <f t="shared" ca="1" si="94"/>
        <v>0</v>
      </c>
      <c r="AB830" s="63" t="e">
        <f t="shared" ca="1" si="95"/>
        <v>#N/A</v>
      </c>
      <c r="AC830" s="63" t="e">
        <f t="shared" ca="1" si="96"/>
        <v>#N/A</v>
      </c>
      <c r="AD830" s="3" t="e">
        <f t="shared" ca="1" si="97"/>
        <v>#N/A</v>
      </c>
    </row>
    <row r="831" spans="8:30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Y831" s="2">
        <f t="shared" ca="1" si="93"/>
        <v>0</v>
      </c>
      <c r="Z831">
        <f t="shared" ca="1" si="94"/>
        <v>0</v>
      </c>
      <c r="AB831" s="63" t="e">
        <f t="shared" ca="1" si="95"/>
        <v>#N/A</v>
      </c>
      <c r="AC831" s="63" t="e">
        <f t="shared" ca="1" si="96"/>
        <v>#N/A</v>
      </c>
      <c r="AD831" s="3" t="e">
        <f t="shared" ca="1" si="97"/>
        <v>#N/A</v>
      </c>
    </row>
    <row r="832" spans="8:30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Y832" s="2">
        <f t="shared" ca="1" si="93"/>
        <v>0</v>
      </c>
      <c r="Z832">
        <f t="shared" ca="1" si="94"/>
        <v>0</v>
      </c>
      <c r="AB832" s="63" t="e">
        <f t="shared" ca="1" si="95"/>
        <v>#N/A</v>
      </c>
      <c r="AC832" s="63" t="e">
        <f t="shared" ca="1" si="96"/>
        <v>#N/A</v>
      </c>
      <c r="AD832" s="3" t="e">
        <f t="shared" ca="1" si="97"/>
        <v>#N/A</v>
      </c>
    </row>
    <row r="833" spans="8:30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Y833" s="2">
        <f t="shared" ca="1" si="93"/>
        <v>0</v>
      </c>
      <c r="Z833">
        <f t="shared" ca="1" si="94"/>
        <v>0</v>
      </c>
      <c r="AB833" s="63" t="e">
        <f t="shared" ca="1" si="95"/>
        <v>#N/A</v>
      </c>
      <c r="AC833" s="63" t="e">
        <f t="shared" ca="1" si="96"/>
        <v>#N/A</v>
      </c>
      <c r="AD833" s="3" t="e">
        <f t="shared" ca="1" si="97"/>
        <v>#N/A</v>
      </c>
    </row>
    <row r="834" spans="8:30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Y834" s="2">
        <f t="shared" ca="1" si="93"/>
        <v>0</v>
      </c>
      <c r="Z834">
        <f t="shared" ca="1" si="94"/>
        <v>0</v>
      </c>
      <c r="AB834" s="63" t="e">
        <f t="shared" ca="1" si="95"/>
        <v>#N/A</v>
      </c>
      <c r="AC834" s="63" t="e">
        <f t="shared" ca="1" si="96"/>
        <v>#N/A</v>
      </c>
      <c r="AD834" s="3" t="e">
        <f t="shared" ca="1" si="97"/>
        <v>#N/A</v>
      </c>
    </row>
    <row r="835" spans="8:30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Y835" s="2">
        <f t="shared" ca="1" si="93"/>
        <v>0</v>
      </c>
      <c r="Z835">
        <f t="shared" ca="1" si="94"/>
        <v>0</v>
      </c>
      <c r="AB835" s="63" t="e">
        <f t="shared" ca="1" si="95"/>
        <v>#N/A</v>
      </c>
      <c r="AC835" s="63" t="e">
        <f t="shared" ca="1" si="96"/>
        <v>#N/A</v>
      </c>
      <c r="AD835" s="3" t="e">
        <f t="shared" ca="1" si="97"/>
        <v>#N/A</v>
      </c>
    </row>
    <row r="836" spans="8:30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Y836" s="2">
        <f t="shared" ca="1" si="93"/>
        <v>0</v>
      </c>
      <c r="Z836">
        <f t="shared" ca="1" si="94"/>
        <v>0</v>
      </c>
      <c r="AB836" s="63" t="e">
        <f t="shared" ca="1" si="95"/>
        <v>#N/A</v>
      </c>
      <c r="AC836" s="63" t="e">
        <f t="shared" ca="1" si="96"/>
        <v>#N/A</v>
      </c>
      <c r="AD836" s="3" t="e">
        <f t="shared" ca="1" si="97"/>
        <v>#N/A</v>
      </c>
    </row>
    <row r="837" spans="8:30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Y837" s="2">
        <f t="shared" ca="1" si="93"/>
        <v>0</v>
      </c>
      <c r="Z837">
        <f t="shared" ca="1" si="94"/>
        <v>0</v>
      </c>
      <c r="AB837" s="63" t="e">
        <f t="shared" ca="1" si="95"/>
        <v>#N/A</v>
      </c>
      <c r="AC837" s="63" t="e">
        <f t="shared" ca="1" si="96"/>
        <v>#N/A</v>
      </c>
      <c r="AD837" s="3" t="e">
        <f t="shared" ca="1" si="97"/>
        <v>#N/A</v>
      </c>
    </row>
    <row r="838" spans="8:30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Y838" s="2">
        <f t="shared" ca="1" si="93"/>
        <v>0</v>
      </c>
      <c r="Z838">
        <f t="shared" ca="1" si="94"/>
        <v>0</v>
      </c>
      <c r="AB838" s="63" t="e">
        <f t="shared" ca="1" si="95"/>
        <v>#N/A</v>
      </c>
      <c r="AC838" s="63" t="e">
        <f t="shared" ca="1" si="96"/>
        <v>#N/A</v>
      </c>
      <c r="AD838" s="3" t="e">
        <f t="shared" ca="1" si="97"/>
        <v>#N/A</v>
      </c>
    </row>
    <row r="839" spans="8:30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Y839" s="2">
        <f t="shared" ca="1" si="93"/>
        <v>0</v>
      </c>
      <c r="Z839">
        <f t="shared" ca="1" si="94"/>
        <v>0</v>
      </c>
      <c r="AB839" s="63" t="e">
        <f t="shared" ca="1" si="95"/>
        <v>#N/A</v>
      </c>
      <c r="AC839" s="63" t="e">
        <f t="shared" ca="1" si="96"/>
        <v>#N/A</v>
      </c>
      <c r="AD839" s="3" t="e">
        <f t="shared" ca="1" si="97"/>
        <v>#N/A</v>
      </c>
    </row>
    <row r="840" spans="8:30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Y840" s="2">
        <f t="shared" ca="1" si="93"/>
        <v>0</v>
      </c>
      <c r="Z840">
        <f t="shared" ca="1" si="94"/>
        <v>0</v>
      </c>
      <c r="AB840" s="63" t="e">
        <f t="shared" ca="1" si="95"/>
        <v>#N/A</v>
      </c>
      <c r="AC840" s="63" t="e">
        <f t="shared" ca="1" si="96"/>
        <v>#N/A</v>
      </c>
      <c r="AD840" s="3" t="e">
        <f t="shared" ca="1" si="97"/>
        <v>#N/A</v>
      </c>
    </row>
    <row r="841" spans="8:30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Y841" s="2">
        <f t="shared" ca="1" si="93"/>
        <v>0</v>
      </c>
      <c r="Z841">
        <f t="shared" ca="1" si="94"/>
        <v>0</v>
      </c>
      <c r="AB841" s="63" t="e">
        <f t="shared" ca="1" si="95"/>
        <v>#N/A</v>
      </c>
      <c r="AC841" s="63" t="e">
        <f t="shared" ca="1" si="96"/>
        <v>#N/A</v>
      </c>
      <c r="AD841" s="3" t="e">
        <f t="shared" ca="1" si="97"/>
        <v>#N/A</v>
      </c>
    </row>
    <row r="842" spans="8:30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Y842" s="2">
        <f t="shared" ca="1" si="93"/>
        <v>0</v>
      </c>
      <c r="Z842">
        <f t="shared" ca="1" si="94"/>
        <v>0</v>
      </c>
      <c r="AB842" s="63" t="e">
        <f t="shared" ca="1" si="95"/>
        <v>#N/A</v>
      </c>
      <c r="AC842" s="63" t="e">
        <f t="shared" ca="1" si="96"/>
        <v>#N/A</v>
      </c>
      <c r="AD842" s="3" t="e">
        <f t="shared" ca="1" si="97"/>
        <v>#N/A</v>
      </c>
    </row>
    <row r="843" spans="8:30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Y843" s="2">
        <f t="shared" ca="1" si="93"/>
        <v>0</v>
      </c>
      <c r="Z843">
        <f t="shared" ca="1" si="94"/>
        <v>0</v>
      </c>
      <c r="AB843" s="63" t="e">
        <f t="shared" ca="1" si="95"/>
        <v>#N/A</v>
      </c>
      <c r="AC843" s="63" t="e">
        <f t="shared" ca="1" si="96"/>
        <v>#N/A</v>
      </c>
      <c r="AD843" s="3" t="e">
        <f t="shared" ca="1" si="97"/>
        <v>#N/A</v>
      </c>
    </row>
    <row r="844" spans="8:30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Y844" s="2">
        <f t="shared" ca="1" si="93"/>
        <v>0</v>
      </c>
      <c r="Z844">
        <f t="shared" ca="1" si="94"/>
        <v>0</v>
      </c>
      <c r="AB844" s="63" t="e">
        <f t="shared" ca="1" si="95"/>
        <v>#N/A</v>
      </c>
      <c r="AC844" s="63" t="e">
        <f t="shared" ca="1" si="96"/>
        <v>#N/A</v>
      </c>
      <c r="AD844" s="3" t="e">
        <f t="shared" ca="1" si="97"/>
        <v>#N/A</v>
      </c>
    </row>
    <row r="845" spans="8:30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Y845" s="2">
        <f t="shared" ca="1" si="93"/>
        <v>0</v>
      </c>
      <c r="Z845">
        <f t="shared" ca="1" si="94"/>
        <v>0</v>
      </c>
      <c r="AB845" s="63" t="e">
        <f t="shared" ca="1" si="95"/>
        <v>#N/A</v>
      </c>
      <c r="AC845" s="63" t="e">
        <f t="shared" ca="1" si="96"/>
        <v>#N/A</v>
      </c>
      <c r="AD845" s="3" t="e">
        <f t="shared" ca="1" si="97"/>
        <v>#N/A</v>
      </c>
    </row>
    <row r="846" spans="8:30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Y846" s="2">
        <f t="shared" ca="1" si="93"/>
        <v>0</v>
      </c>
      <c r="Z846">
        <f t="shared" ca="1" si="94"/>
        <v>0</v>
      </c>
      <c r="AB846" s="63" t="e">
        <f t="shared" ca="1" si="95"/>
        <v>#N/A</v>
      </c>
      <c r="AC846" s="63" t="e">
        <f t="shared" ca="1" si="96"/>
        <v>#N/A</v>
      </c>
      <c r="AD846" s="3" t="e">
        <f t="shared" ca="1" si="97"/>
        <v>#N/A</v>
      </c>
    </row>
    <row r="847" spans="8:30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Y847" s="2">
        <f t="shared" ca="1" si="93"/>
        <v>0</v>
      </c>
      <c r="Z847">
        <f t="shared" ca="1" si="94"/>
        <v>0</v>
      </c>
      <c r="AB847" s="63" t="e">
        <f t="shared" ca="1" si="95"/>
        <v>#N/A</v>
      </c>
      <c r="AC847" s="63" t="e">
        <f t="shared" ca="1" si="96"/>
        <v>#N/A</v>
      </c>
      <c r="AD847" s="3" t="e">
        <f t="shared" ca="1" si="97"/>
        <v>#N/A</v>
      </c>
    </row>
    <row r="848" spans="8:30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Y848" s="2">
        <f t="shared" ca="1" si="93"/>
        <v>0</v>
      </c>
      <c r="Z848">
        <f t="shared" ca="1" si="94"/>
        <v>0</v>
      </c>
      <c r="AB848" s="63" t="e">
        <f t="shared" ca="1" si="95"/>
        <v>#N/A</v>
      </c>
      <c r="AC848" s="63" t="e">
        <f t="shared" ca="1" si="96"/>
        <v>#N/A</v>
      </c>
      <c r="AD848" s="3" t="e">
        <f t="shared" ca="1" si="97"/>
        <v>#N/A</v>
      </c>
    </row>
    <row r="849" spans="8:30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Y849" s="2">
        <f t="shared" ca="1" si="93"/>
        <v>0</v>
      </c>
      <c r="Z849">
        <f t="shared" ca="1" si="94"/>
        <v>0</v>
      </c>
      <c r="AB849" s="63" t="e">
        <f t="shared" ca="1" si="95"/>
        <v>#N/A</v>
      </c>
      <c r="AC849" s="63" t="e">
        <f t="shared" ca="1" si="96"/>
        <v>#N/A</v>
      </c>
      <c r="AD849" s="3" t="e">
        <f t="shared" ca="1" si="97"/>
        <v>#N/A</v>
      </c>
    </row>
    <row r="850" spans="8:30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Y850" s="2">
        <f t="shared" ca="1" si="93"/>
        <v>0</v>
      </c>
      <c r="Z850">
        <f t="shared" ca="1" si="94"/>
        <v>0</v>
      </c>
      <c r="AB850" s="63" t="e">
        <f t="shared" ca="1" si="95"/>
        <v>#N/A</v>
      </c>
      <c r="AC850" s="63" t="e">
        <f t="shared" ca="1" si="96"/>
        <v>#N/A</v>
      </c>
      <c r="AD850" s="3" t="e">
        <f t="shared" ca="1" si="97"/>
        <v>#N/A</v>
      </c>
    </row>
    <row r="851" spans="8:30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Y851" s="2">
        <f t="shared" ca="1" si="93"/>
        <v>0</v>
      </c>
      <c r="Z851">
        <f t="shared" ca="1" si="94"/>
        <v>0</v>
      </c>
      <c r="AB851" s="63" t="e">
        <f t="shared" ca="1" si="95"/>
        <v>#N/A</v>
      </c>
      <c r="AC851" s="63" t="e">
        <f t="shared" ca="1" si="96"/>
        <v>#N/A</v>
      </c>
      <c r="AD851" s="3" t="e">
        <f t="shared" ca="1" si="97"/>
        <v>#N/A</v>
      </c>
    </row>
    <row r="852" spans="8:30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Y852" s="2">
        <f t="shared" ca="1" si="93"/>
        <v>0</v>
      </c>
      <c r="Z852">
        <f t="shared" ca="1" si="94"/>
        <v>0</v>
      </c>
      <c r="AB852" s="63" t="e">
        <f t="shared" ca="1" si="95"/>
        <v>#N/A</v>
      </c>
      <c r="AC852" s="63" t="e">
        <f t="shared" ca="1" si="96"/>
        <v>#N/A</v>
      </c>
      <c r="AD852" s="3" t="e">
        <f t="shared" ca="1" si="97"/>
        <v>#N/A</v>
      </c>
    </row>
    <row r="853" spans="8:30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Y853" s="2">
        <f t="shared" ca="1" si="93"/>
        <v>0</v>
      </c>
      <c r="Z853">
        <f t="shared" ca="1" si="94"/>
        <v>0</v>
      </c>
      <c r="AB853" s="63" t="e">
        <f t="shared" ca="1" si="95"/>
        <v>#N/A</v>
      </c>
      <c r="AC853" s="63" t="e">
        <f t="shared" ca="1" si="96"/>
        <v>#N/A</v>
      </c>
      <c r="AD853" s="3" t="e">
        <f t="shared" ca="1" si="97"/>
        <v>#N/A</v>
      </c>
    </row>
    <row r="854" spans="8:30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Y854" s="2">
        <f t="shared" ca="1" si="93"/>
        <v>0</v>
      </c>
      <c r="Z854">
        <f t="shared" ca="1" si="94"/>
        <v>0</v>
      </c>
      <c r="AB854" s="63" t="e">
        <f t="shared" ca="1" si="95"/>
        <v>#N/A</v>
      </c>
      <c r="AC854" s="63" t="e">
        <f t="shared" ca="1" si="96"/>
        <v>#N/A</v>
      </c>
      <c r="AD854" s="3" t="e">
        <f t="shared" ca="1" si="97"/>
        <v>#N/A</v>
      </c>
    </row>
    <row r="855" spans="8:30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Y855" s="2">
        <f t="shared" ca="1" si="93"/>
        <v>0</v>
      </c>
      <c r="Z855">
        <f t="shared" ca="1" si="94"/>
        <v>0</v>
      </c>
      <c r="AB855" s="63" t="e">
        <f t="shared" ca="1" si="95"/>
        <v>#N/A</v>
      </c>
      <c r="AC855" s="63" t="e">
        <f t="shared" ca="1" si="96"/>
        <v>#N/A</v>
      </c>
      <c r="AD855" s="3" t="e">
        <f t="shared" ca="1" si="97"/>
        <v>#N/A</v>
      </c>
    </row>
    <row r="856" spans="8:30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Y856" s="2">
        <f t="shared" ca="1" si="93"/>
        <v>0</v>
      </c>
      <c r="Z856">
        <f t="shared" ca="1" si="94"/>
        <v>0</v>
      </c>
      <c r="AB856" s="63" t="e">
        <f t="shared" ca="1" si="95"/>
        <v>#N/A</v>
      </c>
      <c r="AC856" s="63" t="e">
        <f t="shared" ca="1" si="96"/>
        <v>#N/A</v>
      </c>
      <c r="AD856" s="3" t="e">
        <f t="shared" ca="1" si="97"/>
        <v>#N/A</v>
      </c>
    </row>
    <row r="857" spans="8:30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Y857" s="2">
        <f t="shared" ca="1" si="93"/>
        <v>0</v>
      </c>
      <c r="Z857">
        <f t="shared" ca="1" si="94"/>
        <v>0</v>
      </c>
      <c r="AB857" s="63" t="e">
        <f t="shared" ca="1" si="95"/>
        <v>#N/A</v>
      </c>
      <c r="AC857" s="63" t="e">
        <f t="shared" ca="1" si="96"/>
        <v>#N/A</v>
      </c>
      <c r="AD857" s="3" t="e">
        <f t="shared" ca="1" si="97"/>
        <v>#N/A</v>
      </c>
    </row>
    <row r="858" spans="8:30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Y858" s="2">
        <f t="shared" ca="1" si="93"/>
        <v>0</v>
      </c>
      <c r="Z858">
        <f t="shared" ca="1" si="94"/>
        <v>0</v>
      </c>
      <c r="AB858" s="63" t="e">
        <f t="shared" ca="1" si="95"/>
        <v>#N/A</v>
      </c>
      <c r="AC858" s="63" t="e">
        <f t="shared" ca="1" si="96"/>
        <v>#N/A</v>
      </c>
      <c r="AD858" s="3" t="e">
        <f t="shared" ca="1" si="97"/>
        <v>#N/A</v>
      </c>
    </row>
    <row r="859" spans="8:30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Y859" s="2">
        <f t="shared" ca="1" si="93"/>
        <v>0</v>
      </c>
      <c r="Z859">
        <f t="shared" ca="1" si="94"/>
        <v>0</v>
      </c>
      <c r="AB859" s="63" t="e">
        <f t="shared" ca="1" si="95"/>
        <v>#N/A</v>
      </c>
      <c r="AC859" s="63" t="e">
        <f t="shared" ca="1" si="96"/>
        <v>#N/A</v>
      </c>
      <c r="AD859" s="3" t="e">
        <f t="shared" ca="1" si="97"/>
        <v>#N/A</v>
      </c>
    </row>
    <row r="860" spans="8:30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Y860" s="2">
        <f t="shared" ca="1" si="93"/>
        <v>0</v>
      </c>
      <c r="Z860">
        <f t="shared" ca="1" si="94"/>
        <v>0</v>
      </c>
      <c r="AB860" s="63" t="e">
        <f t="shared" ca="1" si="95"/>
        <v>#N/A</v>
      </c>
      <c r="AC860" s="63" t="e">
        <f t="shared" ca="1" si="96"/>
        <v>#N/A</v>
      </c>
      <c r="AD860" s="3" t="e">
        <f t="shared" ca="1" si="97"/>
        <v>#N/A</v>
      </c>
    </row>
    <row r="861" spans="8:30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Y861" s="2">
        <f t="shared" ca="1" si="93"/>
        <v>0</v>
      </c>
      <c r="Z861">
        <f t="shared" ca="1" si="94"/>
        <v>0</v>
      </c>
      <c r="AB861" s="63" t="e">
        <f t="shared" ca="1" si="95"/>
        <v>#N/A</v>
      </c>
      <c r="AC861" s="63" t="e">
        <f t="shared" ca="1" si="96"/>
        <v>#N/A</v>
      </c>
      <c r="AD861" s="3" t="e">
        <f t="shared" ca="1" si="97"/>
        <v>#N/A</v>
      </c>
    </row>
    <row r="862" spans="8:30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Y862" s="2">
        <f t="shared" ca="1" si="93"/>
        <v>0</v>
      </c>
      <c r="Z862">
        <f t="shared" ca="1" si="94"/>
        <v>0</v>
      </c>
      <c r="AB862" s="63" t="e">
        <f t="shared" ca="1" si="95"/>
        <v>#N/A</v>
      </c>
      <c r="AC862" s="63" t="e">
        <f t="shared" ca="1" si="96"/>
        <v>#N/A</v>
      </c>
      <c r="AD862" s="3" t="e">
        <f t="shared" ca="1" si="97"/>
        <v>#N/A</v>
      </c>
    </row>
    <row r="863" spans="8:30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Y863" s="2">
        <f t="shared" ca="1" si="93"/>
        <v>0</v>
      </c>
      <c r="Z863">
        <f t="shared" ca="1" si="94"/>
        <v>0</v>
      </c>
      <c r="AB863" s="63" t="e">
        <f t="shared" ca="1" si="95"/>
        <v>#N/A</v>
      </c>
      <c r="AC863" s="63" t="e">
        <f t="shared" ca="1" si="96"/>
        <v>#N/A</v>
      </c>
      <c r="AD863" s="3" t="e">
        <f t="shared" ca="1" si="97"/>
        <v>#N/A</v>
      </c>
    </row>
    <row r="864" spans="8:30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Y864" s="2">
        <f t="shared" ca="1" si="93"/>
        <v>0</v>
      </c>
      <c r="Z864">
        <f t="shared" ca="1" si="94"/>
        <v>0</v>
      </c>
      <c r="AB864" s="63" t="e">
        <f t="shared" ca="1" si="95"/>
        <v>#N/A</v>
      </c>
      <c r="AC864" s="63" t="e">
        <f t="shared" ca="1" si="96"/>
        <v>#N/A</v>
      </c>
      <c r="AD864" s="3" t="e">
        <f t="shared" ca="1" si="97"/>
        <v>#N/A</v>
      </c>
    </row>
    <row r="865" spans="8:30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Y865" s="2">
        <f t="shared" ca="1" si="93"/>
        <v>0</v>
      </c>
      <c r="Z865">
        <f t="shared" ca="1" si="94"/>
        <v>0</v>
      </c>
      <c r="AB865" s="63" t="e">
        <f t="shared" ca="1" si="95"/>
        <v>#N/A</v>
      </c>
      <c r="AC865" s="63" t="e">
        <f t="shared" ca="1" si="96"/>
        <v>#N/A</v>
      </c>
      <c r="AD865" s="3" t="e">
        <f t="shared" ca="1" si="97"/>
        <v>#N/A</v>
      </c>
    </row>
    <row r="866" spans="8:30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Y866" s="2">
        <f t="shared" ca="1" si="93"/>
        <v>0</v>
      </c>
      <c r="Z866">
        <f t="shared" ca="1" si="94"/>
        <v>0</v>
      </c>
      <c r="AB866" s="63" t="e">
        <f t="shared" ca="1" si="95"/>
        <v>#N/A</v>
      </c>
      <c r="AC866" s="63" t="e">
        <f t="shared" ca="1" si="96"/>
        <v>#N/A</v>
      </c>
      <c r="AD866" s="3" t="e">
        <f t="shared" ca="1" si="97"/>
        <v>#N/A</v>
      </c>
    </row>
    <row r="867" spans="8:30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Y867" s="2">
        <f t="shared" ca="1" si="93"/>
        <v>0</v>
      </c>
      <c r="Z867">
        <f t="shared" ca="1" si="94"/>
        <v>0</v>
      </c>
      <c r="AB867" s="63" t="e">
        <f t="shared" ca="1" si="95"/>
        <v>#N/A</v>
      </c>
      <c r="AC867" s="63" t="e">
        <f t="shared" ca="1" si="96"/>
        <v>#N/A</v>
      </c>
      <c r="AD867" s="3" t="e">
        <f t="shared" ca="1" si="97"/>
        <v>#N/A</v>
      </c>
    </row>
    <row r="868" spans="8:30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Y868" s="2">
        <f t="shared" ca="1" si="93"/>
        <v>0</v>
      </c>
      <c r="Z868">
        <f t="shared" ca="1" si="94"/>
        <v>0</v>
      </c>
      <c r="AB868" s="63" t="e">
        <f t="shared" ca="1" si="95"/>
        <v>#N/A</v>
      </c>
      <c r="AC868" s="63" t="e">
        <f t="shared" ca="1" si="96"/>
        <v>#N/A</v>
      </c>
      <c r="AD868" s="3" t="e">
        <f t="shared" ca="1" si="97"/>
        <v>#N/A</v>
      </c>
    </row>
    <row r="869" spans="8:30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Y869" s="2">
        <f t="shared" ca="1" si="93"/>
        <v>0</v>
      </c>
      <c r="Z869">
        <f t="shared" ca="1" si="94"/>
        <v>0</v>
      </c>
      <c r="AB869" s="63" t="e">
        <f t="shared" ca="1" si="95"/>
        <v>#N/A</v>
      </c>
      <c r="AC869" s="63" t="e">
        <f t="shared" ca="1" si="96"/>
        <v>#N/A</v>
      </c>
      <c r="AD869" s="3" t="e">
        <f t="shared" ca="1" si="97"/>
        <v>#N/A</v>
      </c>
    </row>
    <row r="870" spans="8:30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Y870" s="2">
        <f t="shared" ca="1" si="93"/>
        <v>0</v>
      </c>
      <c r="Z870">
        <f t="shared" ca="1" si="94"/>
        <v>0</v>
      </c>
      <c r="AB870" s="63" t="e">
        <f t="shared" ca="1" si="95"/>
        <v>#N/A</v>
      </c>
      <c r="AC870" s="63" t="e">
        <f t="shared" ca="1" si="96"/>
        <v>#N/A</v>
      </c>
      <c r="AD870" s="3" t="e">
        <f t="shared" ca="1" si="97"/>
        <v>#N/A</v>
      </c>
    </row>
    <row r="871" spans="8:30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Y871" s="2">
        <f t="shared" ca="1" si="93"/>
        <v>0</v>
      </c>
      <c r="Z871">
        <f t="shared" ca="1" si="94"/>
        <v>0</v>
      </c>
      <c r="AB871" s="63" t="e">
        <f t="shared" ca="1" si="95"/>
        <v>#N/A</v>
      </c>
      <c r="AC871" s="63" t="e">
        <f t="shared" ca="1" si="96"/>
        <v>#N/A</v>
      </c>
      <c r="AD871" s="3" t="e">
        <f t="shared" ca="1" si="97"/>
        <v>#N/A</v>
      </c>
    </row>
    <row r="872" spans="8:30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Y872" s="2">
        <f t="shared" ca="1" si="93"/>
        <v>0</v>
      </c>
      <c r="Z872">
        <f t="shared" ca="1" si="94"/>
        <v>0</v>
      </c>
      <c r="AB872" s="63" t="e">
        <f t="shared" ca="1" si="95"/>
        <v>#N/A</v>
      </c>
      <c r="AC872" s="63" t="e">
        <f t="shared" ca="1" si="96"/>
        <v>#N/A</v>
      </c>
      <c r="AD872" s="3" t="e">
        <f t="shared" ca="1" si="97"/>
        <v>#N/A</v>
      </c>
    </row>
    <row r="873" spans="8:30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Y873" s="2">
        <f t="shared" ca="1" si="93"/>
        <v>0</v>
      </c>
      <c r="Z873">
        <f t="shared" ca="1" si="94"/>
        <v>0</v>
      </c>
      <c r="AB873" s="63" t="e">
        <f t="shared" ca="1" si="95"/>
        <v>#N/A</v>
      </c>
      <c r="AC873" s="63" t="e">
        <f t="shared" ca="1" si="96"/>
        <v>#N/A</v>
      </c>
      <c r="AD873" s="3" t="e">
        <f t="shared" ca="1" si="97"/>
        <v>#N/A</v>
      </c>
    </row>
    <row r="874" spans="8:30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Y874" s="2">
        <f t="shared" ca="1" si="93"/>
        <v>0</v>
      </c>
      <c r="Z874">
        <f t="shared" ca="1" si="94"/>
        <v>0</v>
      </c>
      <c r="AB874" s="63" t="e">
        <f t="shared" ca="1" si="95"/>
        <v>#N/A</v>
      </c>
      <c r="AC874" s="63" t="e">
        <f t="shared" ca="1" si="96"/>
        <v>#N/A</v>
      </c>
      <c r="AD874" s="3" t="e">
        <f t="shared" ca="1" si="97"/>
        <v>#N/A</v>
      </c>
    </row>
    <row r="875" spans="8:30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Y875" s="2">
        <f t="shared" ca="1" si="93"/>
        <v>0</v>
      </c>
      <c r="Z875">
        <f t="shared" ca="1" si="94"/>
        <v>0</v>
      </c>
      <c r="AB875" s="63" t="e">
        <f t="shared" ca="1" si="95"/>
        <v>#N/A</v>
      </c>
      <c r="AC875" s="63" t="e">
        <f t="shared" ca="1" si="96"/>
        <v>#N/A</v>
      </c>
      <c r="AD875" s="3" t="e">
        <f t="shared" ca="1" si="97"/>
        <v>#N/A</v>
      </c>
    </row>
    <row r="876" spans="8:30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Y876" s="2">
        <f t="shared" ca="1" si="93"/>
        <v>0</v>
      </c>
      <c r="Z876">
        <f t="shared" ca="1" si="94"/>
        <v>0</v>
      </c>
      <c r="AB876" s="63" t="e">
        <f t="shared" ca="1" si="95"/>
        <v>#N/A</v>
      </c>
      <c r="AC876" s="63" t="e">
        <f t="shared" ca="1" si="96"/>
        <v>#N/A</v>
      </c>
      <c r="AD876" s="3" t="e">
        <f t="shared" ca="1" si="97"/>
        <v>#N/A</v>
      </c>
    </row>
    <row r="877" spans="8:30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Y877" s="2">
        <f t="shared" ca="1" si="93"/>
        <v>0</v>
      </c>
      <c r="Z877">
        <f t="shared" ca="1" si="94"/>
        <v>0</v>
      </c>
      <c r="AB877" s="63" t="e">
        <f t="shared" ca="1" si="95"/>
        <v>#N/A</v>
      </c>
      <c r="AC877" s="63" t="e">
        <f t="shared" ca="1" si="96"/>
        <v>#N/A</v>
      </c>
      <c r="AD877" s="3" t="e">
        <f t="shared" ca="1" si="97"/>
        <v>#N/A</v>
      </c>
    </row>
    <row r="878" spans="8:30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Y878" s="2">
        <f t="shared" ca="1" si="93"/>
        <v>0</v>
      </c>
      <c r="Z878">
        <f t="shared" ca="1" si="94"/>
        <v>0</v>
      </c>
      <c r="AB878" s="63" t="e">
        <f t="shared" ca="1" si="95"/>
        <v>#N/A</v>
      </c>
      <c r="AC878" s="63" t="e">
        <f t="shared" ca="1" si="96"/>
        <v>#N/A</v>
      </c>
      <c r="AD878" s="3" t="e">
        <f t="shared" ca="1" si="97"/>
        <v>#N/A</v>
      </c>
    </row>
    <row r="879" spans="8:30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Y879" s="2">
        <f t="shared" ca="1" si="93"/>
        <v>0</v>
      </c>
      <c r="Z879">
        <f t="shared" ca="1" si="94"/>
        <v>0</v>
      </c>
      <c r="AB879" s="63" t="e">
        <f t="shared" ca="1" si="95"/>
        <v>#N/A</v>
      </c>
      <c r="AC879" s="63" t="e">
        <f t="shared" ca="1" si="96"/>
        <v>#N/A</v>
      </c>
      <c r="AD879" s="3" t="e">
        <f t="shared" ca="1" si="97"/>
        <v>#N/A</v>
      </c>
    </row>
    <row r="880" spans="8:30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Y880" s="2">
        <f t="shared" ca="1" si="93"/>
        <v>0</v>
      </c>
      <c r="Z880">
        <f t="shared" ca="1" si="94"/>
        <v>0</v>
      </c>
      <c r="AB880" s="63" t="e">
        <f t="shared" ca="1" si="95"/>
        <v>#N/A</v>
      </c>
      <c r="AC880" s="63" t="e">
        <f t="shared" ca="1" si="96"/>
        <v>#N/A</v>
      </c>
      <c r="AD880" s="3" t="e">
        <f t="shared" ca="1" si="97"/>
        <v>#N/A</v>
      </c>
    </row>
    <row r="881" spans="8:30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Y881" s="2">
        <f t="shared" ca="1" si="93"/>
        <v>0</v>
      </c>
      <c r="Z881">
        <f t="shared" ca="1" si="94"/>
        <v>0</v>
      </c>
      <c r="AB881" s="63" t="e">
        <f t="shared" ca="1" si="95"/>
        <v>#N/A</v>
      </c>
      <c r="AC881" s="63" t="e">
        <f t="shared" ca="1" si="96"/>
        <v>#N/A</v>
      </c>
      <c r="AD881" s="3" t="e">
        <f t="shared" ca="1" si="97"/>
        <v>#N/A</v>
      </c>
    </row>
    <row r="882" spans="8:30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Y882" s="2">
        <f t="shared" ca="1" si="93"/>
        <v>0</v>
      </c>
      <c r="Z882">
        <f t="shared" ca="1" si="94"/>
        <v>0</v>
      </c>
      <c r="AB882" s="63" t="e">
        <f t="shared" ca="1" si="95"/>
        <v>#N/A</v>
      </c>
      <c r="AC882" s="63" t="e">
        <f t="shared" ca="1" si="96"/>
        <v>#N/A</v>
      </c>
      <c r="AD882" s="3" t="e">
        <f t="shared" ca="1" si="97"/>
        <v>#N/A</v>
      </c>
    </row>
    <row r="883" spans="8:30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Y883" s="2">
        <f t="shared" ca="1" si="93"/>
        <v>0</v>
      </c>
      <c r="Z883">
        <f t="shared" ca="1" si="94"/>
        <v>0</v>
      </c>
      <c r="AB883" s="63" t="e">
        <f t="shared" ca="1" si="95"/>
        <v>#N/A</v>
      </c>
      <c r="AC883" s="63" t="e">
        <f t="shared" ca="1" si="96"/>
        <v>#N/A</v>
      </c>
      <c r="AD883" s="3" t="e">
        <f t="shared" ca="1" si="97"/>
        <v>#N/A</v>
      </c>
    </row>
    <row r="884" spans="8:30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Y884" s="2">
        <f t="shared" ca="1" si="93"/>
        <v>0</v>
      </c>
      <c r="Z884">
        <f t="shared" ca="1" si="94"/>
        <v>0</v>
      </c>
      <c r="AB884" s="63" t="e">
        <f t="shared" ca="1" si="95"/>
        <v>#N/A</v>
      </c>
      <c r="AC884" s="63" t="e">
        <f t="shared" ca="1" si="96"/>
        <v>#N/A</v>
      </c>
      <c r="AD884" s="3" t="e">
        <f t="shared" ca="1" si="97"/>
        <v>#N/A</v>
      </c>
    </row>
    <row r="885" spans="8:30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Y885" s="2">
        <f t="shared" ref="Y885:Y948" ca="1" si="100">IFERROR(J885,$Y$9)</f>
        <v>0</v>
      </c>
      <c r="Z885">
        <f t="shared" ref="Z885:Z948" ca="1" si="101">IFERROR(O885,0)</f>
        <v>0</v>
      </c>
      <c r="AB885" s="63" t="e">
        <f t="shared" ref="AB885:AB948" ca="1" si="102">K884+M885+N885+O885</f>
        <v>#N/A</v>
      </c>
      <c r="AC885" s="63" t="e">
        <f t="shared" ref="AC885:AC948" ca="1" si="103">K885+L885+R885</f>
        <v>#N/A</v>
      </c>
      <c r="AD885" s="3" t="e">
        <f t="shared" ref="AD885:AD948" ca="1" si="104">AC885-AB885</f>
        <v>#N/A</v>
      </c>
    </row>
    <row r="886" spans="8:30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Y886" s="2">
        <f t="shared" ca="1" si="100"/>
        <v>0</v>
      </c>
      <c r="Z886">
        <f t="shared" ca="1" si="101"/>
        <v>0</v>
      </c>
      <c r="AB886" s="63" t="e">
        <f t="shared" ca="1" si="102"/>
        <v>#N/A</v>
      </c>
      <c r="AC886" s="63" t="e">
        <f t="shared" ca="1" si="103"/>
        <v>#N/A</v>
      </c>
      <c r="AD886" s="3" t="e">
        <f t="shared" ca="1" si="104"/>
        <v>#N/A</v>
      </c>
    </row>
    <row r="887" spans="8:30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Y887" s="2">
        <f t="shared" ca="1" si="100"/>
        <v>0</v>
      </c>
      <c r="Z887">
        <f t="shared" ca="1" si="101"/>
        <v>0</v>
      </c>
      <c r="AB887" s="63" t="e">
        <f t="shared" ca="1" si="102"/>
        <v>#N/A</v>
      </c>
      <c r="AC887" s="63" t="e">
        <f t="shared" ca="1" si="103"/>
        <v>#N/A</v>
      </c>
      <c r="AD887" s="3" t="e">
        <f t="shared" ca="1" si="104"/>
        <v>#N/A</v>
      </c>
    </row>
    <row r="888" spans="8:30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Y888" s="2">
        <f t="shared" ca="1" si="100"/>
        <v>0</v>
      </c>
      <c r="Z888">
        <f t="shared" ca="1" si="101"/>
        <v>0</v>
      </c>
      <c r="AB888" s="63" t="e">
        <f t="shared" ca="1" si="102"/>
        <v>#N/A</v>
      </c>
      <c r="AC888" s="63" t="e">
        <f t="shared" ca="1" si="103"/>
        <v>#N/A</v>
      </c>
      <c r="AD888" s="3" t="e">
        <f t="shared" ca="1" si="104"/>
        <v>#N/A</v>
      </c>
    </row>
    <row r="889" spans="8:30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Y889" s="2">
        <f t="shared" ca="1" si="100"/>
        <v>0</v>
      </c>
      <c r="Z889">
        <f t="shared" ca="1" si="101"/>
        <v>0</v>
      </c>
      <c r="AB889" s="63" t="e">
        <f t="shared" ca="1" si="102"/>
        <v>#N/A</v>
      </c>
      <c r="AC889" s="63" t="e">
        <f t="shared" ca="1" si="103"/>
        <v>#N/A</v>
      </c>
      <c r="AD889" s="3" t="e">
        <f t="shared" ca="1" si="104"/>
        <v>#N/A</v>
      </c>
    </row>
    <row r="890" spans="8:30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Y890" s="2">
        <f t="shared" ca="1" si="100"/>
        <v>0</v>
      </c>
      <c r="Z890">
        <f t="shared" ca="1" si="101"/>
        <v>0</v>
      </c>
      <c r="AB890" s="63" t="e">
        <f t="shared" ca="1" si="102"/>
        <v>#N/A</v>
      </c>
      <c r="AC890" s="63" t="e">
        <f t="shared" ca="1" si="103"/>
        <v>#N/A</v>
      </c>
      <c r="AD890" s="3" t="e">
        <f t="shared" ca="1" si="104"/>
        <v>#N/A</v>
      </c>
    </row>
    <row r="891" spans="8:30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Y891" s="2">
        <f t="shared" ca="1" si="100"/>
        <v>0</v>
      </c>
      <c r="Z891">
        <f t="shared" ca="1" si="101"/>
        <v>0</v>
      </c>
      <c r="AB891" s="63" t="e">
        <f t="shared" ca="1" si="102"/>
        <v>#N/A</v>
      </c>
      <c r="AC891" s="63" t="e">
        <f t="shared" ca="1" si="103"/>
        <v>#N/A</v>
      </c>
      <c r="AD891" s="3" t="e">
        <f t="shared" ca="1" si="104"/>
        <v>#N/A</v>
      </c>
    </row>
    <row r="892" spans="8:30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Y892" s="2">
        <f t="shared" ca="1" si="100"/>
        <v>0</v>
      </c>
      <c r="Z892">
        <f t="shared" ca="1" si="101"/>
        <v>0</v>
      </c>
      <c r="AB892" s="63" t="e">
        <f t="shared" ca="1" si="102"/>
        <v>#N/A</v>
      </c>
      <c r="AC892" s="63" t="e">
        <f t="shared" ca="1" si="103"/>
        <v>#N/A</v>
      </c>
      <c r="AD892" s="3" t="e">
        <f t="shared" ca="1" si="104"/>
        <v>#N/A</v>
      </c>
    </row>
    <row r="893" spans="8:30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Y893" s="2">
        <f t="shared" ca="1" si="100"/>
        <v>0</v>
      </c>
      <c r="Z893">
        <f t="shared" ca="1" si="101"/>
        <v>0</v>
      </c>
      <c r="AB893" s="63" t="e">
        <f t="shared" ca="1" si="102"/>
        <v>#N/A</v>
      </c>
      <c r="AC893" s="63" t="e">
        <f t="shared" ca="1" si="103"/>
        <v>#N/A</v>
      </c>
      <c r="AD893" s="3" t="e">
        <f t="shared" ca="1" si="104"/>
        <v>#N/A</v>
      </c>
    </row>
    <row r="894" spans="8:30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Y894" s="2">
        <f t="shared" ca="1" si="100"/>
        <v>0</v>
      </c>
      <c r="Z894">
        <f t="shared" ca="1" si="101"/>
        <v>0</v>
      </c>
      <c r="AB894" s="63" t="e">
        <f t="shared" ca="1" si="102"/>
        <v>#N/A</v>
      </c>
      <c r="AC894" s="63" t="e">
        <f t="shared" ca="1" si="103"/>
        <v>#N/A</v>
      </c>
      <c r="AD894" s="3" t="e">
        <f t="shared" ca="1" si="104"/>
        <v>#N/A</v>
      </c>
    </row>
    <row r="895" spans="8:30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Y895" s="2">
        <f t="shared" ca="1" si="100"/>
        <v>0</v>
      </c>
      <c r="Z895">
        <f t="shared" ca="1" si="101"/>
        <v>0</v>
      </c>
      <c r="AB895" s="63" t="e">
        <f t="shared" ca="1" si="102"/>
        <v>#N/A</v>
      </c>
      <c r="AC895" s="63" t="e">
        <f t="shared" ca="1" si="103"/>
        <v>#N/A</v>
      </c>
      <c r="AD895" s="3" t="e">
        <f t="shared" ca="1" si="104"/>
        <v>#N/A</v>
      </c>
    </row>
    <row r="896" spans="8:30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Y896" s="2">
        <f t="shared" ca="1" si="100"/>
        <v>0</v>
      </c>
      <c r="Z896">
        <f t="shared" ca="1" si="101"/>
        <v>0</v>
      </c>
      <c r="AB896" s="63" t="e">
        <f t="shared" ca="1" si="102"/>
        <v>#N/A</v>
      </c>
      <c r="AC896" s="63" t="e">
        <f t="shared" ca="1" si="103"/>
        <v>#N/A</v>
      </c>
      <c r="AD896" s="3" t="e">
        <f t="shared" ca="1" si="104"/>
        <v>#N/A</v>
      </c>
    </row>
    <row r="897" spans="8:30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Y897" s="2">
        <f t="shared" ca="1" si="100"/>
        <v>0</v>
      </c>
      <c r="Z897">
        <f t="shared" ca="1" si="101"/>
        <v>0</v>
      </c>
      <c r="AB897" s="63" t="e">
        <f t="shared" ca="1" si="102"/>
        <v>#N/A</v>
      </c>
      <c r="AC897" s="63" t="e">
        <f t="shared" ca="1" si="103"/>
        <v>#N/A</v>
      </c>
      <c r="AD897" s="3" t="e">
        <f t="shared" ca="1" si="104"/>
        <v>#N/A</v>
      </c>
    </row>
    <row r="898" spans="8:30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Y898" s="2">
        <f t="shared" ca="1" si="100"/>
        <v>0</v>
      </c>
      <c r="Z898">
        <f t="shared" ca="1" si="101"/>
        <v>0</v>
      </c>
      <c r="AB898" s="63" t="e">
        <f t="shared" ca="1" si="102"/>
        <v>#N/A</v>
      </c>
      <c r="AC898" s="63" t="e">
        <f t="shared" ca="1" si="103"/>
        <v>#N/A</v>
      </c>
      <c r="AD898" s="3" t="e">
        <f t="shared" ca="1" si="104"/>
        <v>#N/A</v>
      </c>
    </row>
    <row r="899" spans="8:30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Y899" s="2">
        <f t="shared" ca="1" si="100"/>
        <v>0</v>
      </c>
      <c r="Z899">
        <f t="shared" ca="1" si="101"/>
        <v>0</v>
      </c>
      <c r="AB899" s="63" t="e">
        <f t="shared" ca="1" si="102"/>
        <v>#N/A</v>
      </c>
      <c r="AC899" s="63" t="e">
        <f t="shared" ca="1" si="103"/>
        <v>#N/A</v>
      </c>
      <c r="AD899" s="3" t="e">
        <f t="shared" ca="1" si="104"/>
        <v>#N/A</v>
      </c>
    </row>
    <row r="900" spans="8:30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Y900" s="2">
        <f t="shared" ca="1" si="100"/>
        <v>0</v>
      </c>
      <c r="Z900">
        <f t="shared" ca="1" si="101"/>
        <v>0</v>
      </c>
      <c r="AB900" s="63" t="e">
        <f t="shared" ca="1" si="102"/>
        <v>#N/A</v>
      </c>
      <c r="AC900" s="63" t="e">
        <f t="shared" ca="1" si="103"/>
        <v>#N/A</v>
      </c>
      <c r="AD900" s="3" t="e">
        <f t="shared" ca="1" si="104"/>
        <v>#N/A</v>
      </c>
    </row>
    <row r="901" spans="8:30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Y901" s="2">
        <f t="shared" ca="1" si="100"/>
        <v>0</v>
      </c>
      <c r="Z901">
        <f t="shared" ca="1" si="101"/>
        <v>0</v>
      </c>
      <c r="AB901" s="63" t="e">
        <f t="shared" ca="1" si="102"/>
        <v>#N/A</v>
      </c>
      <c r="AC901" s="63" t="e">
        <f t="shared" ca="1" si="103"/>
        <v>#N/A</v>
      </c>
      <c r="AD901" s="3" t="e">
        <f t="shared" ca="1" si="104"/>
        <v>#N/A</v>
      </c>
    </row>
    <row r="902" spans="8:30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Y902" s="2">
        <f t="shared" ca="1" si="100"/>
        <v>0</v>
      </c>
      <c r="Z902">
        <f t="shared" ca="1" si="101"/>
        <v>0</v>
      </c>
      <c r="AB902" s="63" t="e">
        <f t="shared" ca="1" si="102"/>
        <v>#N/A</v>
      </c>
      <c r="AC902" s="63" t="e">
        <f t="shared" ca="1" si="103"/>
        <v>#N/A</v>
      </c>
      <c r="AD902" s="3" t="e">
        <f t="shared" ca="1" si="104"/>
        <v>#N/A</v>
      </c>
    </row>
    <row r="903" spans="8:30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Y903" s="2">
        <f t="shared" ca="1" si="100"/>
        <v>0</v>
      </c>
      <c r="Z903">
        <f t="shared" ca="1" si="101"/>
        <v>0</v>
      </c>
      <c r="AB903" s="63" t="e">
        <f t="shared" ca="1" si="102"/>
        <v>#N/A</v>
      </c>
      <c r="AC903" s="63" t="e">
        <f t="shared" ca="1" si="103"/>
        <v>#N/A</v>
      </c>
      <c r="AD903" s="3" t="e">
        <f t="shared" ca="1" si="104"/>
        <v>#N/A</v>
      </c>
    </row>
    <row r="904" spans="8:30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Y904" s="2">
        <f t="shared" ca="1" si="100"/>
        <v>0</v>
      </c>
      <c r="Z904">
        <f t="shared" ca="1" si="101"/>
        <v>0</v>
      </c>
      <c r="AB904" s="63" t="e">
        <f t="shared" ca="1" si="102"/>
        <v>#N/A</v>
      </c>
      <c r="AC904" s="63" t="e">
        <f t="shared" ca="1" si="103"/>
        <v>#N/A</v>
      </c>
      <c r="AD904" s="3" t="e">
        <f t="shared" ca="1" si="104"/>
        <v>#N/A</v>
      </c>
    </row>
    <row r="905" spans="8:30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Y905" s="2">
        <f t="shared" ca="1" si="100"/>
        <v>0</v>
      </c>
      <c r="Z905">
        <f t="shared" ca="1" si="101"/>
        <v>0</v>
      </c>
      <c r="AB905" s="63" t="e">
        <f t="shared" ca="1" si="102"/>
        <v>#N/A</v>
      </c>
      <c r="AC905" s="63" t="e">
        <f t="shared" ca="1" si="103"/>
        <v>#N/A</v>
      </c>
      <c r="AD905" s="3" t="e">
        <f t="shared" ca="1" si="104"/>
        <v>#N/A</v>
      </c>
    </row>
    <row r="906" spans="8:30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Y906" s="2">
        <f t="shared" ca="1" si="100"/>
        <v>0</v>
      </c>
      <c r="Z906">
        <f t="shared" ca="1" si="101"/>
        <v>0</v>
      </c>
      <c r="AB906" s="63" t="e">
        <f t="shared" ca="1" si="102"/>
        <v>#N/A</v>
      </c>
      <c r="AC906" s="63" t="e">
        <f t="shared" ca="1" si="103"/>
        <v>#N/A</v>
      </c>
      <c r="AD906" s="3" t="e">
        <f t="shared" ca="1" si="104"/>
        <v>#N/A</v>
      </c>
    </row>
    <row r="907" spans="8:30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Y907" s="2">
        <f t="shared" ca="1" si="100"/>
        <v>0</v>
      </c>
      <c r="Z907">
        <f t="shared" ca="1" si="101"/>
        <v>0</v>
      </c>
      <c r="AB907" s="63" t="e">
        <f t="shared" ca="1" si="102"/>
        <v>#N/A</v>
      </c>
      <c r="AC907" s="63" t="e">
        <f t="shared" ca="1" si="103"/>
        <v>#N/A</v>
      </c>
      <c r="AD907" s="3" t="e">
        <f t="shared" ca="1" si="104"/>
        <v>#N/A</v>
      </c>
    </row>
    <row r="908" spans="8:30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Y908" s="2">
        <f t="shared" ca="1" si="100"/>
        <v>0</v>
      </c>
      <c r="Z908">
        <f t="shared" ca="1" si="101"/>
        <v>0</v>
      </c>
      <c r="AB908" s="63" t="e">
        <f t="shared" ca="1" si="102"/>
        <v>#N/A</v>
      </c>
      <c r="AC908" s="63" t="e">
        <f t="shared" ca="1" si="103"/>
        <v>#N/A</v>
      </c>
      <c r="AD908" s="3" t="e">
        <f t="shared" ca="1" si="104"/>
        <v>#N/A</v>
      </c>
    </row>
    <row r="909" spans="8:30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Y909" s="2">
        <f t="shared" ca="1" si="100"/>
        <v>0</v>
      </c>
      <c r="Z909">
        <f t="shared" ca="1" si="101"/>
        <v>0</v>
      </c>
      <c r="AB909" s="63" t="e">
        <f t="shared" ca="1" si="102"/>
        <v>#N/A</v>
      </c>
      <c r="AC909" s="63" t="e">
        <f t="shared" ca="1" si="103"/>
        <v>#N/A</v>
      </c>
      <c r="AD909" s="3" t="e">
        <f t="shared" ca="1" si="104"/>
        <v>#N/A</v>
      </c>
    </row>
    <row r="910" spans="8:30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Y910" s="2">
        <f t="shared" ca="1" si="100"/>
        <v>0</v>
      </c>
      <c r="Z910">
        <f t="shared" ca="1" si="101"/>
        <v>0</v>
      </c>
      <c r="AB910" s="63" t="e">
        <f t="shared" ca="1" si="102"/>
        <v>#N/A</v>
      </c>
      <c r="AC910" s="63" t="e">
        <f t="shared" ca="1" si="103"/>
        <v>#N/A</v>
      </c>
      <c r="AD910" s="3" t="e">
        <f t="shared" ca="1" si="104"/>
        <v>#N/A</v>
      </c>
    </row>
    <row r="911" spans="8:30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Y911" s="2">
        <f t="shared" ca="1" si="100"/>
        <v>0</v>
      </c>
      <c r="Z911">
        <f t="shared" ca="1" si="101"/>
        <v>0</v>
      </c>
      <c r="AB911" s="63" t="e">
        <f t="shared" ca="1" si="102"/>
        <v>#N/A</v>
      </c>
      <c r="AC911" s="63" t="e">
        <f t="shared" ca="1" si="103"/>
        <v>#N/A</v>
      </c>
      <c r="AD911" s="3" t="e">
        <f t="shared" ca="1" si="104"/>
        <v>#N/A</v>
      </c>
    </row>
    <row r="912" spans="8:30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Y912" s="2">
        <f t="shared" ca="1" si="100"/>
        <v>0</v>
      </c>
      <c r="Z912">
        <f t="shared" ca="1" si="101"/>
        <v>0</v>
      </c>
      <c r="AB912" s="63" t="e">
        <f t="shared" ca="1" si="102"/>
        <v>#N/A</v>
      </c>
      <c r="AC912" s="63" t="e">
        <f t="shared" ca="1" si="103"/>
        <v>#N/A</v>
      </c>
      <c r="AD912" s="3" t="e">
        <f t="shared" ca="1" si="104"/>
        <v>#N/A</v>
      </c>
    </row>
    <row r="913" spans="8:30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Y913" s="2">
        <f t="shared" ca="1" si="100"/>
        <v>0</v>
      </c>
      <c r="Z913">
        <f t="shared" ca="1" si="101"/>
        <v>0</v>
      </c>
      <c r="AB913" s="63" t="e">
        <f t="shared" ca="1" si="102"/>
        <v>#N/A</v>
      </c>
      <c r="AC913" s="63" t="e">
        <f t="shared" ca="1" si="103"/>
        <v>#N/A</v>
      </c>
      <c r="AD913" s="3" t="e">
        <f t="shared" ca="1" si="104"/>
        <v>#N/A</v>
      </c>
    </row>
    <row r="914" spans="8:30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Y914" s="2">
        <f t="shared" ca="1" si="100"/>
        <v>0</v>
      </c>
      <c r="Z914">
        <f t="shared" ca="1" si="101"/>
        <v>0</v>
      </c>
      <c r="AB914" s="63" t="e">
        <f t="shared" ca="1" si="102"/>
        <v>#N/A</v>
      </c>
      <c r="AC914" s="63" t="e">
        <f t="shared" ca="1" si="103"/>
        <v>#N/A</v>
      </c>
      <c r="AD914" s="3" t="e">
        <f t="shared" ca="1" si="104"/>
        <v>#N/A</v>
      </c>
    </row>
    <row r="915" spans="8:30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Y915" s="2">
        <f t="shared" ca="1" si="100"/>
        <v>0</v>
      </c>
      <c r="Z915">
        <f t="shared" ca="1" si="101"/>
        <v>0</v>
      </c>
      <c r="AB915" s="63" t="e">
        <f t="shared" ca="1" si="102"/>
        <v>#N/A</v>
      </c>
      <c r="AC915" s="63" t="e">
        <f t="shared" ca="1" si="103"/>
        <v>#N/A</v>
      </c>
      <c r="AD915" s="3" t="e">
        <f t="shared" ca="1" si="104"/>
        <v>#N/A</v>
      </c>
    </row>
    <row r="916" spans="8:30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Y916" s="2">
        <f t="shared" ca="1" si="100"/>
        <v>0</v>
      </c>
      <c r="Z916">
        <f t="shared" ca="1" si="101"/>
        <v>0</v>
      </c>
      <c r="AB916" s="63" t="e">
        <f t="shared" ca="1" si="102"/>
        <v>#N/A</v>
      </c>
      <c r="AC916" s="63" t="e">
        <f t="shared" ca="1" si="103"/>
        <v>#N/A</v>
      </c>
      <c r="AD916" s="3" t="e">
        <f t="shared" ca="1" si="104"/>
        <v>#N/A</v>
      </c>
    </row>
    <row r="917" spans="8:30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Y917" s="2">
        <f t="shared" ca="1" si="100"/>
        <v>0</v>
      </c>
      <c r="Z917">
        <f t="shared" ca="1" si="101"/>
        <v>0</v>
      </c>
      <c r="AB917" s="63" t="e">
        <f t="shared" ca="1" si="102"/>
        <v>#N/A</v>
      </c>
      <c r="AC917" s="63" t="e">
        <f t="shared" ca="1" si="103"/>
        <v>#N/A</v>
      </c>
      <c r="AD917" s="3" t="e">
        <f t="shared" ca="1" si="104"/>
        <v>#N/A</v>
      </c>
    </row>
    <row r="918" spans="8:30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Y918" s="2">
        <f t="shared" ca="1" si="100"/>
        <v>0</v>
      </c>
      <c r="Z918">
        <f t="shared" ca="1" si="101"/>
        <v>0</v>
      </c>
      <c r="AB918" s="63" t="e">
        <f t="shared" ca="1" si="102"/>
        <v>#N/A</v>
      </c>
      <c r="AC918" s="63" t="e">
        <f t="shared" ca="1" si="103"/>
        <v>#N/A</v>
      </c>
      <c r="AD918" s="3" t="e">
        <f t="shared" ca="1" si="104"/>
        <v>#N/A</v>
      </c>
    </row>
    <row r="919" spans="8:30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Y919" s="2">
        <f t="shared" ca="1" si="100"/>
        <v>0</v>
      </c>
      <c r="Z919">
        <f t="shared" ca="1" si="101"/>
        <v>0</v>
      </c>
      <c r="AB919" s="63" t="e">
        <f t="shared" ca="1" si="102"/>
        <v>#N/A</v>
      </c>
      <c r="AC919" s="63" t="e">
        <f t="shared" ca="1" si="103"/>
        <v>#N/A</v>
      </c>
      <c r="AD919" s="3" t="e">
        <f t="shared" ca="1" si="104"/>
        <v>#N/A</v>
      </c>
    </row>
    <row r="920" spans="8:30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Y920" s="2">
        <f t="shared" ca="1" si="100"/>
        <v>0</v>
      </c>
      <c r="Z920">
        <f t="shared" ca="1" si="101"/>
        <v>0</v>
      </c>
      <c r="AB920" s="63" t="e">
        <f t="shared" ca="1" si="102"/>
        <v>#N/A</v>
      </c>
      <c r="AC920" s="63" t="e">
        <f t="shared" ca="1" si="103"/>
        <v>#N/A</v>
      </c>
      <c r="AD920" s="3" t="e">
        <f t="shared" ca="1" si="104"/>
        <v>#N/A</v>
      </c>
    </row>
    <row r="921" spans="8:30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Y921" s="2">
        <f t="shared" ca="1" si="100"/>
        <v>0</v>
      </c>
      <c r="Z921">
        <f t="shared" ca="1" si="101"/>
        <v>0</v>
      </c>
      <c r="AB921" s="63" t="e">
        <f t="shared" ca="1" si="102"/>
        <v>#N/A</v>
      </c>
      <c r="AC921" s="63" t="e">
        <f t="shared" ca="1" si="103"/>
        <v>#N/A</v>
      </c>
      <c r="AD921" s="3" t="e">
        <f t="shared" ca="1" si="104"/>
        <v>#N/A</v>
      </c>
    </row>
    <row r="922" spans="8:30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Y922" s="2">
        <f t="shared" ca="1" si="100"/>
        <v>0</v>
      </c>
      <c r="Z922">
        <f t="shared" ca="1" si="101"/>
        <v>0</v>
      </c>
      <c r="AB922" s="63" t="e">
        <f t="shared" ca="1" si="102"/>
        <v>#N/A</v>
      </c>
      <c r="AC922" s="63" t="e">
        <f t="shared" ca="1" si="103"/>
        <v>#N/A</v>
      </c>
      <c r="AD922" s="3" t="e">
        <f t="shared" ca="1" si="104"/>
        <v>#N/A</v>
      </c>
    </row>
    <row r="923" spans="8:30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Y923" s="2">
        <f t="shared" ca="1" si="100"/>
        <v>0</v>
      </c>
      <c r="Z923">
        <f t="shared" ca="1" si="101"/>
        <v>0</v>
      </c>
      <c r="AB923" s="63" t="e">
        <f t="shared" ca="1" si="102"/>
        <v>#N/A</v>
      </c>
      <c r="AC923" s="63" t="e">
        <f t="shared" ca="1" si="103"/>
        <v>#N/A</v>
      </c>
      <c r="AD923" s="3" t="e">
        <f t="shared" ca="1" si="104"/>
        <v>#N/A</v>
      </c>
    </row>
    <row r="924" spans="8:30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Y924" s="2">
        <f t="shared" ca="1" si="100"/>
        <v>0</v>
      </c>
      <c r="Z924">
        <f t="shared" ca="1" si="101"/>
        <v>0</v>
      </c>
      <c r="AB924" s="63" t="e">
        <f t="shared" ca="1" si="102"/>
        <v>#N/A</v>
      </c>
      <c r="AC924" s="63" t="e">
        <f t="shared" ca="1" si="103"/>
        <v>#N/A</v>
      </c>
      <c r="AD924" s="3" t="e">
        <f t="shared" ca="1" si="104"/>
        <v>#N/A</v>
      </c>
    </row>
    <row r="925" spans="8:30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Y925" s="2">
        <f t="shared" ca="1" si="100"/>
        <v>0</v>
      </c>
      <c r="Z925">
        <f t="shared" ca="1" si="101"/>
        <v>0</v>
      </c>
      <c r="AB925" s="63" t="e">
        <f t="shared" ca="1" si="102"/>
        <v>#N/A</v>
      </c>
      <c r="AC925" s="63" t="e">
        <f t="shared" ca="1" si="103"/>
        <v>#N/A</v>
      </c>
      <c r="AD925" s="3" t="e">
        <f t="shared" ca="1" si="104"/>
        <v>#N/A</v>
      </c>
    </row>
    <row r="926" spans="8:30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Y926" s="2">
        <f t="shared" ca="1" si="100"/>
        <v>0</v>
      </c>
      <c r="Z926">
        <f t="shared" ca="1" si="101"/>
        <v>0</v>
      </c>
      <c r="AB926" s="63" t="e">
        <f t="shared" ca="1" si="102"/>
        <v>#N/A</v>
      </c>
      <c r="AC926" s="63" t="e">
        <f t="shared" ca="1" si="103"/>
        <v>#N/A</v>
      </c>
      <c r="AD926" s="3" t="e">
        <f t="shared" ca="1" si="104"/>
        <v>#N/A</v>
      </c>
    </row>
    <row r="927" spans="8:30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Y927" s="2">
        <f t="shared" ca="1" si="100"/>
        <v>0</v>
      </c>
      <c r="Z927">
        <f t="shared" ca="1" si="101"/>
        <v>0</v>
      </c>
      <c r="AB927" s="63" t="e">
        <f t="shared" ca="1" si="102"/>
        <v>#N/A</v>
      </c>
      <c r="AC927" s="63" t="e">
        <f t="shared" ca="1" si="103"/>
        <v>#N/A</v>
      </c>
      <c r="AD927" s="3" t="e">
        <f t="shared" ca="1" si="104"/>
        <v>#N/A</v>
      </c>
    </row>
    <row r="928" spans="8:30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Y928" s="2">
        <f t="shared" ca="1" si="100"/>
        <v>0</v>
      </c>
      <c r="Z928">
        <f t="shared" ca="1" si="101"/>
        <v>0</v>
      </c>
      <c r="AB928" s="63" t="e">
        <f t="shared" ca="1" si="102"/>
        <v>#N/A</v>
      </c>
      <c r="AC928" s="63" t="e">
        <f t="shared" ca="1" si="103"/>
        <v>#N/A</v>
      </c>
      <c r="AD928" s="3" t="e">
        <f t="shared" ca="1" si="104"/>
        <v>#N/A</v>
      </c>
    </row>
    <row r="929" spans="8:30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Y929" s="2">
        <f t="shared" ca="1" si="100"/>
        <v>0</v>
      </c>
      <c r="Z929">
        <f t="shared" ca="1" si="101"/>
        <v>0</v>
      </c>
      <c r="AB929" s="63" t="e">
        <f t="shared" ca="1" si="102"/>
        <v>#N/A</v>
      </c>
      <c r="AC929" s="63" t="e">
        <f t="shared" ca="1" si="103"/>
        <v>#N/A</v>
      </c>
      <c r="AD929" s="3" t="e">
        <f t="shared" ca="1" si="104"/>
        <v>#N/A</v>
      </c>
    </row>
    <row r="930" spans="8:30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Y930" s="2">
        <f t="shared" ca="1" si="100"/>
        <v>0</v>
      </c>
      <c r="Z930">
        <f t="shared" ca="1" si="101"/>
        <v>0</v>
      </c>
      <c r="AB930" s="63" t="e">
        <f t="shared" ca="1" si="102"/>
        <v>#N/A</v>
      </c>
      <c r="AC930" s="63" t="e">
        <f t="shared" ca="1" si="103"/>
        <v>#N/A</v>
      </c>
      <c r="AD930" s="3" t="e">
        <f t="shared" ca="1" si="104"/>
        <v>#N/A</v>
      </c>
    </row>
    <row r="931" spans="8:30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Y931" s="2">
        <f t="shared" ca="1" si="100"/>
        <v>0</v>
      </c>
      <c r="Z931">
        <f t="shared" ca="1" si="101"/>
        <v>0</v>
      </c>
      <c r="AB931" s="63" t="e">
        <f t="shared" ca="1" si="102"/>
        <v>#N/A</v>
      </c>
      <c r="AC931" s="63" t="e">
        <f t="shared" ca="1" si="103"/>
        <v>#N/A</v>
      </c>
      <c r="AD931" s="3" t="e">
        <f t="shared" ca="1" si="104"/>
        <v>#N/A</v>
      </c>
    </row>
    <row r="932" spans="8:30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Y932" s="2">
        <f t="shared" ca="1" si="100"/>
        <v>0</v>
      </c>
      <c r="Z932">
        <f t="shared" ca="1" si="101"/>
        <v>0</v>
      </c>
      <c r="AB932" s="63" t="e">
        <f t="shared" ca="1" si="102"/>
        <v>#N/A</v>
      </c>
      <c r="AC932" s="63" t="e">
        <f t="shared" ca="1" si="103"/>
        <v>#N/A</v>
      </c>
      <c r="AD932" s="3" t="e">
        <f t="shared" ca="1" si="104"/>
        <v>#N/A</v>
      </c>
    </row>
    <row r="933" spans="8:30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Y933" s="2">
        <f t="shared" ca="1" si="100"/>
        <v>0</v>
      </c>
      <c r="Z933">
        <f t="shared" ca="1" si="101"/>
        <v>0</v>
      </c>
      <c r="AB933" s="63" t="e">
        <f t="shared" ca="1" si="102"/>
        <v>#N/A</v>
      </c>
      <c r="AC933" s="63" t="e">
        <f t="shared" ca="1" si="103"/>
        <v>#N/A</v>
      </c>
      <c r="AD933" s="3" t="e">
        <f t="shared" ca="1" si="104"/>
        <v>#N/A</v>
      </c>
    </row>
    <row r="934" spans="8:30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Y934" s="2">
        <f t="shared" ca="1" si="100"/>
        <v>0</v>
      </c>
      <c r="Z934">
        <f t="shared" ca="1" si="101"/>
        <v>0</v>
      </c>
      <c r="AB934" s="63" t="e">
        <f t="shared" ca="1" si="102"/>
        <v>#N/A</v>
      </c>
      <c r="AC934" s="63" t="e">
        <f t="shared" ca="1" si="103"/>
        <v>#N/A</v>
      </c>
      <c r="AD934" s="3" t="e">
        <f t="shared" ca="1" si="104"/>
        <v>#N/A</v>
      </c>
    </row>
    <row r="935" spans="8:30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Y935" s="2">
        <f t="shared" ca="1" si="100"/>
        <v>0</v>
      </c>
      <c r="Z935">
        <f t="shared" ca="1" si="101"/>
        <v>0</v>
      </c>
      <c r="AB935" s="63" t="e">
        <f t="shared" ca="1" si="102"/>
        <v>#N/A</v>
      </c>
      <c r="AC935" s="63" t="e">
        <f t="shared" ca="1" si="103"/>
        <v>#N/A</v>
      </c>
      <c r="AD935" s="3" t="e">
        <f t="shared" ca="1" si="104"/>
        <v>#N/A</v>
      </c>
    </row>
    <row r="936" spans="8:30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Y936" s="2">
        <f t="shared" ca="1" si="100"/>
        <v>0</v>
      </c>
      <c r="Z936">
        <f t="shared" ca="1" si="101"/>
        <v>0</v>
      </c>
      <c r="AB936" s="63" t="e">
        <f t="shared" ca="1" si="102"/>
        <v>#N/A</v>
      </c>
      <c r="AC936" s="63" t="e">
        <f t="shared" ca="1" si="103"/>
        <v>#N/A</v>
      </c>
      <c r="AD936" s="3" t="e">
        <f t="shared" ca="1" si="104"/>
        <v>#N/A</v>
      </c>
    </row>
    <row r="937" spans="8:30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Y937" s="2">
        <f t="shared" ca="1" si="100"/>
        <v>0</v>
      </c>
      <c r="Z937">
        <f t="shared" ca="1" si="101"/>
        <v>0</v>
      </c>
      <c r="AB937" s="63" t="e">
        <f t="shared" ca="1" si="102"/>
        <v>#N/A</v>
      </c>
      <c r="AC937" s="63" t="e">
        <f t="shared" ca="1" si="103"/>
        <v>#N/A</v>
      </c>
      <c r="AD937" s="3" t="e">
        <f t="shared" ca="1" si="104"/>
        <v>#N/A</v>
      </c>
    </row>
    <row r="938" spans="8:30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Y938" s="2">
        <f t="shared" ca="1" si="100"/>
        <v>0</v>
      </c>
      <c r="Z938">
        <f t="shared" ca="1" si="101"/>
        <v>0</v>
      </c>
      <c r="AB938" s="63" t="e">
        <f t="shared" ca="1" si="102"/>
        <v>#N/A</v>
      </c>
      <c r="AC938" s="63" t="e">
        <f t="shared" ca="1" si="103"/>
        <v>#N/A</v>
      </c>
      <c r="AD938" s="3" t="e">
        <f t="shared" ca="1" si="104"/>
        <v>#N/A</v>
      </c>
    </row>
    <row r="939" spans="8:30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Y939" s="2">
        <f t="shared" ca="1" si="100"/>
        <v>0</v>
      </c>
      <c r="Z939">
        <f t="shared" ca="1" si="101"/>
        <v>0</v>
      </c>
      <c r="AB939" s="63" t="e">
        <f t="shared" ca="1" si="102"/>
        <v>#N/A</v>
      </c>
      <c r="AC939" s="63" t="e">
        <f t="shared" ca="1" si="103"/>
        <v>#N/A</v>
      </c>
      <c r="AD939" s="3" t="e">
        <f t="shared" ca="1" si="104"/>
        <v>#N/A</v>
      </c>
    </row>
    <row r="940" spans="8:30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Y940" s="2">
        <f t="shared" ca="1" si="100"/>
        <v>0</v>
      </c>
      <c r="Z940">
        <f t="shared" ca="1" si="101"/>
        <v>0</v>
      </c>
      <c r="AB940" s="63" t="e">
        <f t="shared" ca="1" si="102"/>
        <v>#N/A</v>
      </c>
      <c r="AC940" s="63" t="e">
        <f t="shared" ca="1" si="103"/>
        <v>#N/A</v>
      </c>
      <c r="AD940" s="3" t="e">
        <f t="shared" ca="1" si="104"/>
        <v>#N/A</v>
      </c>
    </row>
    <row r="941" spans="8:30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Y941" s="2">
        <f t="shared" ca="1" si="100"/>
        <v>0</v>
      </c>
      <c r="Z941">
        <f t="shared" ca="1" si="101"/>
        <v>0</v>
      </c>
      <c r="AB941" s="63" t="e">
        <f t="shared" ca="1" si="102"/>
        <v>#N/A</v>
      </c>
      <c r="AC941" s="63" t="e">
        <f t="shared" ca="1" si="103"/>
        <v>#N/A</v>
      </c>
      <c r="AD941" s="3" t="e">
        <f t="shared" ca="1" si="104"/>
        <v>#N/A</v>
      </c>
    </row>
    <row r="942" spans="8:30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Y942" s="2">
        <f t="shared" ca="1" si="100"/>
        <v>0</v>
      </c>
      <c r="Z942">
        <f t="shared" ca="1" si="101"/>
        <v>0</v>
      </c>
      <c r="AB942" s="63" t="e">
        <f t="shared" ca="1" si="102"/>
        <v>#N/A</v>
      </c>
      <c r="AC942" s="63" t="e">
        <f t="shared" ca="1" si="103"/>
        <v>#N/A</v>
      </c>
      <c r="AD942" s="3" t="e">
        <f t="shared" ca="1" si="104"/>
        <v>#N/A</v>
      </c>
    </row>
    <row r="943" spans="8:30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Y943" s="2">
        <f t="shared" ca="1" si="100"/>
        <v>0</v>
      </c>
      <c r="Z943">
        <f t="shared" ca="1" si="101"/>
        <v>0</v>
      </c>
      <c r="AB943" s="63" t="e">
        <f t="shared" ca="1" si="102"/>
        <v>#N/A</v>
      </c>
      <c r="AC943" s="63" t="e">
        <f t="shared" ca="1" si="103"/>
        <v>#N/A</v>
      </c>
      <c r="AD943" s="3" t="e">
        <f t="shared" ca="1" si="104"/>
        <v>#N/A</v>
      </c>
    </row>
    <row r="944" spans="8:30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Y944" s="2">
        <f t="shared" ca="1" si="100"/>
        <v>0</v>
      </c>
      <c r="Z944">
        <f t="shared" ca="1" si="101"/>
        <v>0</v>
      </c>
      <c r="AB944" s="63" t="e">
        <f t="shared" ca="1" si="102"/>
        <v>#N/A</v>
      </c>
      <c r="AC944" s="63" t="e">
        <f t="shared" ca="1" si="103"/>
        <v>#N/A</v>
      </c>
      <c r="AD944" s="3" t="e">
        <f t="shared" ca="1" si="104"/>
        <v>#N/A</v>
      </c>
    </row>
    <row r="945" spans="8:30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Y945" s="2">
        <f t="shared" ca="1" si="100"/>
        <v>0</v>
      </c>
      <c r="Z945">
        <f t="shared" ca="1" si="101"/>
        <v>0</v>
      </c>
      <c r="AB945" s="63" t="e">
        <f t="shared" ca="1" si="102"/>
        <v>#N/A</v>
      </c>
      <c r="AC945" s="63" t="e">
        <f t="shared" ca="1" si="103"/>
        <v>#N/A</v>
      </c>
      <c r="AD945" s="3" t="e">
        <f t="shared" ca="1" si="104"/>
        <v>#N/A</v>
      </c>
    </row>
    <row r="946" spans="8:30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Y946" s="2">
        <f t="shared" ca="1" si="100"/>
        <v>0</v>
      </c>
      <c r="Z946">
        <f t="shared" ca="1" si="101"/>
        <v>0</v>
      </c>
      <c r="AB946" s="63" t="e">
        <f t="shared" ca="1" si="102"/>
        <v>#N/A</v>
      </c>
      <c r="AC946" s="63" t="e">
        <f t="shared" ca="1" si="103"/>
        <v>#N/A</v>
      </c>
      <c r="AD946" s="3" t="e">
        <f t="shared" ca="1" si="104"/>
        <v>#N/A</v>
      </c>
    </row>
    <row r="947" spans="8:30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Y947" s="2">
        <f t="shared" ca="1" si="100"/>
        <v>0</v>
      </c>
      <c r="Z947">
        <f t="shared" ca="1" si="101"/>
        <v>0</v>
      </c>
      <c r="AB947" s="63" t="e">
        <f t="shared" ca="1" si="102"/>
        <v>#N/A</v>
      </c>
      <c r="AC947" s="63" t="e">
        <f t="shared" ca="1" si="103"/>
        <v>#N/A</v>
      </c>
      <c r="AD947" s="3" t="e">
        <f t="shared" ca="1" si="104"/>
        <v>#N/A</v>
      </c>
    </row>
    <row r="948" spans="8:30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Y948" s="2">
        <f t="shared" ca="1" si="100"/>
        <v>0</v>
      </c>
      <c r="Z948">
        <f t="shared" ca="1" si="101"/>
        <v>0</v>
      </c>
      <c r="AB948" s="63" t="e">
        <f t="shared" ca="1" si="102"/>
        <v>#N/A</v>
      </c>
      <c r="AC948" s="63" t="e">
        <f t="shared" ca="1" si="103"/>
        <v>#N/A</v>
      </c>
      <c r="AD948" s="3" t="e">
        <f t="shared" ca="1" si="104"/>
        <v>#N/A</v>
      </c>
    </row>
    <row r="949" spans="8:30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Y949" s="2">
        <f t="shared" ref="Y949:Y1004" ca="1" si="107">IFERROR(J949,$Y$9)</f>
        <v>0</v>
      </c>
      <c r="Z949">
        <f t="shared" ref="Z949:Z1004" ca="1" si="108">IFERROR(O949,0)</f>
        <v>0</v>
      </c>
      <c r="AB949" s="63" t="e">
        <f t="shared" ref="AB949:AB1004" ca="1" si="109">K948+M949+N949+O949</f>
        <v>#N/A</v>
      </c>
      <c r="AC949" s="63" t="e">
        <f t="shared" ref="AC949:AC1004" ca="1" si="110">K949+L949+R949</f>
        <v>#N/A</v>
      </c>
      <c r="AD949" s="3" t="e">
        <f t="shared" ref="AD949:AD1004" ca="1" si="111">AC949-AB949</f>
        <v>#N/A</v>
      </c>
    </row>
    <row r="950" spans="8:30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Y950" s="2">
        <f t="shared" ca="1" si="107"/>
        <v>0</v>
      </c>
      <c r="Z950">
        <f t="shared" ca="1" si="108"/>
        <v>0</v>
      </c>
      <c r="AB950" s="63" t="e">
        <f t="shared" ca="1" si="109"/>
        <v>#N/A</v>
      </c>
      <c r="AC950" s="63" t="e">
        <f t="shared" ca="1" si="110"/>
        <v>#N/A</v>
      </c>
      <c r="AD950" s="3" t="e">
        <f t="shared" ca="1" si="111"/>
        <v>#N/A</v>
      </c>
    </row>
    <row r="951" spans="8:30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Y951" s="2">
        <f t="shared" ca="1" si="107"/>
        <v>0</v>
      </c>
      <c r="Z951">
        <f t="shared" ca="1" si="108"/>
        <v>0</v>
      </c>
      <c r="AB951" s="63" t="e">
        <f t="shared" ca="1" si="109"/>
        <v>#N/A</v>
      </c>
      <c r="AC951" s="63" t="e">
        <f t="shared" ca="1" si="110"/>
        <v>#N/A</v>
      </c>
      <c r="AD951" s="3" t="e">
        <f t="shared" ca="1" si="111"/>
        <v>#N/A</v>
      </c>
    </row>
    <row r="952" spans="8:30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Y952" s="2">
        <f t="shared" ca="1" si="107"/>
        <v>0</v>
      </c>
      <c r="Z952">
        <f t="shared" ca="1" si="108"/>
        <v>0</v>
      </c>
      <c r="AB952" s="63" t="e">
        <f t="shared" ca="1" si="109"/>
        <v>#N/A</v>
      </c>
      <c r="AC952" s="63" t="e">
        <f t="shared" ca="1" si="110"/>
        <v>#N/A</v>
      </c>
      <c r="AD952" s="3" t="e">
        <f t="shared" ca="1" si="111"/>
        <v>#N/A</v>
      </c>
    </row>
    <row r="953" spans="8:30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Y953" s="2">
        <f t="shared" ca="1" si="107"/>
        <v>0</v>
      </c>
      <c r="Z953">
        <f t="shared" ca="1" si="108"/>
        <v>0</v>
      </c>
      <c r="AB953" s="63" t="e">
        <f t="shared" ca="1" si="109"/>
        <v>#N/A</v>
      </c>
      <c r="AC953" s="63" t="e">
        <f t="shared" ca="1" si="110"/>
        <v>#N/A</v>
      </c>
      <c r="AD953" s="3" t="e">
        <f t="shared" ca="1" si="111"/>
        <v>#N/A</v>
      </c>
    </row>
    <row r="954" spans="8:30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Y954" s="2">
        <f t="shared" ca="1" si="107"/>
        <v>0</v>
      </c>
      <c r="Z954">
        <f t="shared" ca="1" si="108"/>
        <v>0</v>
      </c>
      <c r="AB954" s="63" t="e">
        <f t="shared" ca="1" si="109"/>
        <v>#N/A</v>
      </c>
      <c r="AC954" s="63" t="e">
        <f t="shared" ca="1" si="110"/>
        <v>#N/A</v>
      </c>
      <c r="AD954" s="3" t="e">
        <f t="shared" ca="1" si="111"/>
        <v>#N/A</v>
      </c>
    </row>
    <row r="955" spans="8:30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Y955" s="2">
        <f t="shared" ca="1" si="107"/>
        <v>0</v>
      </c>
      <c r="Z955">
        <f t="shared" ca="1" si="108"/>
        <v>0</v>
      </c>
      <c r="AB955" s="63" t="e">
        <f t="shared" ca="1" si="109"/>
        <v>#N/A</v>
      </c>
      <c r="AC955" s="63" t="e">
        <f t="shared" ca="1" si="110"/>
        <v>#N/A</v>
      </c>
      <c r="AD955" s="3" t="e">
        <f t="shared" ca="1" si="111"/>
        <v>#N/A</v>
      </c>
    </row>
    <row r="956" spans="8:30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Y956" s="2">
        <f t="shared" ca="1" si="107"/>
        <v>0</v>
      </c>
      <c r="Z956">
        <f t="shared" ca="1" si="108"/>
        <v>0</v>
      </c>
      <c r="AB956" s="63" t="e">
        <f t="shared" ca="1" si="109"/>
        <v>#N/A</v>
      </c>
      <c r="AC956" s="63" t="e">
        <f t="shared" ca="1" si="110"/>
        <v>#N/A</v>
      </c>
      <c r="AD956" s="3" t="e">
        <f t="shared" ca="1" si="111"/>
        <v>#N/A</v>
      </c>
    </row>
    <row r="957" spans="8:30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Y957" s="2">
        <f t="shared" ca="1" si="107"/>
        <v>0</v>
      </c>
      <c r="Z957">
        <f t="shared" ca="1" si="108"/>
        <v>0</v>
      </c>
      <c r="AB957" s="63" t="e">
        <f t="shared" ca="1" si="109"/>
        <v>#N/A</v>
      </c>
      <c r="AC957" s="63" t="e">
        <f t="shared" ca="1" si="110"/>
        <v>#N/A</v>
      </c>
      <c r="AD957" s="3" t="e">
        <f t="shared" ca="1" si="111"/>
        <v>#N/A</v>
      </c>
    </row>
    <row r="958" spans="8:30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Y958" s="2">
        <f t="shared" ca="1" si="107"/>
        <v>0</v>
      </c>
      <c r="Z958">
        <f t="shared" ca="1" si="108"/>
        <v>0</v>
      </c>
      <c r="AB958" s="63" t="e">
        <f t="shared" ca="1" si="109"/>
        <v>#N/A</v>
      </c>
      <c r="AC958" s="63" t="e">
        <f t="shared" ca="1" si="110"/>
        <v>#N/A</v>
      </c>
      <c r="AD958" s="3" t="e">
        <f t="shared" ca="1" si="111"/>
        <v>#N/A</v>
      </c>
    </row>
    <row r="959" spans="8:30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Y959" s="2">
        <f t="shared" ca="1" si="107"/>
        <v>0</v>
      </c>
      <c r="Z959">
        <f t="shared" ca="1" si="108"/>
        <v>0</v>
      </c>
      <c r="AB959" s="63" t="e">
        <f t="shared" ca="1" si="109"/>
        <v>#N/A</v>
      </c>
      <c r="AC959" s="63" t="e">
        <f t="shared" ca="1" si="110"/>
        <v>#N/A</v>
      </c>
      <c r="AD959" s="3" t="e">
        <f t="shared" ca="1" si="111"/>
        <v>#N/A</v>
      </c>
    </row>
    <row r="960" spans="8:30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Y960" s="2">
        <f t="shared" ca="1" si="107"/>
        <v>0</v>
      </c>
      <c r="Z960">
        <f t="shared" ca="1" si="108"/>
        <v>0</v>
      </c>
      <c r="AB960" s="63" t="e">
        <f t="shared" ca="1" si="109"/>
        <v>#N/A</v>
      </c>
      <c r="AC960" s="63" t="e">
        <f t="shared" ca="1" si="110"/>
        <v>#N/A</v>
      </c>
      <c r="AD960" s="3" t="e">
        <f t="shared" ca="1" si="111"/>
        <v>#N/A</v>
      </c>
    </row>
    <row r="961" spans="8:30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Y961" s="2">
        <f t="shared" ca="1" si="107"/>
        <v>0</v>
      </c>
      <c r="Z961">
        <f t="shared" ca="1" si="108"/>
        <v>0</v>
      </c>
      <c r="AB961" s="63" t="e">
        <f t="shared" ca="1" si="109"/>
        <v>#N/A</v>
      </c>
      <c r="AC961" s="63" t="e">
        <f t="shared" ca="1" si="110"/>
        <v>#N/A</v>
      </c>
      <c r="AD961" s="3" t="e">
        <f t="shared" ca="1" si="111"/>
        <v>#N/A</v>
      </c>
    </row>
    <row r="962" spans="8:30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Y962" s="2">
        <f t="shared" ca="1" si="107"/>
        <v>0</v>
      </c>
      <c r="Z962">
        <f t="shared" ca="1" si="108"/>
        <v>0</v>
      </c>
      <c r="AB962" s="63" t="e">
        <f t="shared" ca="1" si="109"/>
        <v>#N/A</v>
      </c>
      <c r="AC962" s="63" t="e">
        <f t="shared" ca="1" si="110"/>
        <v>#N/A</v>
      </c>
      <c r="AD962" s="3" t="e">
        <f t="shared" ca="1" si="111"/>
        <v>#N/A</v>
      </c>
    </row>
    <row r="963" spans="8:30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Y963" s="2">
        <f t="shared" ca="1" si="107"/>
        <v>0</v>
      </c>
      <c r="Z963">
        <f t="shared" ca="1" si="108"/>
        <v>0</v>
      </c>
      <c r="AB963" s="63" t="e">
        <f t="shared" ca="1" si="109"/>
        <v>#N/A</v>
      </c>
      <c r="AC963" s="63" t="e">
        <f t="shared" ca="1" si="110"/>
        <v>#N/A</v>
      </c>
      <c r="AD963" s="3" t="e">
        <f t="shared" ca="1" si="111"/>
        <v>#N/A</v>
      </c>
    </row>
    <row r="964" spans="8:30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Y964" s="2">
        <f t="shared" ca="1" si="107"/>
        <v>0</v>
      </c>
      <c r="Z964">
        <f t="shared" ca="1" si="108"/>
        <v>0</v>
      </c>
      <c r="AB964" s="63" t="e">
        <f t="shared" ca="1" si="109"/>
        <v>#N/A</v>
      </c>
      <c r="AC964" s="63" t="e">
        <f t="shared" ca="1" si="110"/>
        <v>#N/A</v>
      </c>
      <c r="AD964" s="3" t="e">
        <f t="shared" ca="1" si="111"/>
        <v>#N/A</v>
      </c>
    </row>
    <row r="965" spans="8:30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Y965" s="2">
        <f t="shared" ca="1" si="107"/>
        <v>0</v>
      </c>
      <c r="Z965">
        <f t="shared" ca="1" si="108"/>
        <v>0</v>
      </c>
      <c r="AB965" s="63" t="e">
        <f t="shared" ca="1" si="109"/>
        <v>#N/A</v>
      </c>
      <c r="AC965" s="63" t="e">
        <f t="shared" ca="1" si="110"/>
        <v>#N/A</v>
      </c>
      <c r="AD965" s="3" t="e">
        <f t="shared" ca="1" si="111"/>
        <v>#N/A</v>
      </c>
    </row>
    <row r="966" spans="8:30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Y966" s="2">
        <f t="shared" ca="1" si="107"/>
        <v>0</v>
      </c>
      <c r="Z966">
        <f t="shared" ca="1" si="108"/>
        <v>0</v>
      </c>
      <c r="AB966" s="63" t="e">
        <f t="shared" ca="1" si="109"/>
        <v>#N/A</v>
      </c>
      <c r="AC966" s="63" t="e">
        <f t="shared" ca="1" si="110"/>
        <v>#N/A</v>
      </c>
      <c r="AD966" s="3" t="e">
        <f t="shared" ca="1" si="111"/>
        <v>#N/A</v>
      </c>
    </row>
    <row r="967" spans="8:30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Y967" s="2">
        <f t="shared" ca="1" si="107"/>
        <v>0</v>
      </c>
      <c r="Z967">
        <f t="shared" ca="1" si="108"/>
        <v>0</v>
      </c>
      <c r="AB967" s="63" t="e">
        <f t="shared" ca="1" si="109"/>
        <v>#N/A</v>
      </c>
      <c r="AC967" s="63" t="e">
        <f t="shared" ca="1" si="110"/>
        <v>#N/A</v>
      </c>
      <c r="AD967" s="3" t="e">
        <f t="shared" ca="1" si="111"/>
        <v>#N/A</v>
      </c>
    </row>
    <row r="968" spans="8:30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Y968" s="2">
        <f t="shared" ca="1" si="107"/>
        <v>0</v>
      </c>
      <c r="Z968">
        <f t="shared" ca="1" si="108"/>
        <v>0</v>
      </c>
      <c r="AB968" s="63" t="e">
        <f t="shared" ca="1" si="109"/>
        <v>#N/A</v>
      </c>
      <c r="AC968" s="63" t="e">
        <f t="shared" ca="1" si="110"/>
        <v>#N/A</v>
      </c>
      <c r="AD968" s="3" t="e">
        <f t="shared" ca="1" si="111"/>
        <v>#N/A</v>
      </c>
    </row>
    <row r="969" spans="8:30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Y969" s="2">
        <f t="shared" ca="1" si="107"/>
        <v>0</v>
      </c>
      <c r="Z969">
        <f t="shared" ca="1" si="108"/>
        <v>0</v>
      </c>
      <c r="AB969" s="63" t="e">
        <f t="shared" ca="1" si="109"/>
        <v>#N/A</v>
      </c>
      <c r="AC969" s="63" t="e">
        <f t="shared" ca="1" si="110"/>
        <v>#N/A</v>
      </c>
      <c r="AD969" s="3" t="e">
        <f t="shared" ca="1" si="111"/>
        <v>#N/A</v>
      </c>
    </row>
    <row r="970" spans="8:30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Y970" s="2">
        <f t="shared" ca="1" si="107"/>
        <v>0</v>
      </c>
      <c r="Z970">
        <f t="shared" ca="1" si="108"/>
        <v>0</v>
      </c>
      <c r="AB970" s="63" t="e">
        <f t="shared" ca="1" si="109"/>
        <v>#N/A</v>
      </c>
      <c r="AC970" s="63" t="e">
        <f t="shared" ca="1" si="110"/>
        <v>#N/A</v>
      </c>
      <c r="AD970" s="3" t="e">
        <f t="shared" ca="1" si="111"/>
        <v>#N/A</v>
      </c>
    </row>
    <row r="971" spans="8:30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Y971" s="2">
        <f t="shared" ca="1" si="107"/>
        <v>0</v>
      </c>
      <c r="Z971">
        <f t="shared" ca="1" si="108"/>
        <v>0</v>
      </c>
      <c r="AB971" s="63" t="e">
        <f t="shared" ca="1" si="109"/>
        <v>#N/A</v>
      </c>
      <c r="AC971" s="63" t="e">
        <f t="shared" ca="1" si="110"/>
        <v>#N/A</v>
      </c>
      <c r="AD971" s="3" t="e">
        <f t="shared" ca="1" si="111"/>
        <v>#N/A</v>
      </c>
    </row>
    <row r="972" spans="8:30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Y972" s="2">
        <f t="shared" ca="1" si="107"/>
        <v>0</v>
      </c>
      <c r="Z972">
        <f t="shared" ca="1" si="108"/>
        <v>0</v>
      </c>
      <c r="AB972" s="63" t="e">
        <f t="shared" ca="1" si="109"/>
        <v>#N/A</v>
      </c>
      <c r="AC972" s="63" t="e">
        <f t="shared" ca="1" si="110"/>
        <v>#N/A</v>
      </c>
      <c r="AD972" s="3" t="e">
        <f t="shared" ca="1" si="111"/>
        <v>#N/A</v>
      </c>
    </row>
    <row r="973" spans="8:30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Y973" s="2">
        <f t="shared" ca="1" si="107"/>
        <v>0</v>
      </c>
      <c r="Z973">
        <f t="shared" ca="1" si="108"/>
        <v>0</v>
      </c>
      <c r="AB973" s="63" t="e">
        <f t="shared" ca="1" si="109"/>
        <v>#N/A</v>
      </c>
      <c r="AC973" s="63" t="e">
        <f t="shared" ca="1" si="110"/>
        <v>#N/A</v>
      </c>
      <c r="AD973" s="3" t="e">
        <f t="shared" ca="1" si="111"/>
        <v>#N/A</v>
      </c>
    </row>
    <row r="974" spans="8:30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Y974" s="2">
        <f t="shared" ca="1" si="107"/>
        <v>0</v>
      </c>
      <c r="Z974">
        <f t="shared" ca="1" si="108"/>
        <v>0</v>
      </c>
      <c r="AB974" s="63" t="e">
        <f t="shared" ca="1" si="109"/>
        <v>#N/A</v>
      </c>
      <c r="AC974" s="63" t="e">
        <f t="shared" ca="1" si="110"/>
        <v>#N/A</v>
      </c>
      <c r="AD974" s="3" t="e">
        <f t="shared" ca="1" si="111"/>
        <v>#N/A</v>
      </c>
    </row>
    <row r="975" spans="8:30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Y975" s="2">
        <f t="shared" ca="1" si="107"/>
        <v>0</v>
      </c>
      <c r="Z975">
        <f t="shared" ca="1" si="108"/>
        <v>0</v>
      </c>
      <c r="AB975" s="63" t="e">
        <f t="shared" ca="1" si="109"/>
        <v>#N/A</v>
      </c>
      <c r="AC975" s="63" t="e">
        <f t="shared" ca="1" si="110"/>
        <v>#N/A</v>
      </c>
      <c r="AD975" s="3" t="e">
        <f t="shared" ca="1" si="111"/>
        <v>#N/A</v>
      </c>
    </row>
    <row r="976" spans="8:30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Y976" s="2">
        <f t="shared" ca="1" si="107"/>
        <v>0</v>
      </c>
      <c r="Z976">
        <f t="shared" ca="1" si="108"/>
        <v>0</v>
      </c>
      <c r="AB976" s="63" t="e">
        <f t="shared" ca="1" si="109"/>
        <v>#N/A</v>
      </c>
      <c r="AC976" s="63" t="e">
        <f t="shared" ca="1" si="110"/>
        <v>#N/A</v>
      </c>
      <c r="AD976" s="3" t="e">
        <f t="shared" ca="1" si="111"/>
        <v>#N/A</v>
      </c>
    </row>
    <row r="977" spans="8:30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Y977" s="2">
        <f t="shared" ca="1" si="107"/>
        <v>0</v>
      </c>
      <c r="Z977">
        <f t="shared" ca="1" si="108"/>
        <v>0</v>
      </c>
      <c r="AB977" s="63" t="e">
        <f t="shared" ca="1" si="109"/>
        <v>#N/A</v>
      </c>
      <c r="AC977" s="63" t="e">
        <f t="shared" ca="1" si="110"/>
        <v>#N/A</v>
      </c>
      <c r="AD977" s="3" t="e">
        <f t="shared" ca="1" si="111"/>
        <v>#N/A</v>
      </c>
    </row>
    <row r="978" spans="8:30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Y978" s="2">
        <f t="shared" ca="1" si="107"/>
        <v>0</v>
      </c>
      <c r="Z978">
        <f t="shared" ca="1" si="108"/>
        <v>0</v>
      </c>
      <c r="AB978" s="63" t="e">
        <f t="shared" ca="1" si="109"/>
        <v>#N/A</v>
      </c>
      <c r="AC978" s="63" t="e">
        <f t="shared" ca="1" si="110"/>
        <v>#N/A</v>
      </c>
      <c r="AD978" s="3" t="e">
        <f t="shared" ca="1" si="111"/>
        <v>#N/A</v>
      </c>
    </row>
    <row r="979" spans="8:30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Y979" s="2">
        <f t="shared" ca="1" si="107"/>
        <v>0</v>
      </c>
      <c r="Z979">
        <f t="shared" ca="1" si="108"/>
        <v>0</v>
      </c>
      <c r="AB979" s="63" t="e">
        <f t="shared" ca="1" si="109"/>
        <v>#N/A</v>
      </c>
      <c r="AC979" s="63" t="e">
        <f t="shared" ca="1" si="110"/>
        <v>#N/A</v>
      </c>
      <c r="AD979" s="3" t="e">
        <f t="shared" ca="1" si="111"/>
        <v>#N/A</v>
      </c>
    </row>
    <row r="980" spans="8:30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Y980" s="2">
        <f t="shared" ca="1" si="107"/>
        <v>0</v>
      </c>
      <c r="Z980">
        <f t="shared" ca="1" si="108"/>
        <v>0</v>
      </c>
      <c r="AB980" s="63" t="e">
        <f t="shared" ca="1" si="109"/>
        <v>#N/A</v>
      </c>
      <c r="AC980" s="63" t="e">
        <f t="shared" ca="1" si="110"/>
        <v>#N/A</v>
      </c>
      <c r="AD980" s="3" t="e">
        <f t="shared" ca="1" si="111"/>
        <v>#N/A</v>
      </c>
    </row>
    <row r="981" spans="8:30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Y981" s="2">
        <f t="shared" ca="1" si="107"/>
        <v>0</v>
      </c>
      <c r="Z981">
        <f t="shared" ca="1" si="108"/>
        <v>0</v>
      </c>
      <c r="AB981" s="63" t="e">
        <f t="shared" ca="1" si="109"/>
        <v>#N/A</v>
      </c>
      <c r="AC981" s="63" t="e">
        <f t="shared" ca="1" si="110"/>
        <v>#N/A</v>
      </c>
      <c r="AD981" s="3" t="e">
        <f t="shared" ca="1" si="111"/>
        <v>#N/A</v>
      </c>
    </row>
    <row r="982" spans="8:30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Y982" s="2">
        <f t="shared" ca="1" si="107"/>
        <v>0</v>
      </c>
      <c r="Z982">
        <f t="shared" ca="1" si="108"/>
        <v>0</v>
      </c>
      <c r="AB982" s="63" t="e">
        <f t="shared" ca="1" si="109"/>
        <v>#N/A</v>
      </c>
      <c r="AC982" s="63" t="e">
        <f t="shared" ca="1" si="110"/>
        <v>#N/A</v>
      </c>
      <c r="AD982" s="3" t="e">
        <f t="shared" ca="1" si="111"/>
        <v>#N/A</v>
      </c>
    </row>
    <row r="983" spans="8:30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Y983" s="2">
        <f t="shared" ca="1" si="107"/>
        <v>0</v>
      </c>
      <c r="Z983">
        <f t="shared" ca="1" si="108"/>
        <v>0</v>
      </c>
      <c r="AB983" s="63" t="e">
        <f t="shared" ca="1" si="109"/>
        <v>#N/A</v>
      </c>
      <c r="AC983" s="63" t="e">
        <f t="shared" ca="1" si="110"/>
        <v>#N/A</v>
      </c>
      <c r="AD983" s="3" t="e">
        <f t="shared" ca="1" si="111"/>
        <v>#N/A</v>
      </c>
    </row>
    <row r="984" spans="8:30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Y984" s="2">
        <f t="shared" ca="1" si="107"/>
        <v>0</v>
      </c>
      <c r="Z984">
        <f t="shared" ca="1" si="108"/>
        <v>0</v>
      </c>
      <c r="AB984" s="63" t="e">
        <f t="shared" ca="1" si="109"/>
        <v>#N/A</v>
      </c>
      <c r="AC984" s="63" t="e">
        <f t="shared" ca="1" si="110"/>
        <v>#N/A</v>
      </c>
      <c r="AD984" s="3" t="e">
        <f t="shared" ca="1" si="111"/>
        <v>#N/A</v>
      </c>
    </row>
    <row r="985" spans="8:30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Y985" s="2">
        <f t="shared" ca="1" si="107"/>
        <v>0</v>
      </c>
      <c r="Z985">
        <f t="shared" ca="1" si="108"/>
        <v>0</v>
      </c>
      <c r="AB985" s="63" t="e">
        <f t="shared" ca="1" si="109"/>
        <v>#N/A</v>
      </c>
      <c r="AC985" s="63" t="e">
        <f t="shared" ca="1" si="110"/>
        <v>#N/A</v>
      </c>
      <c r="AD985" s="3" t="e">
        <f t="shared" ca="1" si="111"/>
        <v>#N/A</v>
      </c>
    </row>
    <row r="986" spans="8:30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Y986" s="2">
        <f t="shared" ca="1" si="107"/>
        <v>0</v>
      </c>
      <c r="Z986">
        <f t="shared" ca="1" si="108"/>
        <v>0</v>
      </c>
      <c r="AB986" s="63" t="e">
        <f t="shared" ca="1" si="109"/>
        <v>#N/A</v>
      </c>
      <c r="AC986" s="63" t="e">
        <f t="shared" ca="1" si="110"/>
        <v>#N/A</v>
      </c>
      <c r="AD986" s="3" t="e">
        <f t="shared" ca="1" si="111"/>
        <v>#N/A</v>
      </c>
    </row>
    <row r="987" spans="8:30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Y987" s="2">
        <f t="shared" ca="1" si="107"/>
        <v>0</v>
      </c>
      <c r="Z987">
        <f t="shared" ca="1" si="108"/>
        <v>0</v>
      </c>
      <c r="AB987" s="63" t="e">
        <f t="shared" ca="1" si="109"/>
        <v>#N/A</v>
      </c>
      <c r="AC987" s="63" t="e">
        <f t="shared" ca="1" si="110"/>
        <v>#N/A</v>
      </c>
      <c r="AD987" s="3" t="e">
        <f t="shared" ca="1" si="111"/>
        <v>#N/A</v>
      </c>
    </row>
    <row r="988" spans="8:30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Y988" s="2">
        <f t="shared" ca="1" si="107"/>
        <v>0</v>
      </c>
      <c r="Z988">
        <f t="shared" ca="1" si="108"/>
        <v>0</v>
      </c>
      <c r="AB988" s="63" t="e">
        <f t="shared" ca="1" si="109"/>
        <v>#N/A</v>
      </c>
      <c r="AC988" s="63" t="e">
        <f t="shared" ca="1" si="110"/>
        <v>#N/A</v>
      </c>
      <c r="AD988" s="3" t="e">
        <f t="shared" ca="1" si="111"/>
        <v>#N/A</v>
      </c>
    </row>
    <row r="989" spans="8:30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Y989" s="2">
        <f t="shared" ca="1" si="107"/>
        <v>0</v>
      </c>
      <c r="Z989">
        <f t="shared" ca="1" si="108"/>
        <v>0</v>
      </c>
      <c r="AB989" s="63" t="e">
        <f t="shared" ca="1" si="109"/>
        <v>#N/A</v>
      </c>
      <c r="AC989" s="63" t="e">
        <f t="shared" ca="1" si="110"/>
        <v>#N/A</v>
      </c>
      <c r="AD989" s="3" t="e">
        <f t="shared" ca="1" si="111"/>
        <v>#N/A</v>
      </c>
    </row>
    <row r="990" spans="8:30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Y990" s="2">
        <f t="shared" ca="1" si="107"/>
        <v>0</v>
      </c>
      <c r="Z990">
        <f t="shared" ca="1" si="108"/>
        <v>0</v>
      </c>
      <c r="AB990" s="63" t="e">
        <f t="shared" ca="1" si="109"/>
        <v>#N/A</v>
      </c>
      <c r="AC990" s="63" t="e">
        <f t="shared" ca="1" si="110"/>
        <v>#N/A</v>
      </c>
      <c r="AD990" s="3" t="e">
        <f t="shared" ca="1" si="111"/>
        <v>#N/A</v>
      </c>
    </row>
    <row r="991" spans="8:30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Y991" s="2">
        <f t="shared" ca="1" si="107"/>
        <v>0</v>
      </c>
      <c r="Z991">
        <f t="shared" ca="1" si="108"/>
        <v>0</v>
      </c>
      <c r="AB991" s="63" t="e">
        <f t="shared" ca="1" si="109"/>
        <v>#N/A</v>
      </c>
      <c r="AC991" s="63" t="e">
        <f t="shared" ca="1" si="110"/>
        <v>#N/A</v>
      </c>
      <c r="AD991" s="3" t="e">
        <f t="shared" ca="1" si="111"/>
        <v>#N/A</v>
      </c>
    </row>
    <row r="992" spans="8:30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Y992" s="2">
        <f t="shared" ca="1" si="107"/>
        <v>0</v>
      </c>
      <c r="Z992">
        <f t="shared" ca="1" si="108"/>
        <v>0</v>
      </c>
      <c r="AB992" s="63" t="e">
        <f t="shared" ca="1" si="109"/>
        <v>#N/A</v>
      </c>
      <c r="AC992" s="63" t="e">
        <f t="shared" ca="1" si="110"/>
        <v>#N/A</v>
      </c>
      <c r="AD992" s="3" t="e">
        <f t="shared" ca="1" si="111"/>
        <v>#N/A</v>
      </c>
    </row>
    <row r="993" spans="8:30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Y993" s="2">
        <f t="shared" ca="1" si="107"/>
        <v>0</v>
      </c>
      <c r="Z993">
        <f t="shared" ca="1" si="108"/>
        <v>0</v>
      </c>
      <c r="AB993" s="63" t="e">
        <f t="shared" ca="1" si="109"/>
        <v>#N/A</v>
      </c>
      <c r="AC993" s="63" t="e">
        <f t="shared" ca="1" si="110"/>
        <v>#N/A</v>
      </c>
      <c r="AD993" s="3" t="e">
        <f t="shared" ca="1" si="111"/>
        <v>#N/A</v>
      </c>
    </row>
    <row r="994" spans="8:30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Y994" s="2">
        <f t="shared" ca="1" si="107"/>
        <v>0</v>
      </c>
      <c r="Z994">
        <f t="shared" ca="1" si="108"/>
        <v>0</v>
      </c>
      <c r="AB994" s="63" t="e">
        <f t="shared" ca="1" si="109"/>
        <v>#N/A</v>
      </c>
      <c r="AC994" s="63" t="e">
        <f t="shared" ca="1" si="110"/>
        <v>#N/A</v>
      </c>
      <c r="AD994" s="3" t="e">
        <f t="shared" ca="1" si="111"/>
        <v>#N/A</v>
      </c>
    </row>
    <row r="995" spans="8:30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Y995" s="2">
        <f t="shared" ca="1" si="107"/>
        <v>0</v>
      </c>
      <c r="Z995">
        <f t="shared" ca="1" si="108"/>
        <v>0</v>
      </c>
      <c r="AB995" s="63" t="e">
        <f t="shared" ca="1" si="109"/>
        <v>#N/A</v>
      </c>
      <c r="AC995" s="63" t="e">
        <f t="shared" ca="1" si="110"/>
        <v>#N/A</v>
      </c>
      <c r="AD995" s="3" t="e">
        <f t="shared" ca="1" si="111"/>
        <v>#N/A</v>
      </c>
    </row>
    <row r="996" spans="8:30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Y996" s="2">
        <f t="shared" ca="1" si="107"/>
        <v>0</v>
      </c>
      <c r="Z996">
        <f t="shared" ca="1" si="108"/>
        <v>0</v>
      </c>
      <c r="AB996" s="63" t="e">
        <f t="shared" ca="1" si="109"/>
        <v>#N/A</v>
      </c>
      <c r="AC996" s="63" t="e">
        <f t="shared" ca="1" si="110"/>
        <v>#N/A</v>
      </c>
      <c r="AD996" s="3" t="e">
        <f t="shared" ca="1" si="111"/>
        <v>#N/A</v>
      </c>
    </row>
    <row r="997" spans="8:30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Y997" s="2">
        <f t="shared" ca="1" si="107"/>
        <v>0</v>
      </c>
      <c r="Z997">
        <f t="shared" ca="1" si="108"/>
        <v>0</v>
      </c>
      <c r="AB997" s="63" t="e">
        <f t="shared" ca="1" si="109"/>
        <v>#N/A</v>
      </c>
      <c r="AC997" s="63" t="e">
        <f t="shared" ca="1" si="110"/>
        <v>#N/A</v>
      </c>
      <c r="AD997" s="3" t="e">
        <f t="shared" ca="1" si="111"/>
        <v>#N/A</v>
      </c>
    </row>
    <row r="998" spans="8:30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Y998" s="2">
        <f t="shared" ca="1" si="107"/>
        <v>0</v>
      </c>
      <c r="Z998">
        <f t="shared" ca="1" si="108"/>
        <v>0</v>
      </c>
      <c r="AB998" s="63" t="e">
        <f t="shared" ca="1" si="109"/>
        <v>#N/A</v>
      </c>
      <c r="AC998" s="63" t="e">
        <f t="shared" ca="1" si="110"/>
        <v>#N/A</v>
      </c>
      <c r="AD998" s="3" t="e">
        <f t="shared" ca="1" si="111"/>
        <v>#N/A</v>
      </c>
    </row>
    <row r="999" spans="8:30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Y999" s="2">
        <f t="shared" ca="1" si="107"/>
        <v>0</v>
      </c>
      <c r="Z999">
        <f t="shared" ca="1" si="108"/>
        <v>0</v>
      </c>
      <c r="AB999" s="63" t="e">
        <f t="shared" ca="1" si="109"/>
        <v>#N/A</v>
      </c>
      <c r="AC999" s="63" t="e">
        <f t="shared" ca="1" si="110"/>
        <v>#N/A</v>
      </c>
      <c r="AD999" s="3" t="e">
        <f t="shared" ca="1" si="111"/>
        <v>#N/A</v>
      </c>
    </row>
    <row r="1000" spans="8:30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Y1000" s="2">
        <f t="shared" ca="1" si="107"/>
        <v>0</v>
      </c>
      <c r="Z1000">
        <f t="shared" ca="1" si="108"/>
        <v>0</v>
      </c>
      <c r="AB1000" s="63" t="e">
        <f t="shared" ca="1" si="109"/>
        <v>#N/A</v>
      </c>
      <c r="AC1000" s="63" t="e">
        <f t="shared" ca="1" si="110"/>
        <v>#N/A</v>
      </c>
      <c r="AD1000" s="3" t="e">
        <f t="shared" ca="1" si="111"/>
        <v>#N/A</v>
      </c>
    </row>
    <row r="1001" spans="8:30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Y1001" s="2">
        <f t="shared" ca="1" si="107"/>
        <v>0</v>
      </c>
      <c r="Z1001">
        <f t="shared" ca="1" si="108"/>
        <v>0</v>
      </c>
      <c r="AB1001" s="63" t="e">
        <f t="shared" ca="1" si="109"/>
        <v>#N/A</v>
      </c>
      <c r="AC1001" s="63" t="e">
        <f t="shared" ca="1" si="110"/>
        <v>#N/A</v>
      </c>
      <c r="AD1001" s="3" t="e">
        <f t="shared" ca="1" si="111"/>
        <v>#N/A</v>
      </c>
    </row>
    <row r="1002" spans="8:30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Y1002" s="2">
        <f t="shared" ca="1" si="107"/>
        <v>0</v>
      </c>
      <c r="Z1002">
        <f t="shared" ca="1" si="108"/>
        <v>0</v>
      </c>
      <c r="AB1002" s="63" t="e">
        <f t="shared" ca="1" si="109"/>
        <v>#N/A</v>
      </c>
      <c r="AC1002" s="63" t="e">
        <f t="shared" ca="1" si="110"/>
        <v>#N/A</v>
      </c>
      <c r="AD1002" s="3" t="e">
        <f t="shared" ca="1" si="111"/>
        <v>#N/A</v>
      </c>
    </row>
    <row r="1003" spans="8:30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Y1003" s="2">
        <f t="shared" ca="1" si="107"/>
        <v>0</v>
      </c>
      <c r="Z1003">
        <f t="shared" ca="1" si="108"/>
        <v>0</v>
      </c>
      <c r="AB1003" s="63" t="e">
        <f t="shared" ca="1" si="109"/>
        <v>#N/A</v>
      </c>
      <c r="AC1003" s="63" t="e">
        <f t="shared" ca="1" si="110"/>
        <v>#N/A</v>
      </c>
      <c r="AD1003" s="3" t="e">
        <f t="shared" ca="1" si="111"/>
        <v>#N/A</v>
      </c>
    </row>
    <row r="1004" spans="8:30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Y1004" s="2">
        <f t="shared" ca="1" si="107"/>
        <v>0</v>
      </c>
      <c r="Z1004">
        <f t="shared" ca="1" si="108"/>
        <v>0</v>
      </c>
      <c r="AB1004" s="63" t="e">
        <f t="shared" ca="1" si="109"/>
        <v>#N/A</v>
      </c>
      <c r="AC1004" s="63" t="e">
        <f t="shared" ca="1" si="110"/>
        <v>#N/A</v>
      </c>
      <c r="AD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AJ1" workbookViewId="0">
      <selection activeCell="AR8" sqref="AR8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  <col min="39" max="39" width="15.85546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279</v>
      </c>
      <c r="CT1" t="s">
        <v>280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.7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281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283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279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272</v>
      </c>
      <c r="CS8" t="s">
        <v>250</v>
      </c>
      <c r="CT8" t="s">
        <v>250</v>
      </c>
      <c r="CU8" t="s">
        <v>250</v>
      </c>
    </row>
    <row r="9" spans="1:99" ht="15.7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280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273</v>
      </c>
      <c r="CS9" t="s">
        <v>251</v>
      </c>
      <c r="CT9" t="s">
        <v>251</v>
      </c>
      <c r="CU9" t="s">
        <v>251</v>
      </c>
    </row>
    <row r="10" spans="1:99" ht="15.7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282</v>
      </c>
      <c r="AN10">
        <v>16</v>
      </c>
      <c r="AR10" t="s">
        <v>274</v>
      </c>
      <c r="CS10" t="s">
        <v>252</v>
      </c>
      <c r="CT10" t="s">
        <v>252</v>
      </c>
      <c r="CU10" t="s">
        <v>252</v>
      </c>
    </row>
    <row r="11" spans="1:99" ht="15.7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275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.75" thickBot="1">
      <c r="A13" s="12"/>
      <c r="C13" s="49" t="s">
        <v>32</v>
      </c>
      <c r="D13" s="49" t="s">
        <v>49</v>
      </c>
      <c r="E13" s="49" t="s">
        <v>40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.75" thickBot="1">
      <c r="A37" s="12"/>
      <c r="G37" s="51" t="s">
        <v>85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" activePane="bottomRight" state="frozen"/>
      <selection pane="topRight" activeCell="G1" sqref="G1"/>
      <selection pane="bottomLeft" activeCell="A2" sqref="A2"/>
      <selection pane="bottomRight" activeCell="E106" sqref="E1:E106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I2" sqref="I2:M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2025-08-06T05:17:04Z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